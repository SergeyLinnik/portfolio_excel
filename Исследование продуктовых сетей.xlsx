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Сергей\Desktop\portfolio_excel\"/>
    </mc:Choice>
  </mc:AlternateContent>
  <xr:revisionPtr revIDLastSave="0" documentId="13_ncr:1_{65359567-076B-4113-86E5-4BB15974DF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интро" sheetId="5" r:id="rId1"/>
    <sheet name="Дашборд" sheetId="22" r:id="rId2"/>
    <sheet name="Частотность имен" sheetId="21" r:id="rId3"/>
    <sheet name="Имена для рекламы" sheetId="20" r:id="rId4"/>
    <sheet name="клиенты" sheetId="4" r:id="rId5"/>
    <sheet name="Суммарные продажи по поставщика" sheetId="9" r:id="rId6"/>
    <sheet name="Среднее количесво по категориям" sheetId="13" r:id="rId7"/>
    <sheet name="Суммарные продажи по категориям" sheetId="14" r:id="rId8"/>
    <sheet name="продажи" sheetId="1" r:id="rId9"/>
    <sheet name="География клиентов" sheetId="10" r:id="rId10"/>
    <sheet name="Продажи товаров" sheetId="6" r:id="rId11"/>
    <sheet name="Выгода клиентам" sheetId="7" r:id="rId12"/>
    <sheet name="Суммарные продажи по магазинам" sheetId="8" r:id="rId13"/>
    <sheet name="Платежеспособность" sheetId="11" r:id="rId14"/>
    <sheet name="товар" sheetId="2" r:id="rId15"/>
    <sheet name="коды стран" sheetId="3" r:id="rId16"/>
  </sheets>
  <definedNames>
    <definedName name="_xlchart.v1.0" hidden="1">продажи!$P$2:$P$1001</definedName>
    <definedName name="_xlchart.v1.1" hidden="1">клиенты!$J$2:$J$435</definedName>
    <definedName name="_xlchart.v1.2" hidden="1">клиенты!$J$1</definedName>
    <definedName name="_xlchart.v1.3" hidden="1">клиенты!$J$2:$J$435</definedName>
    <definedName name="_xlchart.v1.4" hidden="1">продажи!$P$2:$P$1001</definedName>
  </definedNames>
  <calcPr calcId="191029"/>
  <pivotCaches>
    <pivotCache cacheId="0" r:id="rId17"/>
    <pivotCache cacheId="1" r:id="rId18"/>
    <pivotCache cacheId="2" r:id="rId19"/>
  </pivotCaches>
</workbook>
</file>

<file path=xl/calcChain.xml><?xml version="1.0" encoding="utf-8"?>
<calcChain xmlns="http://schemas.openxmlformats.org/spreadsheetml/2006/main">
  <c r="B435" i="20" l="1"/>
  <c r="B434" i="20"/>
  <c r="B433" i="20"/>
  <c r="B432" i="20"/>
  <c r="B431" i="20"/>
  <c r="B430" i="20"/>
  <c r="B429" i="20"/>
  <c r="B428" i="20"/>
  <c r="B427" i="20"/>
  <c r="B426" i="20"/>
  <c r="B425" i="20"/>
  <c r="B424" i="20"/>
  <c r="B423" i="20"/>
  <c r="B422" i="20"/>
  <c r="B421" i="20"/>
  <c r="B420" i="20"/>
  <c r="B419" i="20"/>
  <c r="B418" i="20"/>
  <c r="B417" i="20"/>
  <c r="B416" i="20"/>
  <c r="B415" i="20"/>
  <c r="B414" i="20"/>
  <c r="B413" i="20"/>
  <c r="B412" i="20"/>
  <c r="B411" i="20"/>
  <c r="B410" i="20"/>
  <c r="B409" i="20"/>
  <c r="B408" i="20"/>
  <c r="B407" i="20"/>
  <c r="B406" i="20"/>
  <c r="B405" i="20"/>
  <c r="B404" i="20"/>
  <c r="B403" i="20"/>
  <c r="B402" i="20"/>
  <c r="B401" i="20"/>
  <c r="B400" i="20"/>
  <c r="B399" i="20"/>
  <c r="B398" i="20"/>
  <c r="B397" i="20"/>
  <c r="B396" i="20"/>
  <c r="B395" i="20"/>
  <c r="B394" i="20"/>
  <c r="B393" i="20"/>
  <c r="B392" i="20"/>
  <c r="B391" i="20"/>
  <c r="B390" i="20"/>
  <c r="B389" i="20"/>
  <c r="B388" i="20"/>
  <c r="B387" i="20"/>
  <c r="B386" i="20"/>
  <c r="B385" i="20"/>
  <c r="B384" i="20"/>
  <c r="B383" i="20"/>
  <c r="B382" i="20"/>
  <c r="B381" i="20"/>
  <c r="B380" i="20"/>
  <c r="B379" i="20"/>
  <c r="B378" i="20"/>
  <c r="B377" i="20"/>
  <c r="B376" i="20"/>
  <c r="B375" i="20"/>
  <c r="B374" i="20"/>
  <c r="B373" i="20"/>
  <c r="B372" i="20"/>
  <c r="B371" i="20"/>
  <c r="B370" i="20"/>
  <c r="B369" i="20"/>
  <c r="B368" i="20"/>
  <c r="B367" i="20"/>
  <c r="B366" i="20"/>
  <c r="B365" i="20"/>
  <c r="B364" i="20"/>
  <c r="B363" i="20"/>
  <c r="B362" i="20"/>
  <c r="B361" i="20"/>
  <c r="B360" i="20"/>
  <c r="B359" i="20"/>
  <c r="B358" i="20"/>
  <c r="B357" i="20"/>
  <c r="B356" i="20"/>
  <c r="B355" i="20"/>
  <c r="B354" i="20"/>
  <c r="B353" i="20"/>
  <c r="B352" i="20"/>
  <c r="B351" i="20"/>
  <c r="B350" i="20"/>
  <c r="B349" i="20"/>
  <c r="B348" i="20"/>
  <c r="B347" i="20"/>
  <c r="B346" i="20"/>
  <c r="B345" i="20"/>
  <c r="B344" i="20"/>
  <c r="B343" i="20"/>
  <c r="B342" i="20"/>
  <c r="B341" i="20"/>
  <c r="B340" i="20"/>
  <c r="B339" i="20"/>
  <c r="B338" i="20"/>
  <c r="B337" i="20"/>
  <c r="B336" i="20"/>
  <c r="B335" i="20"/>
  <c r="B334" i="20"/>
  <c r="B333" i="20"/>
  <c r="B332" i="20"/>
  <c r="B331" i="20"/>
  <c r="B330" i="20"/>
  <c r="B329" i="20"/>
  <c r="B328" i="20"/>
  <c r="B327" i="20"/>
  <c r="B326" i="20"/>
  <c r="B325" i="20"/>
  <c r="B324" i="20"/>
  <c r="B323" i="20"/>
  <c r="B322" i="20"/>
  <c r="B321" i="20"/>
  <c r="B320" i="20"/>
  <c r="B319" i="20"/>
  <c r="B318" i="20"/>
  <c r="B317" i="20"/>
  <c r="B316" i="20"/>
  <c r="B315" i="20"/>
  <c r="B314" i="20"/>
  <c r="B313" i="20"/>
  <c r="B312" i="20"/>
  <c r="B311" i="20"/>
  <c r="B310" i="20"/>
  <c r="B309" i="20"/>
  <c r="B308" i="20"/>
  <c r="B307" i="20"/>
  <c r="B306" i="20"/>
  <c r="B305" i="20"/>
  <c r="B304" i="20"/>
  <c r="B303" i="20"/>
  <c r="B302" i="20"/>
  <c r="B301" i="20"/>
  <c r="B300" i="20"/>
  <c r="B299" i="20"/>
  <c r="B298" i="20"/>
  <c r="B297" i="20"/>
  <c r="B296" i="20"/>
  <c r="B295" i="20"/>
  <c r="B294" i="20"/>
  <c r="B293" i="20"/>
  <c r="B292" i="20"/>
  <c r="B291" i="20"/>
  <c r="B290" i="20"/>
  <c r="B289" i="20"/>
  <c r="B288" i="20"/>
  <c r="B287" i="20"/>
  <c r="B286" i="20"/>
  <c r="B285" i="20"/>
  <c r="B284" i="20"/>
  <c r="B283" i="20"/>
  <c r="B282" i="20"/>
  <c r="B281" i="20"/>
  <c r="B280" i="20"/>
  <c r="B279" i="20"/>
  <c r="B278" i="20"/>
  <c r="B277" i="20"/>
  <c r="B276" i="20"/>
  <c r="B275" i="20"/>
  <c r="B274" i="20"/>
  <c r="B273" i="20"/>
  <c r="B272" i="20"/>
  <c r="B271" i="20"/>
  <c r="B270" i="20"/>
  <c r="B269" i="20"/>
  <c r="B268" i="20"/>
  <c r="B267" i="20"/>
  <c r="B266" i="20"/>
  <c r="B265" i="20"/>
  <c r="B264" i="20"/>
  <c r="B263" i="20"/>
  <c r="B262" i="20"/>
  <c r="B261" i="20"/>
  <c r="B260" i="20"/>
  <c r="B259" i="20"/>
  <c r="B258" i="20"/>
  <c r="B257" i="20"/>
  <c r="B256" i="20"/>
  <c r="B255" i="20"/>
  <c r="B254" i="20"/>
  <c r="B253" i="20"/>
  <c r="B252" i="20"/>
  <c r="B251" i="20"/>
  <c r="B250" i="20"/>
  <c r="B249" i="20"/>
  <c r="B248" i="20"/>
  <c r="B247" i="20"/>
  <c r="B246" i="20"/>
  <c r="B245" i="20"/>
  <c r="B244" i="20"/>
  <c r="B243" i="20"/>
  <c r="B242" i="20"/>
  <c r="B241" i="20"/>
  <c r="B240" i="20"/>
  <c r="B239" i="20"/>
  <c r="B238" i="20"/>
  <c r="B237" i="20"/>
  <c r="B236" i="20"/>
  <c r="B235" i="20"/>
  <c r="B234" i="20"/>
  <c r="B233" i="20"/>
  <c r="B232" i="20"/>
  <c r="B231" i="20"/>
  <c r="B230" i="20"/>
  <c r="B229" i="20"/>
  <c r="B228" i="20"/>
  <c r="B227" i="20"/>
  <c r="B226" i="20"/>
  <c r="B225" i="20"/>
  <c r="B224" i="20"/>
  <c r="B223" i="20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K20" i="4"/>
  <c r="K31" i="4"/>
  <c r="K32" i="4"/>
  <c r="K36" i="4"/>
  <c r="K37" i="4"/>
  <c r="K42" i="4"/>
  <c r="K47" i="4"/>
  <c r="K52" i="4"/>
  <c r="K53" i="4"/>
  <c r="K59" i="4"/>
  <c r="K60" i="4"/>
  <c r="K63" i="4"/>
  <c r="K64" i="4"/>
  <c r="K75" i="4"/>
  <c r="K79" i="4"/>
  <c r="K80" i="4"/>
  <c r="K81" i="4"/>
  <c r="K84" i="4"/>
  <c r="K91" i="4"/>
  <c r="K92" i="4"/>
  <c r="K97" i="4"/>
  <c r="K107" i="4"/>
  <c r="K108" i="4"/>
  <c r="K109" i="4"/>
  <c r="K112" i="4"/>
  <c r="K113" i="4"/>
  <c r="K116" i="4"/>
  <c r="K128" i="4"/>
  <c r="K129" i="4"/>
  <c r="K132" i="4"/>
  <c r="K133" i="4"/>
  <c r="K149" i="4"/>
  <c r="K159" i="4"/>
  <c r="K160" i="4"/>
  <c r="K164" i="4"/>
  <c r="K165" i="4"/>
  <c r="K170" i="4"/>
  <c r="K175" i="4"/>
  <c r="K180" i="4"/>
  <c r="K181" i="4"/>
  <c r="K187" i="4"/>
  <c r="K188" i="4"/>
  <c r="K191" i="4"/>
  <c r="K192" i="4"/>
  <c r="K203" i="4"/>
  <c r="K207" i="4"/>
  <c r="K208" i="4"/>
  <c r="K209" i="4"/>
  <c r="K212" i="4"/>
  <c r="K219" i="4"/>
  <c r="K220" i="4"/>
  <c r="K225" i="4"/>
  <c r="K235" i="4"/>
  <c r="K236" i="4"/>
  <c r="K237" i="4"/>
  <c r="K240" i="4"/>
  <c r="K241" i="4"/>
  <c r="K244" i="4"/>
  <c r="K256" i="4"/>
  <c r="K257" i="4"/>
  <c r="K260" i="4"/>
  <c r="K261" i="4"/>
  <c r="K277" i="4"/>
  <c r="K287" i="4"/>
  <c r="K288" i="4"/>
  <c r="K292" i="4"/>
  <c r="K293" i="4"/>
  <c r="K298" i="4"/>
  <c r="K303" i="4"/>
  <c r="K308" i="4"/>
  <c r="K309" i="4"/>
  <c r="K315" i="4"/>
  <c r="K316" i="4"/>
  <c r="K319" i="4"/>
  <c r="K320" i="4"/>
  <c r="K331" i="4"/>
  <c r="K335" i="4"/>
  <c r="K336" i="4"/>
  <c r="K337" i="4"/>
  <c r="K340" i="4"/>
  <c r="K347" i="4"/>
  <c r="K348" i="4"/>
  <c r="K353" i="4"/>
  <c r="K363" i="4"/>
  <c r="K364" i="4"/>
  <c r="K365" i="4"/>
  <c r="K368" i="4"/>
  <c r="K369" i="4"/>
  <c r="K372" i="4"/>
  <c r="K384" i="4"/>
  <c r="K385" i="4"/>
  <c r="K388" i="4"/>
  <c r="K389" i="4"/>
  <c r="K405" i="4"/>
  <c r="K415" i="4"/>
  <c r="K416" i="4"/>
  <c r="K420" i="4"/>
  <c r="K421" i="4"/>
  <c r="K426" i="4"/>
  <c r="K431" i="4"/>
  <c r="K22" i="4"/>
  <c r="K23" i="4"/>
  <c r="K24" i="4"/>
  <c r="K25" i="4"/>
  <c r="K26" i="4"/>
  <c r="K27" i="4"/>
  <c r="K28" i="4"/>
  <c r="K29" i="4"/>
  <c r="K30" i="4"/>
  <c r="K33" i="4"/>
  <c r="K34" i="4"/>
  <c r="K35" i="4"/>
  <c r="K38" i="4"/>
  <c r="K39" i="4"/>
  <c r="K40" i="4"/>
  <c r="K41" i="4"/>
  <c r="K43" i="4"/>
  <c r="K44" i="4"/>
  <c r="K45" i="4"/>
  <c r="K46" i="4"/>
  <c r="K48" i="4"/>
  <c r="K49" i="4"/>
  <c r="K50" i="4"/>
  <c r="K51" i="4"/>
  <c r="K54" i="4"/>
  <c r="K55" i="4"/>
  <c r="K56" i="4"/>
  <c r="K57" i="4"/>
  <c r="K58" i="4"/>
  <c r="K61" i="4"/>
  <c r="K62" i="4"/>
  <c r="K65" i="4"/>
  <c r="K66" i="4"/>
  <c r="K67" i="4"/>
  <c r="K68" i="4"/>
  <c r="K69" i="4"/>
  <c r="K70" i="4"/>
  <c r="K71" i="4"/>
  <c r="K72" i="4"/>
  <c r="K73" i="4"/>
  <c r="K74" i="4"/>
  <c r="K76" i="4"/>
  <c r="K77" i="4"/>
  <c r="K78" i="4"/>
  <c r="K82" i="4"/>
  <c r="K83" i="4"/>
  <c r="K85" i="4"/>
  <c r="K86" i="4"/>
  <c r="K87" i="4"/>
  <c r="K88" i="4"/>
  <c r="K89" i="4"/>
  <c r="K90" i="4"/>
  <c r="K93" i="4"/>
  <c r="K94" i="4"/>
  <c r="K95" i="4"/>
  <c r="K96" i="4"/>
  <c r="K98" i="4"/>
  <c r="K99" i="4"/>
  <c r="K100" i="4"/>
  <c r="K101" i="4"/>
  <c r="K102" i="4"/>
  <c r="K103" i="4"/>
  <c r="K104" i="4"/>
  <c r="K105" i="4"/>
  <c r="K106" i="4"/>
  <c r="K110" i="4"/>
  <c r="K111" i="4"/>
  <c r="K114" i="4"/>
  <c r="K115" i="4"/>
  <c r="K117" i="4"/>
  <c r="K118" i="4"/>
  <c r="K119" i="4"/>
  <c r="K120" i="4"/>
  <c r="K121" i="4"/>
  <c r="K122" i="4"/>
  <c r="K123" i="4"/>
  <c r="K124" i="4"/>
  <c r="K125" i="4"/>
  <c r="K126" i="4"/>
  <c r="K127" i="4"/>
  <c r="K130" i="4"/>
  <c r="K131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50" i="4"/>
  <c r="K151" i="4"/>
  <c r="K152" i="4"/>
  <c r="K153" i="4"/>
  <c r="K154" i="4"/>
  <c r="K155" i="4"/>
  <c r="K156" i="4"/>
  <c r="K157" i="4"/>
  <c r="K158" i="4"/>
  <c r="K161" i="4"/>
  <c r="K162" i="4"/>
  <c r="K163" i="4"/>
  <c r="K166" i="4"/>
  <c r="K167" i="4"/>
  <c r="K168" i="4"/>
  <c r="K169" i="4"/>
  <c r="K171" i="4"/>
  <c r="K172" i="4"/>
  <c r="K173" i="4"/>
  <c r="K174" i="4"/>
  <c r="K176" i="4"/>
  <c r="K177" i="4"/>
  <c r="K178" i="4"/>
  <c r="K179" i="4"/>
  <c r="K182" i="4"/>
  <c r="K183" i="4"/>
  <c r="K184" i="4"/>
  <c r="K185" i="4"/>
  <c r="K186" i="4"/>
  <c r="K189" i="4"/>
  <c r="K190" i="4"/>
  <c r="K193" i="4"/>
  <c r="K194" i="4"/>
  <c r="K195" i="4"/>
  <c r="K196" i="4"/>
  <c r="K197" i="4"/>
  <c r="K198" i="4"/>
  <c r="K199" i="4"/>
  <c r="K200" i="4"/>
  <c r="K201" i="4"/>
  <c r="K202" i="4"/>
  <c r="K204" i="4"/>
  <c r="K205" i="4"/>
  <c r="K206" i="4"/>
  <c r="K210" i="4"/>
  <c r="K211" i="4"/>
  <c r="K213" i="4"/>
  <c r="K214" i="4"/>
  <c r="K215" i="4"/>
  <c r="K216" i="4"/>
  <c r="K217" i="4"/>
  <c r="K218" i="4"/>
  <c r="K221" i="4"/>
  <c r="K222" i="4"/>
  <c r="K223" i="4"/>
  <c r="K224" i="4"/>
  <c r="K226" i="4"/>
  <c r="K227" i="4"/>
  <c r="K228" i="4"/>
  <c r="K229" i="4"/>
  <c r="K230" i="4"/>
  <c r="K231" i="4"/>
  <c r="K232" i="4"/>
  <c r="K233" i="4"/>
  <c r="K234" i="4"/>
  <c r="K238" i="4"/>
  <c r="K239" i="4"/>
  <c r="K242" i="4"/>
  <c r="K243" i="4"/>
  <c r="K245" i="4"/>
  <c r="K246" i="4"/>
  <c r="K247" i="4"/>
  <c r="K248" i="4"/>
  <c r="K249" i="4"/>
  <c r="K250" i="4"/>
  <c r="K251" i="4"/>
  <c r="K252" i="4"/>
  <c r="K253" i="4"/>
  <c r="K254" i="4"/>
  <c r="K255" i="4"/>
  <c r="K258" i="4"/>
  <c r="K259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8" i="4"/>
  <c r="K279" i="4"/>
  <c r="K280" i="4"/>
  <c r="K281" i="4"/>
  <c r="K282" i="4"/>
  <c r="K283" i="4"/>
  <c r="K284" i="4"/>
  <c r="K285" i="4"/>
  <c r="K286" i="4"/>
  <c r="K289" i="4"/>
  <c r="K290" i="4"/>
  <c r="K291" i="4"/>
  <c r="K294" i="4"/>
  <c r="K295" i="4"/>
  <c r="K296" i="4"/>
  <c r="K297" i="4"/>
  <c r="K299" i="4"/>
  <c r="K300" i="4"/>
  <c r="K301" i="4"/>
  <c r="K302" i="4"/>
  <c r="K304" i="4"/>
  <c r="K305" i="4"/>
  <c r="K306" i="4"/>
  <c r="K307" i="4"/>
  <c r="K310" i="4"/>
  <c r="K311" i="4"/>
  <c r="K312" i="4"/>
  <c r="K313" i="4"/>
  <c r="K314" i="4"/>
  <c r="K317" i="4"/>
  <c r="K318" i="4"/>
  <c r="K321" i="4"/>
  <c r="K322" i="4"/>
  <c r="K323" i="4"/>
  <c r="K324" i="4"/>
  <c r="K325" i="4"/>
  <c r="K326" i="4"/>
  <c r="K327" i="4"/>
  <c r="K328" i="4"/>
  <c r="K329" i="4"/>
  <c r="K330" i="4"/>
  <c r="K332" i="4"/>
  <c r="K333" i="4"/>
  <c r="K334" i="4"/>
  <c r="K338" i="4"/>
  <c r="K339" i="4"/>
  <c r="K341" i="4"/>
  <c r="K342" i="4"/>
  <c r="K343" i="4"/>
  <c r="K344" i="4"/>
  <c r="K345" i="4"/>
  <c r="K346" i="4"/>
  <c r="K349" i="4"/>
  <c r="K350" i="4"/>
  <c r="K351" i="4"/>
  <c r="K352" i="4"/>
  <c r="K354" i="4"/>
  <c r="K355" i="4"/>
  <c r="K356" i="4"/>
  <c r="K357" i="4"/>
  <c r="K358" i="4"/>
  <c r="K359" i="4"/>
  <c r="K360" i="4"/>
  <c r="K361" i="4"/>
  <c r="K362" i="4"/>
  <c r="K366" i="4"/>
  <c r="K367" i="4"/>
  <c r="K370" i="4"/>
  <c r="K371" i="4"/>
  <c r="K373" i="4"/>
  <c r="K374" i="4"/>
  <c r="K375" i="4"/>
  <c r="K376" i="4"/>
  <c r="K377" i="4"/>
  <c r="K378" i="4"/>
  <c r="K379" i="4"/>
  <c r="K380" i="4"/>
  <c r="K381" i="4"/>
  <c r="K382" i="4"/>
  <c r="K383" i="4"/>
  <c r="K386" i="4"/>
  <c r="K387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6" i="4"/>
  <c r="K407" i="4"/>
  <c r="K408" i="4"/>
  <c r="K409" i="4"/>
  <c r="K410" i="4"/>
  <c r="K411" i="4"/>
  <c r="K412" i="4"/>
  <c r="K413" i="4"/>
  <c r="K414" i="4"/>
  <c r="K417" i="4"/>
  <c r="K418" i="4"/>
  <c r="K419" i="4"/>
  <c r="K422" i="4"/>
  <c r="K423" i="4"/>
  <c r="K424" i="4"/>
  <c r="K425" i="4"/>
  <c r="K427" i="4"/>
  <c r="K428" i="4"/>
  <c r="K429" i="4"/>
  <c r="K430" i="4"/>
  <c r="K432" i="4"/>
  <c r="K433" i="4"/>
  <c r="K434" i="4"/>
  <c r="K43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1" i="4"/>
  <c r="H205" i="4"/>
  <c r="H206" i="4"/>
  <c r="H95" i="4"/>
  <c r="H311" i="4"/>
  <c r="H382" i="4"/>
  <c r="H383" i="4"/>
  <c r="H207" i="4"/>
  <c r="H344" i="4"/>
  <c r="H273" i="4"/>
  <c r="H233" i="4"/>
  <c r="H312" i="4"/>
  <c r="H313" i="4"/>
  <c r="H56" i="4"/>
  <c r="H129" i="4"/>
  <c r="H96" i="4"/>
  <c r="H274" i="4"/>
  <c r="H345" i="4"/>
  <c r="H19" i="4"/>
  <c r="H57" i="4"/>
  <c r="H161" i="4"/>
  <c r="H275" i="4"/>
  <c r="H208" i="4"/>
  <c r="H411" i="4"/>
  <c r="H314" i="4"/>
  <c r="H276" i="4"/>
  <c r="H130" i="4"/>
  <c r="H346" i="4"/>
  <c r="H315" i="4"/>
  <c r="H384" i="4"/>
  <c r="H234" i="4"/>
  <c r="H316" i="4"/>
  <c r="H58" i="4"/>
  <c r="H162" i="4"/>
  <c r="H131" i="4"/>
  <c r="H97" i="4"/>
  <c r="H235" i="4"/>
  <c r="H20" i="4"/>
  <c r="H163" i="4"/>
  <c r="H2" i="4"/>
  <c r="H3" i="4"/>
  <c r="H21" i="4"/>
  <c r="H236" i="4"/>
  <c r="H347" i="4"/>
  <c r="H317" i="4"/>
  <c r="H98" i="4"/>
  <c r="H237" i="4"/>
  <c r="H22" i="4"/>
  <c r="H164" i="4"/>
  <c r="H59" i="4"/>
  <c r="H165" i="4"/>
  <c r="H166" i="4"/>
  <c r="H348" i="4"/>
  <c r="H60" i="4"/>
  <c r="H318" i="4"/>
  <c r="H277" i="4"/>
  <c r="H132" i="4"/>
  <c r="H238" i="4"/>
  <c r="H61" i="4"/>
  <c r="H278" i="4"/>
  <c r="H99" i="4"/>
  <c r="H349" i="4"/>
  <c r="H167" i="4"/>
  <c r="H62" i="4"/>
  <c r="H412" i="4"/>
  <c r="H239" i="4"/>
  <c r="H23" i="4"/>
  <c r="H319" i="4"/>
  <c r="H320" i="4"/>
  <c r="H100" i="4"/>
  <c r="H133" i="4"/>
  <c r="H240" i="4"/>
  <c r="H321" i="4"/>
  <c r="H24" i="4"/>
  <c r="H168" i="4"/>
  <c r="H169" i="4"/>
  <c r="H385" i="4"/>
  <c r="H209" i="4"/>
  <c r="H322" i="4"/>
  <c r="H4" i="4"/>
  <c r="H101" i="4"/>
  <c r="H63" i="4"/>
  <c r="H170" i="4"/>
  <c r="H350" i="4"/>
  <c r="H279" i="4"/>
  <c r="H241" i="4"/>
  <c r="H64" i="4"/>
  <c r="H102" i="4"/>
  <c r="H413" i="4"/>
  <c r="H351" i="4"/>
  <c r="H103" i="4"/>
  <c r="H104" i="4"/>
  <c r="H171" i="4"/>
  <c r="H386" i="4"/>
  <c r="H134" i="4"/>
  <c r="H172" i="4"/>
  <c r="H173" i="4"/>
  <c r="H25" i="4"/>
  <c r="H174" i="4"/>
  <c r="H242" i="4"/>
  <c r="H387" i="4"/>
  <c r="H352" i="4"/>
  <c r="H135" i="4"/>
  <c r="H105" i="4"/>
  <c r="H414" i="4"/>
  <c r="H136" i="4"/>
  <c r="H323" i="4"/>
  <c r="H210" i="4"/>
  <c r="H353" i="4"/>
  <c r="H388" i="4"/>
  <c r="H106" i="4"/>
  <c r="H65" i="4"/>
  <c r="H107" i="4"/>
  <c r="H389" i="4"/>
  <c r="H175" i="4"/>
  <c r="H280" i="4"/>
  <c r="H26" i="4"/>
  <c r="H66" i="4"/>
  <c r="H243" i="4"/>
  <c r="H244" i="4"/>
  <c r="H245" i="4"/>
  <c r="H27" i="4"/>
  <c r="H176" i="4"/>
  <c r="H108" i="4"/>
  <c r="H415" i="4"/>
  <c r="H281" i="4"/>
  <c r="H28" i="4"/>
  <c r="H246" i="4"/>
  <c r="H416" i="4"/>
  <c r="H354" i="4"/>
  <c r="H390" i="4"/>
  <c r="H211" i="4"/>
  <c r="H5" i="4"/>
  <c r="H29" i="4"/>
  <c r="H391" i="4"/>
  <c r="H392" i="4"/>
  <c r="H355" i="4"/>
  <c r="H67" i="4"/>
  <c r="H177" i="4"/>
  <c r="H30" i="4"/>
  <c r="H68" i="4"/>
  <c r="H109" i="4"/>
  <c r="H69" i="4"/>
  <c r="H178" i="4"/>
  <c r="H417" i="4"/>
  <c r="H137" i="4"/>
  <c r="H418" i="4"/>
  <c r="H110" i="4"/>
  <c r="H282" i="4"/>
  <c r="H324" i="4"/>
  <c r="H356" i="4"/>
  <c r="H111" i="4"/>
  <c r="H247" i="4"/>
  <c r="H283" i="4"/>
  <c r="H31" i="4"/>
  <c r="H357" i="4"/>
  <c r="H419" i="4"/>
  <c r="H70" i="4"/>
  <c r="H212" i="4"/>
  <c r="H138" i="4"/>
  <c r="H420" i="4"/>
  <c r="H179" i="4"/>
  <c r="H6" i="4"/>
  <c r="H284" i="4"/>
  <c r="H112" i="4"/>
  <c r="H248" i="4"/>
  <c r="H249" i="4"/>
  <c r="H180" i="4"/>
  <c r="H213" i="4"/>
  <c r="H113" i="4"/>
  <c r="H214" i="4"/>
  <c r="H215" i="4"/>
  <c r="H7" i="4"/>
  <c r="H32" i="4"/>
  <c r="H325" i="4"/>
  <c r="H114" i="4"/>
  <c r="H181" i="4"/>
  <c r="H250" i="4"/>
  <c r="H251" i="4"/>
  <c r="H139" i="4"/>
  <c r="H33" i="4"/>
  <c r="H71" i="4"/>
  <c r="H358" i="4"/>
  <c r="H393" i="4"/>
  <c r="H182" i="4"/>
  <c r="H285" i="4"/>
  <c r="H421" i="4"/>
  <c r="H34" i="4"/>
  <c r="H72" i="4"/>
  <c r="H359" i="4"/>
  <c r="H326" i="4"/>
  <c r="H394" i="4"/>
  <c r="H140" i="4"/>
  <c r="H141" i="4"/>
  <c r="H183" i="4"/>
  <c r="H286" i="4"/>
  <c r="H422" i="4"/>
  <c r="H360" i="4"/>
  <c r="H142" i="4"/>
  <c r="H184" i="4"/>
  <c r="H185" i="4"/>
  <c r="H252" i="4"/>
  <c r="H186" i="4"/>
  <c r="H287" i="4"/>
  <c r="H253" i="4"/>
  <c r="H35" i="4"/>
  <c r="H216" i="4"/>
  <c r="H73" i="4"/>
  <c r="H143" i="4"/>
  <c r="H327" i="4"/>
  <c r="H8" i="4"/>
  <c r="H187" i="4"/>
  <c r="H144" i="4"/>
  <c r="H145" i="4"/>
  <c r="H423" i="4"/>
  <c r="H288" i="4"/>
  <c r="H361" i="4"/>
  <c r="H36" i="4"/>
  <c r="H289" i="4"/>
  <c r="H395" i="4"/>
  <c r="H254" i="4"/>
  <c r="H9" i="4"/>
  <c r="H188" i="4"/>
  <c r="H217" i="4"/>
  <c r="H328" i="4"/>
  <c r="H10" i="4"/>
  <c r="H424" i="4"/>
  <c r="H329" i="4"/>
  <c r="H115" i="4"/>
  <c r="H74" i="4"/>
  <c r="H362" i="4"/>
  <c r="H425" i="4"/>
  <c r="H146" i="4"/>
  <c r="H218" i="4"/>
  <c r="H363" i="4"/>
  <c r="H426" i="4"/>
  <c r="H364" i="4"/>
  <c r="H330" i="4"/>
  <c r="H116" i="4"/>
  <c r="H75" i="4"/>
  <c r="H189" i="4"/>
  <c r="H37" i="4"/>
  <c r="H117" i="4"/>
  <c r="H38" i="4"/>
  <c r="H365" i="4"/>
  <c r="H396" i="4"/>
  <c r="H290" i="4"/>
  <c r="H76" i="4"/>
  <c r="H427" i="4"/>
  <c r="H428" i="4"/>
  <c r="H190" i="4"/>
  <c r="H255" i="4"/>
  <c r="H191" i="4"/>
  <c r="H256" i="4"/>
  <c r="H147" i="4"/>
  <c r="H148" i="4"/>
  <c r="H219" i="4"/>
  <c r="H397" i="4"/>
  <c r="H77" i="4"/>
  <c r="H220" i="4"/>
  <c r="H366" i="4"/>
  <c r="H257" i="4"/>
  <c r="H291" i="4"/>
  <c r="H331" i="4"/>
  <c r="H39" i="4"/>
  <c r="H367" i="4"/>
  <c r="H398" i="4"/>
  <c r="H332" i="4"/>
  <c r="H399" i="4"/>
  <c r="H333" i="4"/>
  <c r="H429" i="4"/>
  <c r="H78" i="4"/>
  <c r="H430" i="4"/>
  <c r="H118" i="4"/>
  <c r="H368" i="4"/>
  <c r="H431" i="4"/>
  <c r="H192" i="4"/>
  <c r="H79" i="4"/>
  <c r="H292" i="4"/>
  <c r="H400" i="4"/>
  <c r="H40" i="4"/>
  <c r="H80" i="4"/>
  <c r="H149" i="4"/>
  <c r="H11" i="4"/>
  <c r="H41" i="4"/>
  <c r="H334" i="4"/>
  <c r="H81" i="4"/>
  <c r="H221" i="4"/>
  <c r="H293" i="4"/>
  <c r="H119" i="4"/>
  <c r="H82" i="4"/>
  <c r="H369" i="4"/>
  <c r="H294" i="4"/>
  <c r="H222" i="4"/>
  <c r="H295" i="4"/>
  <c r="H193" i="4"/>
  <c r="H223" i="4"/>
  <c r="H83" i="4"/>
  <c r="H335" i="4"/>
  <c r="H258" i="4"/>
  <c r="H296" i="4"/>
  <c r="H401" i="4"/>
  <c r="H259" i="4"/>
  <c r="H370" i="4"/>
  <c r="H336" i="4"/>
  <c r="H371" i="4"/>
  <c r="H42" i="4"/>
  <c r="H84" i="4"/>
  <c r="H260" i="4"/>
  <c r="H297" i="4"/>
  <c r="H402" i="4"/>
  <c r="H85" i="4"/>
  <c r="H372" i="4"/>
  <c r="H337" i="4"/>
  <c r="H432" i="4"/>
  <c r="H261" i="4"/>
  <c r="H43" i="4"/>
  <c r="H194" i="4"/>
  <c r="H262" i="4"/>
  <c r="H298" i="4"/>
  <c r="H150" i="4"/>
  <c r="H263" i="4"/>
  <c r="H299" i="4"/>
  <c r="H120" i="4"/>
  <c r="H86" i="4"/>
  <c r="H433" i="4"/>
  <c r="H373" i="4"/>
  <c r="H300" i="4"/>
  <c r="H264" i="4"/>
  <c r="H12" i="4"/>
  <c r="H87" i="4"/>
  <c r="H151" i="4"/>
  <c r="H224" i="4"/>
  <c r="H44" i="4"/>
  <c r="H195" i="4"/>
  <c r="H88" i="4"/>
  <c r="H45" i="4"/>
  <c r="H301" i="4"/>
  <c r="H374" i="4"/>
  <c r="H225" i="4"/>
  <c r="H338" i="4"/>
  <c r="H196" i="4"/>
  <c r="H226" i="4"/>
  <c r="H302" i="4"/>
  <c r="H339" i="4"/>
  <c r="H121" i="4"/>
  <c r="H89" i="4"/>
  <c r="H197" i="4"/>
  <c r="H90" i="4"/>
  <c r="H198" i="4"/>
  <c r="H303" i="4"/>
  <c r="H265" i="4"/>
  <c r="H403" i="4"/>
  <c r="H152" i="4"/>
  <c r="H122" i="4"/>
  <c r="H153" i="4"/>
  <c r="H304" i="4"/>
  <c r="H404" i="4"/>
  <c r="H154" i="4"/>
  <c r="H46" i="4"/>
  <c r="H155" i="4"/>
  <c r="H340" i="4"/>
  <c r="H47" i="4"/>
  <c r="H199" i="4"/>
  <c r="H405" i="4"/>
  <c r="H13" i="4"/>
  <c r="H200" i="4"/>
  <c r="H201" i="4"/>
  <c r="H156" i="4"/>
  <c r="H123" i="4"/>
  <c r="H375" i="4"/>
  <c r="H124" i="4"/>
  <c r="H434" i="4"/>
  <c r="H202" i="4"/>
  <c r="H305" i="4"/>
  <c r="H406" i="4"/>
  <c r="H227" i="4"/>
  <c r="H228" i="4"/>
  <c r="H376" i="4"/>
  <c r="H48" i="4"/>
  <c r="H91" i="4"/>
  <c r="H49" i="4"/>
  <c r="H50" i="4"/>
  <c r="H14" i="4"/>
  <c r="H125" i="4"/>
  <c r="H306" i="4"/>
  <c r="H51" i="4"/>
  <c r="H266" i="4"/>
  <c r="H92" i="4"/>
  <c r="H341" i="4"/>
  <c r="H15" i="4"/>
  <c r="H157" i="4"/>
  <c r="H435" i="4"/>
  <c r="H16" i="4"/>
  <c r="H17" i="4"/>
  <c r="H158" i="4"/>
  <c r="H126" i="4"/>
  <c r="H307" i="4"/>
  <c r="H52" i="4"/>
  <c r="H267" i="4"/>
  <c r="H308" i="4"/>
  <c r="H229" i="4"/>
  <c r="H377" i="4"/>
  <c r="H407" i="4"/>
  <c r="H93" i="4"/>
  <c r="H408" i="4"/>
  <c r="H378" i="4"/>
  <c r="H53" i="4"/>
  <c r="H18" i="4"/>
  <c r="H230" i="4"/>
  <c r="H342" i="4"/>
  <c r="H203" i="4"/>
  <c r="H268" i="4"/>
  <c r="H127" i="4"/>
  <c r="H309" i="4"/>
  <c r="H269" i="4"/>
  <c r="H270" i="4"/>
  <c r="H379" i="4"/>
  <c r="H380" i="4"/>
  <c r="H343" i="4"/>
  <c r="H204" i="4"/>
  <c r="H231" i="4"/>
  <c r="H159" i="4"/>
  <c r="H271" i="4"/>
  <c r="H381" i="4"/>
  <c r="H272" i="4"/>
  <c r="H310" i="4"/>
  <c r="H409" i="4"/>
  <c r="H54" i="4"/>
  <c r="H232" i="4"/>
  <c r="H160" i="4"/>
  <c r="H128" i="4"/>
  <c r="H410" i="4"/>
  <c r="H94" i="4"/>
  <c r="H55" i="4"/>
  <c r="O2" i="1"/>
  <c r="P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G205" i="4"/>
  <c r="Q2" i="1" s="1"/>
  <c r="G206" i="4"/>
  <c r="Q3" i="1" s="1"/>
  <c r="G95" i="4"/>
  <c r="Q4" i="1" s="1"/>
  <c r="G311" i="4"/>
  <c r="Q5" i="1" s="1"/>
  <c r="G382" i="4"/>
  <c r="Q6" i="1" s="1"/>
  <c r="G383" i="4"/>
  <c r="Q7" i="1" s="1"/>
  <c r="G207" i="4"/>
  <c r="Q8" i="1" s="1"/>
  <c r="G344" i="4"/>
  <c r="Q472" i="1" s="1"/>
  <c r="G273" i="4"/>
  <c r="Q10" i="1" s="1"/>
  <c r="G233" i="4"/>
  <c r="Q11" i="1" s="1"/>
  <c r="G312" i="4"/>
  <c r="Q390" i="1" s="1"/>
  <c r="G313" i="4"/>
  <c r="Q13" i="1" s="1"/>
  <c r="G56" i="4"/>
  <c r="Q82" i="1" s="1"/>
  <c r="G129" i="4"/>
  <c r="Q707" i="1" s="1"/>
  <c r="G96" i="4"/>
  <c r="Q111" i="1" s="1"/>
  <c r="G274" i="4"/>
  <c r="Q502" i="1" s="1"/>
  <c r="G345" i="4"/>
  <c r="Q18" i="1" s="1"/>
  <c r="G19" i="4"/>
  <c r="Q19" i="1" s="1"/>
  <c r="G57" i="4"/>
  <c r="Q50" i="1" s="1"/>
  <c r="G161" i="4"/>
  <c r="Q21" i="1" s="1"/>
  <c r="G275" i="4"/>
  <c r="Q22" i="1" s="1"/>
  <c r="G208" i="4"/>
  <c r="Q294" i="1" s="1"/>
  <c r="G411" i="4"/>
  <c r="Q24" i="1" s="1"/>
  <c r="G314" i="4"/>
  <c r="Q484" i="1" s="1"/>
  <c r="G276" i="4"/>
  <c r="Q663" i="1" s="1"/>
  <c r="G130" i="4"/>
  <c r="Q746" i="1" s="1"/>
  <c r="G346" i="4"/>
  <c r="Q245" i="1" s="1"/>
  <c r="G315" i="4"/>
  <c r="Q29" i="1" s="1"/>
  <c r="G384" i="4"/>
  <c r="Q30" i="1" s="1"/>
  <c r="G234" i="4"/>
  <c r="Q31" i="1" s="1"/>
  <c r="G316" i="4"/>
  <c r="Q264" i="1" s="1"/>
  <c r="G58" i="4"/>
  <c r="Q541" i="1" s="1"/>
  <c r="G162" i="4"/>
  <c r="Q34" i="1" s="1"/>
  <c r="G131" i="4"/>
  <c r="Q546" i="1" s="1"/>
  <c r="G97" i="4"/>
  <c r="Q36" i="1" s="1"/>
  <c r="G235" i="4"/>
  <c r="Q37" i="1" s="1"/>
  <c r="G20" i="4"/>
  <c r="Q38" i="1" s="1"/>
  <c r="G163" i="4"/>
  <c r="Q99" i="1" s="1"/>
  <c r="G2" i="4"/>
  <c r="Q40" i="1" s="1"/>
  <c r="G3" i="4"/>
  <c r="Q904" i="1" s="1"/>
  <c r="G21" i="4"/>
  <c r="Q471" i="1" s="1"/>
  <c r="G236" i="4"/>
  <c r="Q262" i="1" s="1"/>
  <c r="G347" i="4"/>
  <c r="Q84" i="1" s="1"/>
  <c r="G317" i="4"/>
  <c r="Q341" i="1" s="1"/>
  <c r="G98" i="4"/>
  <c r="Q370" i="1" s="1"/>
  <c r="G237" i="4"/>
  <c r="Q617" i="1" s="1"/>
  <c r="G22" i="4"/>
  <c r="Q49" i="1" s="1"/>
  <c r="G164" i="4"/>
  <c r="Q818" i="1" s="1"/>
  <c r="G59" i="4"/>
  <c r="Q195" i="1" s="1"/>
  <c r="G165" i="4"/>
  <c r="Q53" i="1" s="1"/>
  <c r="G166" i="4"/>
  <c r="Q54" i="1" s="1"/>
  <c r="G348" i="4"/>
  <c r="Q55" i="1" s="1"/>
  <c r="G60" i="4"/>
  <c r="Q56" i="1" s="1"/>
  <c r="G318" i="4"/>
  <c r="Q199" i="1" s="1"/>
  <c r="G277" i="4"/>
  <c r="Q388" i="1" s="1"/>
  <c r="G132" i="4"/>
  <c r="Q906" i="1" s="1"/>
  <c r="G238" i="4"/>
  <c r="Q742" i="1" s="1"/>
  <c r="G61" i="4"/>
  <c r="Q62" i="1" s="1"/>
  <c r="G278" i="4"/>
  <c r="Q162" i="1" s="1"/>
  <c r="G99" i="4"/>
  <c r="Q795" i="1" s="1"/>
  <c r="G349" i="4"/>
  <c r="Q487" i="1" s="1"/>
  <c r="G167" i="4"/>
  <c r="Q66" i="1" s="1"/>
  <c r="G62" i="4"/>
  <c r="Q67" i="1" s="1"/>
  <c r="G412" i="4"/>
  <c r="Q771" i="1" s="1"/>
  <c r="G239" i="4"/>
  <c r="Q69" i="1" s="1"/>
  <c r="G23" i="4"/>
  <c r="Q165" i="1" s="1"/>
  <c r="G319" i="4"/>
  <c r="Q194" i="1" s="1"/>
  <c r="G320" i="4"/>
  <c r="Q72" i="1" s="1"/>
  <c r="G100" i="4"/>
  <c r="Q420" i="1" s="1"/>
  <c r="G133" i="4"/>
  <c r="Q596" i="1" s="1"/>
  <c r="G240" i="4"/>
  <c r="Q76" i="1" s="1"/>
  <c r="G321" i="4"/>
  <c r="Q246" i="1" s="1"/>
  <c r="G24" i="4"/>
  <c r="Q78" i="1" s="1"/>
  <c r="G168" i="4"/>
  <c r="Q775" i="1" s="1"/>
  <c r="G169" i="4"/>
  <c r="Q222" i="1" s="1"/>
  <c r="G385" i="4"/>
  <c r="Q148" i="1" s="1"/>
  <c r="G209" i="4"/>
  <c r="Q83" i="1" s="1"/>
  <c r="G322" i="4"/>
  <c r="Q85" i="1" s="1"/>
  <c r="G4" i="4"/>
  <c r="Q309" i="1" s="1"/>
  <c r="G101" i="4"/>
  <c r="Q598" i="1" s="1"/>
  <c r="G63" i="4"/>
  <c r="Q229" i="1" s="1"/>
  <c r="G170" i="4"/>
  <c r="Q914" i="1" s="1"/>
  <c r="G350" i="4"/>
  <c r="Q90" i="1" s="1"/>
  <c r="G279" i="4"/>
  <c r="Q91" i="1" s="1"/>
  <c r="G241" i="4"/>
  <c r="Q882" i="1" s="1"/>
  <c r="G64" i="4"/>
  <c r="Q678" i="1" s="1"/>
  <c r="G102" i="4"/>
  <c r="Q620" i="1" s="1"/>
  <c r="G413" i="4"/>
  <c r="Q146" i="1" s="1"/>
  <c r="G351" i="4"/>
  <c r="Q791" i="1" s="1"/>
  <c r="G103" i="4"/>
  <c r="Q98" i="1" s="1"/>
  <c r="G104" i="4"/>
  <c r="Q100" i="1" s="1"/>
  <c r="G171" i="4"/>
  <c r="Q101" i="1" s="1"/>
  <c r="G386" i="4"/>
  <c r="Q102" i="1" s="1"/>
  <c r="G134" i="4"/>
  <c r="Q710" i="1" s="1"/>
  <c r="G172" i="4"/>
  <c r="Q469" i="1" s="1"/>
  <c r="G173" i="4"/>
  <c r="Q147" i="1" s="1"/>
  <c r="G25" i="4"/>
  <c r="Q233" i="1" s="1"/>
  <c r="G174" i="4"/>
  <c r="Q931" i="1" s="1"/>
  <c r="G242" i="4"/>
  <c r="Q378" i="1" s="1"/>
  <c r="G387" i="4"/>
  <c r="Q109" i="1" s="1"/>
  <c r="G352" i="4"/>
  <c r="Q955" i="1" s="1"/>
  <c r="G135" i="4"/>
  <c r="Q802" i="1" s="1"/>
  <c r="G105" i="4"/>
  <c r="Q346" i="1" s="1"/>
  <c r="G414" i="4"/>
  <c r="Q114" i="1" s="1"/>
  <c r="G136" i="4"/>
  <c r="Q115" i="1" s="1"/>
  <c r="G323" i="4"/>
  <c r="Q819" i="1" s="1"/>
  <c r="G210" i="4"/>
  <c r="Q117" i="1" s="1"/>
  <c r="G353" i="4"/>
  <c r="Q803" i="1" s="1"/>
  <c r="G388" i="4"/>
  <c r="Q119" i="1" s="1"/>
  <c r="G106" i="4"/>
  <c r="Q452" i="1" s="1"/>
  <c r="G65" i="4"/>
  <c r="Q711" i="1" s="1"/>
  <c r="G107" i="4"/>
  <c r="Q387" i="1" s="1"/>
  <c r="G389" i="4"/>
  <c r="Q698" i="1" s="1"/>
  <c r="G175" i="4"/>
  <c r="Q127" i="1" s="1"/>
  <c r="G280" i="4"/>
  <c r="Q548" i="1" s="1"/>
  <c r="G26" i="4"/>
  <c r="Q597" i="1" s="1"/>
  <c r="G66" i="4"/>
  <c r="Q130" i="1" s="1"/>
  <c r="G243" i="4"/>
  <c r="Q131" i="1" s="1"/>
  <c r="G244" i="4"/>
  <c r="Q132" i="1" s="1"/>
  <c r="G245" i="4"/>
  <c r="Q500" i="1" s="1"/>
  <c r="G27" i="4"/>
  <c r="Q964" i="1" s="1"/>
  <c r="G176" i="4"/>
  <c r="Q135" i="1" s="1"/>
  <c r="G108" i="4"/>
  <c r="Q136" i="1" s="1"/>
  <c r="G415" i="4"/>
  <c r="Q515" i="1" s="1"/>
  <c r="G281" i="4"/>
  <c r="Q998" i="1" s="1"/>
  <c r="G28" i="4"/>
  <c r="Q139" i="1" s="1"/>
  <c r="G246" i="4"/>
  <c r="Q612" i="1" s="1"/>
  <c r="G416" i="4"/>
  <c r="Q278" i="1" s="1"/>
  <c r="G354" i="4"/>
  <c r="Q142" i="1" s="1"/>
  <c r="G390" i="4"/>
  <c r="Q642" i="1" s="1"/>
  <c r="G211" i="4"/>
  <c r="Q611" i="1" s="1"/>
  <c r="G5" i="4"/>
  <c r="Q149" i="1" s="1"/>
  <c r="G29" i="4"/>
  <c r="Q150" i="1" s="1"/>
  <c r="G391" i="4"/>
  <c r="Q153" i="1" s="1"/>
  <c r="G392" i="4"/>
  <c r="Q154" i="1" s="1"/>
  <c r="G355" i="4"/>
  <c r="Q155" i="1" s="1"/>
  <c r="G67" i="4"/>
  <c r="Q158" i="1" s="1"/>
  <c r="G177" i="4"/>
  <c r="Q180" i="1" s="1"/>
  <c r="G30" i="4"/>
  <c r="Q250" i="1" s="1"/>
  <c r="G68" i="4"/>
  <c r="Q163" i="1" s="1"/>
  <c r="G109" i="4"/>
  <c r="Q930" i="1" s="1"/>
  <c r="G69" i="4"/>
  <c r="Q166" i="1" s="1"/>
  <c r="G178" i="4"/>
  <c r="Q168" i="1" s="1"/>
  <c r="G417" i="4"/>
  <c r="Q169" i="1" s="1"/>
  <c r="G137" i="4"/>
  <c r="Q290" i="1" s="1"/>
  <c r="G418" i="4"/>
  <c r="Q633" i="1" s="1"/>
  <c r="G110" i="4"/>
  <c r="Q1000" i="1" s="1"/>
  <c r="G282" i="4"/>
  <c r="Q602" i="1" s="1"/>
  <c r="G324" i="4"/>
  <c r="Q429" i="1" s="1"/>
  <c r="G356" i="4"/>
  <c r="Q175" i="1" s="1"/>
  <c r="G111" i="4"/>
  <c r="Q176" i="1" s="1"/>
  <c r="G247" i="4"/>
  <c r="Q888" i="1" s="1"/>
  <c r="G283" i="4"/>
  <c r="Q178" i="1" s="1"/>
  <c r="G31" i="4"/>
  <c r="Q179" i="1" s="1"/>
  <c r="G357" i="4"/>
  <c r="Q182" i="1" s="1"/>
  <c r="G419" i="4"/>
  <c r="Q183" i="1" s="1"/>
  <c r="G70" i="4"/>
  <c r="Q216" i="1" s="1"/>
  <c r="G212" i="4"/>
  <c r="Q308" i="1" s="1"/>
  <c r="G138" i="4"/>
  <c r="Q371" i="1" s="1"/>
  <c r="G420" i="4"/>
  <c r="Q280" i="1" s="1"/>
  <c r="G179" i="4"/>
  <c r="Q498" i="1" s="1"/>
  <c r="G6" i="4"/>
  <c r="Q196" i="1" s="1"/>
  <c r="G284" i="4"/>
  <c r="Q197" i="1" s="1"/>
  <c r="G112" i="4"/>
  <c r="Q198" i="1" s="1"/>
  <c r="G248" i="4"/>
  <c r="Q201" i="1" s="1"/>
  <c r="G249" i="4"/>
  <c r="Q247" i="1" s="1"/>
  <c r="G180" i="4"/>
  <c r="Q205" i="1" s="1"/>
  <c r="G213" i="4"/>
  <c r="Q973" i="1" s="1"/>
  <c r="G113" i="4"/>
  <c r="Q799" i="1" s="1"/>
  <c r="G214" i="4"/>
  <c r="Q210" i="1" s="1"/>
  <c r="G215" i="4"/>
  <c r="Q211" i="1" s="1"/>
  <c r="G7" i="4"/>
  <c r="Q212" i="1" s="1"/>
  <c r="G32" i="4"/>
  <c r="Q514" i="1" s="1"/>
  <c r="G325" i="4"/>
  <c r="Q214" i="1" s="1"/>
  <c r="G114" i="4"/>
  <c r="Q218" i="1" s="1"/>
  <c r="G181" i="4"/>
  <c r="Q375" i="1" s="1"/>
  <c r="G250" i="4"/>
  <c r="Q220" i="1" s="1"/>
  <c r="G251" i="4"/>
  <c r="Q436" i="1" s="1"/>
  <c r="G139" i="4"/>
  <c r="Q226" i="1" s="1"/>
  <c r="G33" i="4"/>
  <c r="Q227" i="1" s="1"/>
  <c r="G71" i="4"/>
  <c r="Q228" i="1" s="1"/>
  <c r="G358" i="4"/>
  <c r="Q709" i="1" s="1"/>
  <c r="G393" i="4"/>
  <c r="Q232" i="1" s="1"/>
  <c r="G182" i="4"/>
  <c r="Q234" i="1" s="1"/>
  <c r="G285" i="4"/>
  <c r="Q235" i="1" s="1"/>
  <c r="G421" i="4"/>
  <c r="Q237" i="1" s="1"/>
  <c r="G34" i="4"/>
  <c r="Q661" i="1" s="1"/>
  <c r="G72" i="4"/>
  <c r="Q242" i="1" s="1"/>
  <c r="G359" i="4"/>
  <c r="Q243" i="1" s="1"/>
  <c r="G326" i="4"/>
  <c r="Q307" i="1" s="1"/>
  <c r="G394" i="4"/>
  <c r="Q810" i="1" s="1"/>
  <c r="G140" i="4"/>
  <c r="Q252" i="1" s="1"/>
  <c r="G141" i="4"/>
  <c r="Q805" i="1" s="1"/>
  <c r="G183" i="4"/>
  <c r="Q979" i="1" s="1"/>
  <c r="G286" i="4"/>
  <c r="Q402" i="1" s="1"/>
  <c r="G422" i="4"/>
  <c r="Q258" i="1" s="1"/>
  <c r="G360" i="4"/>
  <c r="Q259" i="1" s="1"/>
  <c r="G142" i="4"/>
  <c r="Q260" i="1" s="1"/>
  <c r="G184" i="4"/>
  <c r="Q261" i="1" s="1"/>
  <c r="G185" i="4"/>
  <c r="Q740" i="1" s="1"/>
  <c r="G252" i="4"/>
  <c r="Q407" i="1" s="1"/>
  <c r="G186" i="4"/>
  <c r="Q267" i="1" s="1"/>
  <c r="G287" i="4"/>
  <c r="Q840" i="1" s="1"/>
  <c r="G253" i="4"/>
  <c r="Q868" i="1" s="1"/>
  <c r="G35" i="4"/>
  <c r="Q271" i="1" s="1"/>
  <c r="G216" i="4"/>
  <c r="Q273" i="1" s="1"/>
  <c r="G73" i="4"/>
  <c r="Q274" i="1" s="1"/>
  <c r="G143" i="4"/>
  <c r="Q691" i="1" s="1"/>
  <c r="G327" i="4"/>
  <c r="Q310" i="1" s="1"/>
  <c r="G8" i="4"/>
  <c r="Q281" i="1" s="1"/>
  <c r="G187" i="4"/>
  <c r="Q900" i="1" s="1"/>
  <c r="G144" i="4"/>
  <c r="Q820" i="1" s="1"/>
  <c r="G145" i="4"/>
  <c r="Q291" i="1" s="1"/>
  <c r="G423" i="4"/>
  <c r="Q292" i="1" s="1"/>
  <c r="G288" i="4"/>
  <c r="Q293" i="1" s="1"/>
  <c r="G361" i="4"/>
  <c r="Q295" i="1" s="1"/>
  <c r="G36" i="4"/>
  <c r="Q296" i="1" s="1"/>
  <c r="G289" i="4"/>
  <c r="Q297" i="1" s="1"/>
  <c r="G395" i="4"/>
  <c r="Q505" i="1" s="1"/>
  <c r="G254" i="4"/>
  <c r="Q301" i="1" s="1"/>
  <c r="G9" i="4"/>
  <c r="Q306" i="1" s="1"/>
  <c r="G188" i="4"/>
  <c r="Q311" i="1" s="1"/>
  <c r="G217" i="4"/>
  <c r="Q314" i="1" s="1"/>
  <c r="G328" i="4"/>
  <c r="Q316" i="1" s="1"/>
  <c r="G10" i="4"/>
  <c r="Q374" i="1" s="1"/>
  <c r="G424" i="4"/>
  <c r="Q322" i="1" s="1"/>
  <c r="G329" i="4"/>
  <c r="Q323" i="1" s="1"/>
  <c r="G115" i="4"/>
  <c r="Q994" i="1" s="1"/>
  <c r="G74" i="4"/>
  <c r="Q754" i="1" s="1"/>
  <c r="G362" i="4"/>
  <c r="Q996" i="1" s="1"/>
  <c r="G425" i="4"/>
  <c r="Q328" i="1" s="1"/>
  <c r="G146" i="4"/>
  <c r="Q329" i="1" s="1"/>
  <c r="G218" i="4"/>
  <c r="Q331" i="1" s="1"/>
  <c r="G363" i="4"/>
  <c r="Q333" i="1" s="1"/>
  <c r="G426" i="4"/>
  <c r="Q898" i="1" s="1"/>
  <c r="G364" i="4"/>
  <c r="Q338" i="1" s="1"/>
  <c r="G330" i="4"/>
  <c r="Q339" i="1" s="1"/>
  <c r="G116" i="4"/>
  <c r="Q466" i="1" s="1"/>
  <c r="G75" i="4"/>
  <c r="Q342" i="1" s="1"/>
  <c r="G189" i="4"/>
  <c r="Q343" i="1" s="1"/>
  <c r="G37" i="4"/>
  <c r="Q344" i="1" s="1"/>
  <c r="G117" i="4"/>
  <c r="Q345" i="1" s="1"/>
  <c r="G38" i="4"/>
  <c r="Q348" i="1" s="1"/>
  <c r="G365" i="4"/>
  <c r="Q739" i="1" s="1"/>
  <c r="G396" i="4"/>
  <c r="Q842" i="1" s="1"/>
  <c r="G290" i="4"/>
  <c r="Q352" i="1" s="1"/>
  <c r="G76" i="4"/>
  <c r="Q660" i="1" s="1"/>
  <c r="G427" i="4"/>
  <c r="Q354" i="1" s="1"/>
  <c r="G428" i="4"/>
  <c r="Q355" i="1" s="1"/>
  <c r="G190" i="4"/>
  <c r="Q356" i="1" s="1"/>
  <c r="G255" i="4"/>
  <c r="Q357" i="1" s="1"/>
  <c r="G191" i="4"/>
  <c r="Q359" i="1" s="1"/>
  <c r="G256" i="4"/>
  <c r="Q995" i="1" s="1"/>
  <c r="G147" i="4"/>
  <c r="Q788" i="1" s="1"/>
  <c r="G148" i="4"/>
  <c r="Q363" i="1" s="1"/>
  <c r="G219" i="4"/>
  <c r="Q364" i="1" s="1"/>
  <c r="G397" i="4"/>
  <c r="Q834" i="1" s="1"/>
  <c r="G77" i="4"/>
  <c r="Q372" i="1" s="1"/>
  <c r="G220" i="4"/>
  <c r="Q674" i="1" s="1"/>
  <c r="G366" i="4"/>
  <c r="Q499" i="1" s="1"/>
  <c r="G257" i="4"/>
  <c r="Q908" i="1" s="1"/>
  <c r="G291" i="4"/>
  <c r="Q504" i="1" s="1"/>
  <c r="G331" i="4"/>
  <c r="Q383" i="1" s="1"/>
  <c r="G39" i="4"/>
  <c r="Q384" i="1" s="1"/>
  <c r="G367" i="4"/>
  <c r="Q386" i="1" s="1"/>
  <c r="G398" i="4"/>
  <c r="Q391" i="1" s="1"/>
  <c r="G332" i="4"/>
  <c r="Q392" i="1" s="1"/>
  <c r="G399" i="4"/>
  <c r="Q394" i="1" s="1"/>
  <c r="G333" i="4"/>
  <c r="Q395" i="1" s="1"/>
  <c r="G429" i="4"/>
  <c r="Q708" i="1" s="1"/>
  <c r="G78" i="4"/>
  <c r="Q531" i="1" s="1"/>
  <c r="G430" i="4"/>
  <c r="Q398" i="1" s="1"/>
  <c r="G118" i="4"/>
  <c r="Q626" i="1" s="1"/>
  <c r="G368" i="4"/>
  <c r="Q400" i="1" s="1"/>
  <c r="G431" i="4"/>
  <c r="Q870" i="1" s="1"/>
  <c r="G192" i="4"/>
  <c r="Q403" i="1" s="1"/>
  <c r="G79" i="4"/>
  <c r="Q404" i="1" s="1"/>
  <c r="G292" i="4"/>
  <c r="Q405" i="1" s="1"/>
  <c r="G400" i="4"/>
  <c r="Q836" i="1" s="1"/>
  <c r="G40" i="4"/>
  <c r="Q409" i="1" s="1"/>
  <c r="G80" i="4"/>
  <c r="Q412" i="1" s="1"/>
  <c r="G149" i="4"/>
  <c r="Q413" i="1" s="1"/>
  <c r="G11" i="4"/>
  <c r="Q489" i="1" s="1"/>
  <c r="G41" i="4"/>
  <c r="Q470" i="1" s="1"/>
  <c r="G334" i="4"/>
  <c r="Q418" i="1" s="1"/>
  <c r="G81" i="4"/>
  <c r="Q419" i="1" s="1"/>
  <c r="G221" i="4"/>
  <c r="Q467" i="1" s="1"/>
  <c r="G293" i="4"/>
  <c r="Q423" i="1" s="1"/>
  <c r="G119" i="4"/>
  <c r="Q424" i="1" s="1"/>
  <c r="G82" i="4"/>
  <c r="Q426" i="1" s="1"/>
  <c r="G369" i="4"/>
  <c r="Q741" i="1" s="1"/>
  <c r="G294" i="4"/>
  <c r="Q890" i="1" s="1"/>
  <c r="G222" i="4"/>
  <c r="Q434" i="1" s="1"/>
  <c r="G295" i="4"/>
  <c r="Q435" i="1" s="1"/>
  <c r="G193" i="4"/>
  <c r="Q438" i="1" s="1"/>
  <c r="G223" i="4"/>
  <c r="Q440" i="1" s="1"/>
  <c r="G83" i="4"/>
  <c r="Q441" i="1" s="1"/>
  <c r="G335" i="4"/>
  <c r="Q936" i="1" s="1"/>
  <c r="G258" i="4"/>
  <c r="Q530" i="1" s="1"/>
  <c r="G296" i="4"/>
  <c r="Q444" i="1" s="1"/>
  <c r="G401" i="4"/>
  <c r="Q563" i="1" s="1"/>
  <c r="G259" i="4"/>
  <c r="Q901" i="1" s="1"/>
  <c r="G370" i="4"/>
  <c r="Q535" i="1" s="1"/>
  <c r="G336" i="4"/>
  <c r="Q450" i="1" s="1"/>
  <c r="G371" i="4"/>
  <c r="Q451" i="1" s="1"/>
  <c r="G42" i="4"/>
  <c r="Q468" i="1" s="1"/>
  <c r="G84" i="4"/>
  <c r="Q456" i="1" s="1"/>
  <c r="G260" i="4"/>
  <c r="Q457" i="1" s="1"/>
  <c r="G297" i="4"/>
  <c r="Q458" i="1" s="1"/>
  <c r="G402" i="4"/>
  <c r="Q459" i="1" s="1"/>
  <c r="G85" i="4"/>
  <c r="Q460" i="1" s="1"/>
  <c r="G372" i="4"/>
  <c r="Q461" i="1" s="1"/>
  <c r="G337" i="4"/>
  <c r="Q462" i="1" s="1"/>
  <c r="G432" i="4"/>
  <c r="Q733" i="1" s="1"/>
  <c r="G261" i="4"/>
  <c r="Q482" i="1" s="1"/>
  <c r="G43" i="4"/>
  <c r="Q594" i="1" s="1"/>
  <c r="G194" i="4"/>
  <c r="Q483" i="1" s="1"/>
  <c r="G262" i="4"/>
  <c r="Q488" i="1" s="1"/>
  <c r="G298" i="4"/>
  <c r="Q492" i="1" s="1"/>
  <c r="G150" i="4"/>
  <c r="Q730" i="1" s="1"/>
  <c r="G263" i="4"/>
  <c r="Q497" i="1" s="1"/>
  <c r="G299" i="4"/>
  <c r="Q516" i="1" s="1"/>
  <c r="G120" i="4"/>
  <c r="Q517" i="1" s="1"/>
  <c r="G86" i="4"/>
  <c r="Q643" i="1" s="1"/>
  <c r="G433" i="4"/>
  <c r="Q519" i="1" s="1"/>
  <c r="G373" i="4"/>
  <c r="Q755" i="1" s="1"/>
  <c r="G300" i="4"/>
  <c r="Q527" i="1" s="1"/>
  <c r="G264" i="4"/>
  <c r="Q581" i="1" s="1"/>
  <c r="G12" i="4"/>
  <c r="Q532" i="1" s="1"/>
  <c r="G87" i="4"/>
  <c r="Q533" i="1" s="1"/>
  <c r="G151" i="4"/>
  <c r="Q534" i="1" s="1"/>
  <c r="G224" i="4"/>
  <c r="Q536" i="1" s="1"/>
  <c r="G44" i="4"/>
  <c r="Q981" i="1" s="1"/>
  <c r="G195" i="4"/>
  <c r="Q542" i="1" s="1"/>
  <c r="G88" i="4"/>
  <c r="Q552" i="1" s="1"/>
  <c r="G45" i="4"/>
  <c r="Q555" i="1" s="1"/>
  <c r="G301" i="4"/>
  <c r="Q920" i="1" s="1"/>
  <c r="G374" i="4"/>
  <c r="Q952" i="1" s="1"/>
  <c r="G225" i="4"/>
  <c r="Q565" i="1" s="1"/>
  <c r="G338" i="4"/>
  <c r="Q567" i="1" s="1"/>
  <c r="G196" i="4"/>
  <c r="Q574" i="1" s="1"/>
  <c r="G226" i="4"/>
  <c r="Q578" i="1" s="1"/>
  <c r="G302" i="4"/>
  <c r="Q579" i="1" s="1"/>
  <c r="G339" i="4"/>
  <c r="Q588" i="1" s="1"/>
  <c r="G121" i="4"/>
  <c r="Q728" i="1" s="1"/>
  <c r="G89" i="4"/>
  <c r="Q738" i="1" s="1"/>
  <c r="G197" i="4"/>
  <c r="Q595" i="1" s="1"/>
  <c r="G90" i="4"/>
  <c r="Q600" i="1" s="1"/>
  <c r="G198" i="4"/>
  <c r="Q610" i="1" s="1"/>
  <c r="G303" i="4"/>
  <c r="Q606" i="1" s="1"/>
  <c r="G265" i="4"/>
  <c r="Q761" i="1" s="1"/>
  <c r="G403" i="4"/>
  <c r="Q609" i="1" s="1"/>
  <c r="G152" i="4"/>
  <c r="Q613" i="1" s="1"/>
  <c r="G122" i="4"/>
  <c r="Q614" i="1" s="1"/>
  <c r="G153" i="4"/>
  <c r="Q804" i="1" s="1"/>
  <c r="G304" i="4"/>
  <c r="Q966" i="1" s="1"/>
  <c r="G404" i="4"/>
  <c r="Q619" i="1" s="1"/>
  <c r="G154" i="4"/>
  <c r="Q946" i="1" s="1"/>
  <c r="G46" i="4"/>
  <c r="Q623" i="1" s="1"/>
  <c r="G155" i="4"/>
  <c r="Q627" i="1" s="1"/>
  <c r="G340" i="4"/>
  <c r="Q632" i="1" s="1"/>
  <c r="G47" i="4"/>
  <c r="Q637" i="1" s="1"/>
  <c r="G199" i="4"/>
  <c r="Q680" i="1" s="1"/>
  <c r="G405" i="4"/>
  <c r="Q962" i="1" s="1"/>
  <c r="G13" i="4"/>
  <c r="Q641" i="1" s="1"/>
  <c r="G200" i="4"/>
  <c r="Q787" i="1" s="1"/>
  <c r="G201" i="4"/>
  <c r="Q658" i="1" s="1"/>
  <c r="G156" i="4"/>
  <c r="Q659" i="1" s="1"/>
  <c r="G123" i="4"/>
  <c r="Q662" i="1" s="1"/>
  <c r="G375" i="4"/>
  <c r="Q666" i="1" s="1"/>
  <c r="G124" i="4"/>
  <c r="Q667" i="1" s="1"/>
  <c r="G434" i="4"/>
  <c r="Q668" i="1" s="1"/>
  <c r="G202" i="4"/>
  <c r="Q671" i="1" s="1"/>
  <c r="G305" i="4"/>
  <c r="Q677" i="1" s="1"/>
  <c r="G406" i="4"/>
  <c r="Q684" i="1" s="1"/>
  <c r="G227" i="4"/>
  <c r="Q690" i="1" s="1"/>
  <c r="G228" i="4"/>
  <c r="Q692" i="1" s="1"/>
  <c r="G376" i="4"/>
  <c r="Q693" i="1" s="1"/>
  <c r="G48" i="4"/>
  <c r="Q697" i="1" s="1"/>
  <c r="G91" i="4"/>
  <c r="Q699" i="1" s="1"/>
  <c r="G49" i="4"/>
  <c r="Q837" i="1" s="1"/>
  <c r="G50" i="4"/>
  <c r="Q978" i="1" s="1"/>
  <c r="G14" i="4"/>
  <c r="Q702" i="1" s="1"/>
  <c r="G125" i="4"/>
  <c r="Q703" i="1" s="1"/>
  <c r="G306" i="4"/>
  <c r="Q705" i="1" s="1"/>
  <c r="G51" i="4"/>
  <c r="Q706" i="1" s="1"/>
  <c r="G266" i="4"/>
  <c r="Q854" i="1" s="1"/>
  <c r="G92" i="4"/>
  <c r="Q726" i="1" s="1"/>
  <c r="G341" i="4"/>
  <c r="Q722" i="1" s="1"/>
  <c r="G15" i="4"/>
  <c r="Q727" i="1" s="1"/>
  <c r="G157" i="4"/>
  <c r="Q853" i="1" s="1"/>
  <c r="G435" i="4"/>
  <c r="Q786" i="1" s="1"/>
  <c r="G16" i="4"/>
  <c r="Q749" i="1" s="1"/>
  <c r="G17" i="4"/>
  <c r="Q756" i="1" s="1"/>
  <c r="G158" i="4"/>
  <c r="Q757" i="1" s="1"/>
  <c r="G126" i="4"/>
  <c r="Q886" i="1" s="1"/>
  <c r="G307" i="4"/>
  <c r="Q822" i="1" s="1"/>
  <c r="G52" i="4"/>
  <c r="Q766" i="1" s="1"/>
  <c r="G267" i="4"/>
  <c r="Q965" i="1" s="1"/>
  <c r="G308" i="4"/>
  <c r="Q770" i="1" s="1"/>
  <c r="G229" i="4"/>
  <c r="Q776" i="1" s="1"/>
  <c r="G377" i="4"/>
  <c r="Q933" i="1" s="1"/>
  <c r="G407" i="4"/>
  <c r="Q784" i="1" s="1"/>
  <c r="G93" i="4"/>
  <c r="Q850" i="1" s="1"/>
  <c r="G408" i="4"/>
  <c r="Q790" i="1" s="1"/>
  <c r="G378" i="4"/>
  <c r="Q792" i="1" s="1"/>
  <c r="G53" i="4"/>
  <c r="Q872" i="1" s="1"/>
  <c r="G18" i="4"/>
  <c r="Q806" i="1" s="1"/>
  <c r="G230" i="4"/>
  <c r="Q808" i="1" s="1"/>
  <c r="G342" i="4"/>
  <c r="Q823" i="1" s="1"/>
  <c r="G203" i="4"/>
  <c r="Q825" i="1" s="1"/>
  <c r="G268" i="4"/>
  <c r="Q826" i="1" s="1"/>
  <c r="G127" i="4"/>
  <c r="Q831" i="1" s="1"/>
  <c r="G309" i="4"/>
  <c r="Q851" i="1" s="1"/>
  <c r="G269" i="4"/>
  <c r="Q839" i="1" s="1"/>
  <c r="G270" i="4"/>
  <c r="Q841" i="1" s="1"/>
  <c r="G379" i="4"/>
  <c r="Q843" i="1" s="1"/>
  <c r="G380" i="4"/>
  <c r="Q848" i="1" s="1"/>
  <c r="G343" i="4"/>
  <c r="Q858" i="1" s="1"/>
  <c r="G204" i="4"/>
  <c r="Q863" i="1" s="1"/>
  <c r="G231" i="4"/>
  <c r="Q963" i="1" s="1"/>
  <c r="G159" i="4"/>
  <c r="Q896" i="1" s="1"/>
  <c r="G271" i="4"/>
  <c r="Q902" i="1" s="1"/>
  <c r="G381" i="4"/>
  <c r="Q905" i="1" s="1"/>
  <c r="G272" i="4"/>
  <c r="Q915" i="1" s="1"/>
  <c r="G310" i="4"/>
  <c r="Q916" i="1" s="1"/>
  <c r="G409" i="4"/>
  <c r="Q919" i="1" s="1"/>
  <c r="G54" i="4"/>
  <c r="Q942" i="1" s="1"/>
  <c r="G232" i="4"/>
  <c r="Q947" i="1" s="1"/>
  <c r="G160" i="4"/>
  <c r="Q948" i="1" s="1"/>
  <c r="G128" i="4"/>
  <c r="Q956" i="1" s="1"/>
  <c r="G410" i="4"/>
  <c r="Q968" i="1" s="1"/>
  <c r="G94" i="4"/>
  <c r="Q977" i="1" s="1"/>
  <c r="G55" i="4"/>
  <c r="Q983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2" i="1"/>
  <c r="I4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Q993" i="1" l="1"/>
  <c r="Q961" i="1"/>
  <c r="Q945" i="1"/>
  <c r="Q929" i="1"/>
  <c r="Q913" i="1"/>
  <c r="Q897" i="1"/>
  <c r="Q881" i="1"/>
  <c r="Q865" i="1"/>
  <c r="Q849" i="1"/>
  <c r="Q833" i="1"/>
  <c r="Q817" i="1"/>
  <c r="Q801" i="1"/>
  <c r="Q785" i="1"/>
  <c r="Q769" i="1"/>
  <c r="Q753" i="1"/>
  <c r="Q737" i="1"/>
  <c r="Q721" i="1"/>
  <c r="Q689" i="1"/>
  <c r="Q673" i="1"/>
  <c r="Q657" i="1"/>
  <c r="Q625" i="1"/>
  <c r="Q593" i="1"/>
  <c r="Q577" i="1"/>
  <c r="Q561" i="1"/>
  <c r="Q545" i="1"/>
  <c r="Q529" i="1"/>
  <c r="Q513" i="1"/>
  <c r="Q481" i="1"/>
  <c r="Q465" i="1"/>
  <c r="Q449" i="1"/>
  <c r="Q433" i="1"/>
  <c r="Q417" i="1"/>
  <c r="Q401" i="1"/>
  <c r="Q385" i="1"/>
  <c r="Q369" i="1"/>
  <c r="Q353" i="1"/>
  <c r="Q337" i="1"/>
  <c r="Q321" i="1"/>
  <c r="Q305" i="1"/>
  <c r="Q289" i="1"/>
  <c r="Q257" i="1"/>
  <c r="Q241" i="1"/>
  <c r="Q225" i="1"/>
  <c r="Q209" i="1"/>
  <c r="Q193" i="1"/>
  <c r="Q177" i="1"/>
  <c r="Q161" i="1"/>
  <c r="Q145" i="1"/>
  <c r="Q129" i="1"/>
  <c r="Q113" i="1"/>
  <c r="Q97" i="1"/>
  <c r="Q81" i="1"/>
  <c r="Q65" i="1"/>
  <c r="Q33" i="1"/>
  <c r="Q17" i="1"/>
  <c r="Q992" i="1"/>
  <c r="Q976" i="1"/>
  <c r="Q960" i="1"/>
  <c r="Q944" i="1"/>
  <c r="Q928" i="1"/>
  <c r="Q912" i="1"/>
  <c r="Q880" i="1"/>
  <c r="Q864" i="1"/>
  <c r="Q832" i="1"/>
  <c r="Q816" i="1"/>
  <c r="Q800" i="1"/>
  <c r="Q768" i="1"/>
  <c r="Q752" i="1"/>
  <c r="Q736" i="1"/>
  <c r="Q720" i="1"/>
  <c r="Q704" i="1"/>
  <c r="Q688" i="1"/>
  <c r="Q672" i="1"/>
  <c r="Q656" i="1"/>
  <c r="Q640" i="1"/>
  <c r="Q624" i="1"/>
  <c r="Q608" i="1"/>
  <c r="Q592" i="1"/>
  <c r="Q576" i="1"/>
  <c r="Q560" i="1"/>
  <c r="Q544" i="1"/>
  <c r="Q528" i="1"/>
  <c r="Q512" i="1"/>
  <c r="Q496" i="1"/>
  <c r="Q480" i="1"/>
  <c r="Q464" i="1"/>
  <c r="Q448" i="1"/>
  <c r="Q432" i="1"/>
  <c r="Q416" i="1"/>
  <c r="Q368" i="1"/>
  <c r="Q336" i="1"/>
  <c r="Q320" i="1"/>
  <c r="Q304" i="1"/>
  <c r="Q288" i="1"/>
  <c r="Q272" i="1"/>
  <c r="Q256" i="1"/>
  <c r="Q240" i="1"/>
  <c r="Q224" i="1"/>
  <c r="Q208" i="1"/>
  <c r="Q192" i="1"/>
  <c r="Q160" i="1"/>
  <c r="Q144" i="1"/>
  <c r="Q128" i="1"/>
  <c r="Q112" i="1"/>
  <c r="Q96" i="1"/>
  <c r="Q80" i="1"/>
  <c r="Q64" i="1"/>
  <c r="Q48" i="1"/>
  <c r="Q32" i="1"/>
  <c r="Q16" i="1"/>
  <c r="Q991" i="1"/>
  <c r="Q975" i="1"/>
  <c r="Q959" i="1"/>
  <c r="Q943" i="1"/>
  <c r="Q927" i="1"/>
  <c r="Q911" i="1"/>
  <c r="Q895" i="1"/>
  <c r="Q879" i="1"/>
  <c r="Q847" i="1"/>
  <c r="Q815" i="1"/>
  <c r="Q783" i="1"/>
  <c r="Q767" i="1"/>
  <c r="Q751" i="1"/>
  <c r="Q735" i="1"/>
  <c r="Q719" i="1"/>
  <c r="Q687" i="1"/>
  <c r="Q655" i="1"/>
  <c r="Q639" i="1"/>
  <c r="Q607" i="1"/>
  <c r="Q591" i="1"/>
  <c r="Q575" i="1"/>
  <c r="Q559" i="1"/>
  <c r="Q543" i="1"/>
  <c r="Q511" i="1"/>
  <c r="Q495" i="1"/>
  <c r="Q479" i="1"/>
  <c r="Q463" i="1"/>
  <c r="Q447" i="1"/>
  <c r="Q431" i="1"/>
  <c r="Q415" i="1"/>
  <c r="Q399" i="1"/>
  <c r="Q367" i="1"/>
  <c r="Q351" i="1"/>
  <c r="Q335" i="1"/>
  <c r="Q319" i="1"/>
  <c r="Q303" i="1"/>
  <c r="Q287" i="1"/>
  <c r="Q255" i="1"/>
  <c r="Q239" i="1"/>
  <c r="Q223" i="1"/>
  <c r="Q207" i="1"/>
  <c r="Q191" i="1"/>
  <c r="Q159" i="1"/>
  <c r="Q143" i="1"/>
  <c r="Q95" i="1"/>
  <c r="Q79" i="1"/>
  <c r="Q63" i="1"/>
  <c r="Q47" i="1"/>
  <c r="Q15" i="1"/>
  <c r="Q990" i="1"/>
  <c r="Q974" i="1"/>
  <c r="Q958" i="1"/>
  <c r="Q926" i="1"/>
  <c r="Q910" i="1"/>
  <c r="Q894" i="1"/>
  <c r="Q878" i="1"/>
  <c r="Q862" i="1"/>
  <c r="Q846" i="1"/>
  <c r="Q830" i="1"/>
  <c r="Q814" i="1"/>
  <c r="Q798" i="1"/>
  <c r="Q782" i="1"/>
  <c r="Q750" i="1"/>
  <c r="Q734" i="1"/>
  <c r="Q718" i="1"/>
  <c r="Q686" i="1"/>
  <c r="Q670" i="1"/>
  <c r="Q654" i="1"/>
  <c r="Q638" i="1"/>
  <c r="Q622" i="1"/>
  <c r="Q590" i="1"/>
  <c r="Q558" i="1"/>
  <c r="Q526" i="1"/>
  <c r="Q510" i="1"/>
  <c r="Q494" i="1"/>
  <c r="Q478" i="1"/>
  <c r="Q446" i="1"/>
  <c r="Q430" i="1"/>
  <c r="Q414" i="1"/>
  <c r="Q382" i="1"/>
  <c r="Q366" i="1"/>
  <c r="Q350" i="1"/>
  <c r="Q334" i="1"/>
  <c r="Q318" i="1"/>
  <c r="Q302" i="1"/>
  <c r="Q286" i="1"/>
  <c r="Q270" i="1"/>
  <c r="Q254" i="1"/>
  <c r="Q238" i="1"/>
  <c r="Q206" i="1"/>
  <c r="Q190" i="1"/>
  <c r="Q174" i="1"/>
  <c r="Q126" i="1"/>
  <c r="Q110" i="1"/>
  <c r="Q94" i="1"/>
  <c r="Q46" i="1"/>
  <c r="Q14" i="1"/>
  <c r="Q989" i="1"/>
  <c r="Q957" i="1"/>
  <c r="Q941" i="1"/>
  <c r="Q925" i="1"/>
  <c r="Q909" i="1"/>
  <c r="Q893" i="1"/>
  <c r="Q877" i="1"/>
  <c r="Q861" i="1"/>
  <c r="Q845" i="1"/>
  <c r="Q829" i="1"/>
  <c r="Q813" i="1"/>
  <c r="Q797" i="1"/>
  <c r="Q781" i="1"/>
  <c r="Q765" i="1"/>
  <c r="Q717" i="1"/>
  <c r="Q701" i="1"/>
  <c r="Q685" i="1"/>
  <c r="Q669" i="1"/>
  <c r="Q653" i="1"/>
  <c r="Q621" i="1"/>
  <c r="Q605" i="1"/>
  <c r="Q589" i="1"/>
  <c r="Q573" i="1"/>
  <c r="Q557" i="1"/>
  <c r="Q525" i="1"/>
  <c r="Q509" i="1"/>
  <c r="Q493" i="1"/>
  <c r="Q477" i="1"/>
  <c r="Q445" i="1"/>
  <c r="Q397" i="1"/>
  <c r="Q381" i="1"/>
  <c r="Q365" i="1"/>
  <c r="Q349" i="1"/>
  <c r="Q317" i="1"/>
  <c r="Q285" i="1"/>
  <c r="Q269" i="1"/>
  <c r="Q253" i="1"/>
  <c r="Q221" i="1"/>
  <c r="Q189" i="1"/>
  <c r="Q173" i="1"/>
  <c r="Q157" i="1"/>
  <c r="Q141" i="1"/>
  <c r="Q125" i="1"/>
  <c r="Q93" i="1"/>
  <c r="Q77" i="1"/>
  <c r="Q61" i="1"/>
  <c r="Q45" i="1"/>
  <c r="Q988" i="1"/>
  <c r="Q972" i="1"/>
  <c r="Q940" i="1"/>
  <c r="Q924" i="1"/>
  <c r="Q892" i="1"/>
  <c r="Q876" i="1"/>
  <c r="Q860" i="1"/>
  <c r="Q844" i="1"/>
  <c r="Q828" i="1"/>
  <c r="Q812" i="1"/>
  <c r="Q796" i="1"/>
  <c r="Q780" i="1"/>
  <c r="Q764" i="1"/>
  <c r="Q748" i="1"/>
  <c r="Q732" i="1"/>
  <c r="Q716" i="1"/>
  <c r="Q700" i="1"/>
  <c r="Q652" i="1"/>
  <c r="Q636" i="1"/>
  <c r="Q604" i="1"/>
  <c r="Q572" i="1"/>
  <c r="Q556" i="1"/>
  <c r="Q540" i="1"/>
  <c r="Q524" i="1"/>
  <c r="Q508" i="1"/>
  <c r="Q476" i="1"/>
  <c r="Q428" i="1"/>
  <c r="Q396" i="1"/>
  <c r="Q380" i="1"/>
  <c r="Q332" i="1"/>
  <c r="Q300" i="1"/>
  <c r="Q284" i="1"/>
  <c r="Q268" i="1"/>
  <c r="Q236" i="1"/>
  <c r="Q204" i="1"/>
  <c r="Q188" i="1"/>
  <c r="Q172" i="1"/>
  <c r="Q156" i="1"/>
  <c r="Q140" i="1"/>
  <c r="Q124" i="1"/>
  <c r="Q108" i="1"/>
  <c r="Q92" i="1"/>
  <c r="Q60" i="1"/>
  <c r="Q44" i="1"/>
  <c r="Q28" i="1"/>
  <c r="Q12" i="1"/>
  <c r="Q987" i="1"/>
  <c r="Q971" i="1"/>
  <c r="Q939" i="1"/>
  <c r="Q923" i="1"/>
  <c r="Q907" i="1"/>
  <c r="Q891" i="1"/>
  <c r="Q875" i="1"/>
  <c r="Q859" i="1"/>
  <c r="Q827" i="1"/>
  <c r="Q811" i="1"/>
  <c r="Q779" i="1"/>
  <c r="Q763" i="1"/>
  <c r="Q747" i="1"/>
  <c r="Q731" i="1"/>
  <c r="Q715" i="1"/>
  <c r="Q683" i="1"/>
  <c r="Q651" i="1"/>
  <c r="Q635" i="1"/>
  <c r="Q603" i="1"/>
  <c r="Q587" i="1"/>
  <c r="Q571" i="1"/>
  <c r="Q539" i="1"/>
  <c r="Q523" i="1"/>
  <c r="Q507" i="1"/>
  <c r="Q491" i="1"/>
  <c r="Q475" i="1"/>
  <c r="Q443" i="1"/>
  <c r="Q427" i="1"/>
  <c r="Q411" i="1"/>
  <c r="Q379" i="1"/>
  <c r="Q347" i="1"/>
  <c r="Q315" i="1"/>
  <c r="Q299" i="1"/>
  <c r="Q283" i="1"/>
  <c r="Q251" i="1"/>
  <c r="Q219" i="1"/>
  <c r="Q203" i="1"/>
  <c r="Q187" i="1"/>
  <c r="Q171" i="1"/>
  <c r="Q123" i="1"/>
  <c r="Q107" i="1"/>
  <c r="Q75" i="1"/>
  <c r="Q59" i="1"/>
  <c r="Q43" i="1"/>
  <c r="Q27" i="1"/>
  <c r="Q986" i="1"/>
  <c r="Q970" i="1"/>
  <c r="Q954" i="1"/>
  <c r="Q938" i="1"/>
  <c r="Q922" i="1"/>
  <c r="Q874" i="1"/>
  <c r="Q794" i="1"/>
  <c r="Q778" i="1"/>
  <c r="Q762" i="1"/>
  <c r="Q714" i="1"/>
  <c r="Q682" i="1"/>
  <c r="Q650" i="1"/>
  <c r="Q634" i="1"/>
  <c r="Q618" i="1"/>
  <c r="Q586" i="1"/>
  <c r="Q570" i="1"/>
  <c r="Q554" i="1"/>
  <c r="Q538" i="1"/>
  <c r="Q522" i="1"/>
  <c r="Q506" i="1"/>
  <c r="Q490" i="1"/>
  <c r="Q474" i="1"/>
  <c r="Q442" i="1"/>
  <c r="Q410" i="1"/>
  <c r="Q362" i="1"/>
  <c r="Q330" i="1"/>
  <c r="Q298" i="1"/>
  <c r="Q282" i="1"/>
  <c r="Q266" i="1"/>
  <c r="Q202" i="1"/>
  <c r="Q186" i="1"/>
  <c r="Q170" i="1"/>
  <c r="Q138" i="1"/>
  <c r="Q122" i="1"/>
  <c r="Q106" i="1"/>
  <c r="Q74" i="1"/>
  <c r="Q58" i="1"/>
  <c r="Q42" i="1"/>
  <c r="Q26" i="1"/>
  <c r="Q1001" i="1"/>
  <c r="Q985" i="1"/>
  <c r="Q969" i="1"/>
  <c r="Q953" i="1"/>
  <c r="Q937" i="1"/>
  <c r="Q921" i="1"/>
  <c r="Q889" i="1"/>
  <c r="Q873" i="1"/>
  <c r="Q857" i="1"/>
  <c r="Q809" i="1"/>
  <c r="Q793" i="1"/>
  <c r="Q777" i="1"/>
  <c r="Q745" i="1"/>
  <c r="Q729" i="1"/>
  <c r="Q713" i="1"/>
  <c r="Q681" i="1"/>
  <c r="Q665" i="1"/>
  <c r="Q649" i="1"/>
  <c r="Q601" i="1"/>
  <c r="Q585" i="1"/>
  <c r="Q569" i="1"/>
  <c r="Q553" i="1"/>
  <c r="Q537" i="1"/>
  <c r="Q521" i="1"/>
  <c r="Q473" i="1"/>
  <c r="Q425" i="1"/>
  <c r="Q393" i="1"/>
  <c r="Q377" i="1"/>
  <c r="Q361" i="1"/>
  <c r="Q313" i="1"/>
  <c r="Q265" i="1"/>
  <c r="Q249" i="1"/>
  <c r="Q217" i="1"/>
  <c r="Q185" i="1"/>
  <c r="Q137" i="1"/>
  <c r="Q121" i="1"/>
  <c r="Q105" i="1"/>
  <c r="Q89" i="1"/>
  <c r="Q73" i="1"/>
  <c r="Q57" i="1"/>
  <c r="Q41" i="1"/>
  <c r="Q25" i="1"/>
  <c r="Q9" i="1"/>
  <c r="Q984" i="1"/>
  <c r="Q856" i="1"/>
  <c r="Q824" i="1"/>
  <c r="Q760" i="1"/>
  <c r="Q744" i="1"/>
  <c r="Q712" i="1"/>
  <c r="Q696" i="1"/>
  <c r="Q664" i="1"/>
  <c r="Q648" i="1"/>
  <c r="Q616" i="1"/>
  <c r="Q584" i="1"/>
  <c r="Q568" i="1"/>
  <c r="Q520" i="1"/>
  <c r="Q408" i="1"/>
  <c r="Q376" i="1"/>
  <c r="Q360" i="1"/>
  <c r="Q312" i="1"/>
  <c r="Q248" i="1"/>
  <c r="Q200" i="1"/>
  <c r="Q184" i="1"/>
  <c r="Q152" i="1"/>
  <c r="Q120" i="1"/>
  <c r="Q104" i="1"/>
  <c r="Q88" i="1"/>
  <c r="Q999" i="1"/>
  <c r="Q967" i="1"/>
  <c r="Q951" i="1"/>
  <c r="Q935" i="1"/>
  <c r="Q903" i="1"/>
  <c r="Q887" i="1"/>
  <c r="Q871" i="1"/>
  <c r="Q855" i="1"/>
  <c r="Q807" i="1"/>
  <c r="Q759" i="1"/>
  <c r="Q743" i="1"/>
  <c r="Q695" i="1"/>
  <c r="Q679" i="1"/>
  <c r="Q647" i="1"/>
  <c r="Q631" i="1"/>
  <c r="Q615" i="1"/>
  <c r="Q599" i="1"/>
  <c r="Q583" i="1"/>
  <c r="Q551" i="1"/>
  <c r="Q503" i="1"/>
  <c r="Q455" i="1"/>
  <c r="Q439" i="1"/>
  <c r="Q327" i="1"/>
  <c r="Q279" i="1"/>
  <c r="Q263" i="1"/>
  <c r="Q231" i="1"/>
  <c r="Q215" i="1"/>
  <c r="Q167" i="1"/>
  <c r="Q151" i="1"/>
  <c r="Q103" i="1"/>
  <c r="Q87" i="1"/>
  <c r="Q71" i="1"/>
  <c r="Q39" i="1"/>
  <c r="Q23" i="1"/>
  <c r="Q982" i="1"/>
  <c r="Q950" i="1"/>
  <c r="Q934" i="1"/>
  <c r="Q918" i="1"/>
  <c r="Q838" i="1"/>
  <c r="Q774" i="1"/>
  <c r="Q758" i="1"/>
  <c r="Q694" i="1"/>
  <c r="Q646" i="1"/>
  <c r="Q630" i="1"/>
  <c r="Q582" i="1"/>
  <c r="Q566" i="1"/>
  <c r="Q550" i="1"/>
  <c r="Q518" i="1"/>
  <c r="Q486" i="1"/>
  <c r="Q454" i="1"/>
  <c r="Q422" i="1"/>
  <c r="Q406" i="1"/>
  <c r="Q358" i="1"/>
  <c r="Q326" i="1"/>
  <c r="Q230" i="1"/>
  <c r="Q134" i="1"/>
  <c r="Q118" i="1"/>
  <c r="Q86" i="1"/>
  <c r="Q70" i="1"/>
  <c r="Q997" i="1"/>
  <c r="Q949" i="1"/>
  <c r="Q917" i="1"/>
  <c r="Q885" i="1"/>
  <c r="Q869" i="1"/>
  <c r="Q821" i="1"/>
  <c r="Q789" i="1"/>
  <c r="Q773" i="1"/>
  <c r="Q725" i="1"/>
  <c r="Q645" i="1"/>
  <c r="Q629" i="1"/>
  <c r="Q549" i="1"/>
  <c r="Q501" i="1"/>
  <c r="Q485" i="1"/>
  <c r="Q453" i="1"/>
  <c r="Q437" i="1"/>
  <c r="Q421" i="1"/>
  <c r="Q389" i="1"/>
  <c r="Q373" i="1"/>
  <c r="Q325" i="1"/>
  <c r="Q277" i="1"/>
  <c r="Q213" i="1"/>
  <c r="Q181" i="1"/>
  <c r="Q133" i="1"/>
  <c r="Q980" i="1"/>
  <c r="Q932" i="1"/>
  <c r="Q884" i="1"/>
  <c r="Q852" i="1"/>
  <c r="Q772" i="1"/>
  <c r="Q724" i="1"/>
  <c r="Q676" i="1"/>
  <c r="Q644" i="1"/>
  <c r="Q628" i="1"/>
  <c r="Q580" i="1"/>
  <c r="Q564" i="1"/>
  <c r="Q340" i="1"/>
  <c r="Q324" i="1"/>
  <c r="Q276" i="1"/>
  <c r="Q244" i="1"/>
  <c r="Q164" i="1"/>
  <c r="Q116" i="1"/>
  <c r="Q68" i="1"/>
  <c r="Q52" i="1"/>
  <c r="Q20" i="1"/>
  <c r="Q899" i="1"/>
  <c r="Q883" i="1"/>
  <c r="Q867" i="1"/>
  <c r="Q835" i="1"/>
  <c r="Q723" i="1"/>
  <c r="Q675" i="1"/>
  <c r="Q547" i="1"/>
  <c r="Q275" i="1"/>
  <c r="Q51" i="1"/>
  <c r="Q35" i="1"/>
  <c r="Q866" i="1"/>
  <c r="Q562" i="1"/>
  <c r="I269" i="4"/>
  <c r="I221" i="4"/>
  <c r="I4" i="4"/>
  <c r="I370" i="4"/>
  <c r="I114" i="4"/>
  <c r="I178" i="4"/>
  <c r="J65" i="4"/>
  <c r="I50" i="4"/>
  <c r="J48" i="4"/>
  <c r="J17" i="4"/>
  <c r="J16" i="4"/>
  <c r="J83" i="4"/>
  <c r="J80" i="4"/>
  <c r="J36" i="4"/>
  <c r="J67" i="4"/>
  <c r="J21" i="4"/>
  <c r="J270" i="4"/>
  <c r="I308" i="4"/>
  <c r="I125" i="4"/>
  <c r="J156" i="4"/>
  <c r="J403" i="4"/>
  <c r="J45" i="4"/>
  <c r="I150" i="4"/>
  <c r="I336" i="4"/>
  <c r="J293" i="4"/>
  <c r="I430" i="4"/>
  <c r="I219" i="4"/>
  <c r="J189" i="4"/>
  <c r="J328" i="4"/>
  <c r="I140" i="4"/>
  <c r="I181" i="4"/>
  <c r="J420" i="4"/>
  <c r="I417" i="4"/>
  <c r="I416" i="4"/>
  <c r="J107" i="4"/>
  <c r="J173" i="4"/>
  <c r="J101" i="4"/>
  <c r="I412" i="4"/>
  <c r="I164" i="4"/>
  <c r="I274" i="4"/>
  <c r="I128" i="4"/>
  <c r="J75" i="4"/>
  <c r="I73" i="4"/>
  <c r="I246" i="4"/>
  <c r="I22" i="4"/>
  <c r="I160" i="4"/>
  <c r="I52" i="4"/>
  <c r="I195" i="4"/>
  <c r="I81" i="4"/>
  <c r="I147" i="4"/>
  <c r="I69" i="4"/>
  <c r="I267" i="4"/>
  <c r="I88" i="4"/>
  <c r="I148" i="4"/>
  <c r="I96" i="4"/>
  <c r="J49" i="4"/>
  <c r="J256" i="4"/>
  <c r="J32" i="4"/>
  <c r="J209" i="4"/>
  <c r="J405" i="4"/>
  <c r="J224" i="4"/>
  <c r="J68" i="4"/>
  <c r="I172" i="4"/>
  <c r="I316" i="4"/>
  <c r="I309" i="4"/>
  <c r="I259" i="4"/>
  <c r="I116" i="4"/>
  <c r="I188" i="4"/>
  <c r="I325" i="4"/>
  <c r="I212" i="4"/>
  <c r="I28" i="4"/>
  <c r="I322" i="4"/>
  <c r="I129" i="4"/>
  <c r="J409" i="4"/>
  <c r="J197" i="4"/>
  <c r="J261" i="4"/>
  <c r="J258" i="4"/>
  <c r="J332" i="4"/>
  <c r="J34" i="4"/>
  <c r="J357" i="4"/>
  <c r="J108" i="4"/>
  <c r="J210" i="4"/>
  <c r="J169" i="4"/>
  <c r="J272" i="4"/>
  <c r="J230" i="4"/>
  <c r="J228" i="4"/>
  <c r="J12" i="4"/>
  <c r="J337" i="4"/>
  <c r="J428" i="4"/>
  <c r="J252" i="4"/>
  <c r="J113" i="4"/>
  <c r="J273" i="4"/>
  <c r="I53" i="4"/>
  <c r="I85" i="4"/>
  <c r="I193" i="4"/>
  <c r="I400" i="4"/>
  <c r="I288" i="4"/>
  <c r="I180" i="4"/>
  <c r="I240" i="4"/>
  <c r="I277" i="4"/>
  <c r="I64" i="4"/>
  <c r="I208" i="4"/>
  <c r="I410" i="4"/>
  <c r="I265" i="4"/>
  <c r="I217" i="4"/>
  <c r="I138" i="4"/>
  <c r="I201" i="4"/>
  <c r="I298" i="4"/>
  <c r="J307" i="4"/>
  <c r="J194" i="4"/>
  <c r="J9" i="4"/>
  <c r="J35" i="4"/>
  <c r="J98" i="4"/>
  <c r="J58" i="4"/>
  <c r="I394" i="4"/>
  <c r="J54" i="4"/>
  <c r="J268" i="4"/>
  <c r="J90" i="4"/>
  <c r="J296" i="4"/>
  <c r="J41" i="4"/>
  <c r="J364" i="4"/>
  <c r="J253" i="4"/>
  <c r="J72" i="4"/>
  <c r="J7" i="4"/>
  <c r="J419" i="4"/>
  <c r="J353" i="4"/>
  <c r="J385" i="4"/>
  <c r="J99" i="4"/>
  <c r="J317" i="4"/>
  <c r="J313" i="4"/>
  <c r="J340" i="4"/>
  <c r="J121" i="4"/>
  <c r="J218" i="4"/>
  <c r="J285" i="4"/>
  <c r="J276" i="4"/>
  <c r="I300" i="4"/>
  <c r="I76" i="4"/>
  <c r="I425" i="4"/>
  <c r="I393" i="4"/>
  <c r="I244" i="4"/>
  <c r="I105" i="4"/>
  <c r="I2" i="4"/>
  <c r="I305" i="4"/>
  <c r="I226" i="4"/>
  <c r="I402" i="4"/>
  <c r="I292" i="4"/>
  <c r="I291" i="4"/>
  <c r="I290" i="4"/>
  <c r="I249" i="4"/>
  <c r="I356" i="4"/>
  <c r="I243" i="4"/>
  <c r="I163" i="4"/>
  <c r="J143" i="4"/>
  <c r="I14" i="4"/>
  <c r="I62" i="4"/>
  <c r="I200" i="4"/>
  <c r="I303" i="4"/>
  <c r="I262" i="4"/>
  <c r="I429" i="4"/>
  <c r="I216" i="4"/>
  <c r="I326" i="4"/>
  <c r="I106" i="4"/>
  <c r="I134" i="4"/>
  <c r="I167" i="4"/>
  <c r="I237" i="4"/>
  <c r="I234" i="4"/>
  <c r="J232" i="4"/>
  <c r="J127" i="4"/>
  <c r="J13" i="4"/>
  <c r="J198" i="4"/>
  <c r="J44" i="4"/>
  <c r="J401" i="4"/>
  <c r="J334" i="4"/>
  <c r="J333" i="4"/>
  <c r="J330" i="4"/>
  <c r="J359" i="4"/>
  <c r="J70" i="4"/>
  <c r="J109" i="4"/>
  <c r="J281" i="4"/>
  <c r="J388" i="4"/>
  <c r="J386" i="4"/>
  <c r="J349" i="4"/>
  <c r="J384" i="4"/>
  <c r="J56" i="4"/>
  <c r="J126" i="4"/>
  <c r="J203" i="4"/>
  <c r="J158" i="4"/>
  <c r="J199" i="4"/>
  <c r="J151" i="4"/>
  <c r="J11" i="4"/>
  <c r="J255" i="4"/>
  <c r="J426" i="4"/>
  <c r="J395" i="4"/>
  <c r="J287" i="4"/>
  <c r="J215" i="4"/>
  <c r="J30" i="4"/>
  <c r="J104" i="4"/>
  <c r="J278" i="4"/>
  <c r="J347" i="4"/>
  <c r="J346" i="4"/>
  <c r="J312" i="4"/>
  <c r="J310" i="4"/>
  <c r="J342" i="4"/>
  <c r="J376" i="4"/>
  <c r="J47" i="4"/>
  <c r="J89" i="4"/>
  <c r="J87" i="4"/>
  <c r="J432" i="4"/>
  <c r="J335" i="4"/>
  <c r="J149" i="4"/>
  <c r="J398" i="4"/>
  <c r="J190" i="4"/>
  <c r="J363" i="4"/>
  <c r="J289" i="4"/>
  <c r="J186" i="4"/>
  <c r="J421" i="4"/>
  <c r="J214" i="4"/>
  <c r="J31" i="4"/>
  <c r="J177" i="4"/>
  <c r="J176" i="4"/>
  <c r="J323" i="4"/>
  <c r="J103" i="4"/>
  <c r="J168" i="4"/>
  <c r="J61" i="4"/>
  <c r="J236" i="4"/>
  <c r="J130" i="4"/>
  <c r="J233" i="4"/>
  <c r="J191" i="4"/>
  <c r="J136" i="4"/>
  <c r="I406" i="4"/>
  <c r="I392" i="4"/>
  <c r="I135" i="4"/>
  <c r="J415" i="4"/>
  <c r="J367" i="4"/>
  <c r="J24" i="4"/>
  <c r="I157" i="4"/>
  <c r="I378" i="4"/>
  <c r="I142" i="4"/>
  <c r="I391" i="4"/>
  <c r="I383" i="4"/>
  <c r="J91" i="4"/>
  <c r="J43" i="4"/>
  <c r="J254" i="4"/>
  <c r="J315" i="4"/>
  <c r="J283" i="4"/>
  <c r="J351" i="4"/>
  <c r="I271" i="4"/>
  <c r="I302" i="4"/>
  <c r="I331" i="4"/>
  <c r="I184" i="4"/>
  <c r="I111" i="4"/>
  <c r="I102" i="4"/>
  <c r="I207" i="4"/>
  <c r="I15" i="4"/>
  <c r="I295" i="4"/>
  <c r="I362" i="4"/>
  <c r="I318" i="4"/>
  <c r="J27" i="4"/>
  <c r="J238" i="4"/>
  <c r="I46" i="4"/>
  <c r="I154" i="4"/>
  <c r="I358" i="4"/>
  <c r="I133" i="4"/>
  <c r="I78" i="4"/>
  <c r="J399" i="4"/>
  <c r="J171" i="4"/>
  <c r="I411" i="4"/>
  <c r="I159" i="4"/>
  <c r="I373" i="4"/>
  <c r="I423" i="4"/>
  <c r="I403" i="4"/>
  <c r="I293" i="4"/>
  <c r="I58" i="4"/>
  <c r="J50" i="4"/>
  <c r="J147" i="4"/>
  <c r="J28" i="4"/>
  <c r="I270" i="4"/>
  <c r="J14" i="4"/>
  <c r="J148" i="4"/>
  <c r="J246" i="4"/>
  <c r="J116" i="4"/>
  <c r="I75" i="4"/>
  <c r="J265" i="4"/>
  <c r="J217" i="4"/>
  <c r="J172" i="4"/>
  <c r="I328" i="4"/>
  <c r="J303" i="4"/>
  <c r="J188" i="4"/>
  <c r="J134" i="4"/>
  <c r="J200" i="4"/>
  <c r="I420" i="4"/>
  <c r="J88" i="4"/>
  <c r="J73" i="4"/>
  <c r="J4" i="4"/>
  <c r="J106" i="4"/>
  <c r="I65" i="4"/>
  <c r="J195" i="4"/>
  <c r="J216" i="4"/>
  <c r="J322" i="4"/>
  <c r="I173" i="4"/>
  <c r="J298" i="4"/>
  <c r="J394" i="4"/>
  <c r="J62" i="4"/>
  <c r="J201" i="4"/>
  <c r="J167" i="4"/>
  <c r="J128" i="4"/>
  <c r="J370" i="4"/>
  <c r="J114" i="4"/>
  <c r="J22" i="4"/>
  <c r="J262" i="4"/>
  <c r="J160" i="4"/>
  <c r="J259" i="4"/>
  <c r="J325" i="4"/>
  <c r="J237" i="4"/>
  <c r="J326" i="4"/>
  <c r="J269" i="4"/>
  <c r="J221" i="4"/>
  <c r="J138" i="4"/>
  <c r="J316" i="4"/>
  <c r="J309" i="4"/>
  <c r="J81" i="4"/>
  <c r="J212" i="4"/>
  <c r="J234" i="4"/>
  <c r="J267" i="4"/>
  <c r="J78" i="4"/>
  <c r="J178" i="4"/>
  <c r="J96" i="4"/>
  <c r="J52" i="4"/>
  <c r="J429" i="4"/>
  <c r="J69" i="4"/>
  <c r="J129" i="4"/>
  <c r="J406" i="4"/>
  <c r="J400" i="4"/>
  <c r="J240" i="4"/>
  <c r="I381" i="4"/>
  <c r="I18" i="4"/>
  <c r="I435" i="4"/>
  <c r="I227" i="4"/>
  <c r="I155" i="4"/>
  <c r="I339" i="4"/>
  <c r="I264" i="4"/>
  <c r="I372" i="4"/>
  <c r="I223" i="4"/>
  <c r="I40" i="4"/>
  <c r="I39" i="4"/>
  <c r="I427" i="4"/>
  <c r="I146" i="4"/>
  <c r="I361" i="4"/>
  <c r="I185" i="4"/>
  <c r="I182" i="4"/>
  <c r="I213" i="4"/>
  <c r="I247" i="4"/>
  <c r="I355" i="4"/>
  <c r="I245" i="4"/>
  <c r="I414" i="4"/>
  <c r="I413" i="4"/>
  <c r="I321" i="4"/>
  <c r="I132" i="4"/>
  <c r="I3" i="4"/>
  <c r="I314" i="4"/>
  <c r="I344" i="4"/>
  <c r="I156" i="4"/>
  <c r="I189" i="4"/>
  <c r="I107" i="4"/>
  <c r="J410" i="4"/>
  <c r="J308" i="4"/>
  <c r="J125" i="4"/>
  <c r="J150" i="4"/>
  <c r="J336" i="4"/>
  <c r="J430" i="4"/>
  <c r="J219" i="4"/>
  <c r="J140" i="4"/>
  <c r="J181" i="4"/>
  <c r="J417" i="4"/>
  <c r="J416" i="4"/>
  <c r="J412" i="4"/>
  <c r="J164" i="4"/>
  <c r="J274" i="4"/>
  <c r="I231" i="4"/>
  <c r="I408" i="4"/>
  <c r="I341" i="4"/>
  <c r="I202" i="4"/>
  <c r="I404" i="4"/>
  <c r="I196" i="4"/>
  <c r="I433" i="4"/>
  <c r="I297" i="4"/>
  <c r="I222" i="4"/>
  <c r="I79" i="4"/>
  <c r="I257" i="4"/>
  <c r="I396" i="4"/>
  <c r="I74" i="4"/>
  <c r="I145" i="4"/>
  <c r="I360" i="4"/>
  <c r="I71" i="4"/>
  <c r="I248" i="4"/>
  <c r="I324" i="4"/>
  <c r="I29" i="4"/>
  <c r="I66" i="4"/>
  <c r="I352" i="4"/>
  <c r="I241" i="4"/>
  <c r="I100" i="4"/>
  <c r="I60" i="4"/>
  <c r="I20" i="4"/>
  <c r="I275" i="4"/>
  <c r="I382" i="4"/>
  <c r="I204" i="4"/>
  <c r="I93" i="4"/>
  <c r="I92" i="4"/>
  <c r="I434" i="4"/>
  <c r="I304" i="4"/>
  <c r="I338" i="4"/>
  <c r="I86" i="4"/>
  <c r="I260" i="4"/>
  <c r="I294" i="4"/>
  <c r="I192" i="4"/>
  <c r="I366" i="4"/>
  <c r="I365" i="4"/>
  <c r="I115" i="4"/>
  <c r="I144" i="4"/>
  <c r="I422" i="4"/>
  <c r="I33" i="4"/>
  <c r="I112" i="4"/>
  <c r="I282" i="4"/>
  <c r="I5" i="4"/>
  <c r="I26" i="4"/>
  <c r="I387" i="4"/>
  <c r="I279" i="4"/>
  <c r="I320" i="4"/>
  <c r="I348" i="4"/>
  <c r="I235" i="4"/>
  <c r="I161" i="4"/>
  <c r="I311" i="4"/>
  <c r="I45" i="4"/>
  <c r="I143" i="4"/>
  <c r="I101" i="4"/>
  <c r="I343" i="4"/>
  <c r="I407" i="4"/>
  <c r="I266" i="4"/>
  <c r="I124" i="4"/>
  <c r="I153" i="4"/>
  <c r="I225" i="4"/>
  <c r="I120" i="4"/>
  <c r="I84" i="4"/>
  <c r="I369" i="4"/>
  <c r="I431" i="4"/>
  <c r="I220" i="4"/>
  <c r="I38" i="4"/>
  <c r="I329" i="4"/>
  <c r="I187" i="4"/>
  <c r="I286" i="4"/>
  <c r="I139" i="4"/>
  <c r="I284" i="4"/>
  <c r="I110" i="4"/>
  <c r="I211" i="4"/>
  <c r="I280" i="4"/>
  <c r="I242" i="4"/>
  <c r="I350" i="4"/>
  <c r="I319" i="4"/>
  <c r="I166" i="4"/>
  <c r="I97" i="4"/>
  <c r="I57" i="4"/>
  <c r="I95" i="4"/>
  <c r="I55" i="4"/>
  <c r="I380" i="4"/>
  <c r="I377" i="4"/>
  <c r="I51" i="4"/>
  <c r="I375" i="4"/>
  <c r="I122" i="4"/>
  <c r="I374" i="4"/>
  <c r="I299" i="4"/>
  <c r="I42" i="4"/>
  <c r="I82" i="4"/>
  <c r="I368" i="4"/>
  <c r="I77" i="4"/>
  <c r="I117" i="4"/>
  <c r="I424" i="4"/>
  <c r="I8" i="4"/>
  <c r="I183" i="4"/>
  <c r="I251" i="4"/>
  <c r="I6" i="4"/>
  <c r="I418" i="4"/>
  <c r="I390" i="4"/>
  <c r="I175" i="4"/>
  <c r="I174" i="4"/>
  <c r="I170" i="4"/>
  <c r="I23" i="4"/>
  <c r="I165" i="4"/>
  <c r="I131" i="4"/>
  <c r="I19" i="4"/>
  <c r="I206" i="4"/>
  <c r="I94" i="4"/>
  <c r="I379" i="4"/>
  <c r="I229" i="4"/>
  <c r="I306" i="4"/>
  <c r="I123" i="4"/>
  <c r="I152" i="4"/>
  <c r="I301" i="4"/>
  <c r="I263" i="4"/>
  <c r="I371" i="4"/>
  <c r="I119" i="4"/>
  <c r="I118" i="4"/>
  <c r="I397" i="4"/>
  <c r="I37" i="4"/>
  <c r="I10" i="4"/>
  <c r="I327" i="4"/>
  <c r="I141" i="4"/>
  <c r="I250" i="4"/>
  <c r="I179" i="4"/>
  <c r="I137" i="4"/>
  <c r="I354" i="4"/>
  <c r="I389" i="4"/>
  <c r="I25" i="4"/>
  <c r="I63" i="4"/>
  <c r="I239" i="4"/>
  <c r="I59" i="4"/>
  <c r="I162" i="4"/>
  <c r="I345" i="4"/>
  <c r="I205" i="4"/>
  <c r="J381" i="4"/>
  <c r="J18" i="4"/>
  <c r="J435" i="4"/>
  <c r="J227" i="4"/>
  <c r="J155" i="4"/>
  <c r="J339" i="4"/>
  <c r="J264" i="4"/>
  <c r="J372" i="4"/>
  <c r="J223" i="4"/>
  <c r="J40" i="4"/>
  <c r="J39" i="4"/>
  <c r="J427" i="4"/>
  <c r="J146" i="4"/>
  <c r="J361" i="4"/>
  <c r="J185" i="4"/>
  <c r="J182" i="4"/>
  <c r="J213" i="4"/>
  <c r="J247" i="4"/>
  <c r="J355" i="4"/>
  <c r="J245" i="4"/>
  <c r="J414" i="4"/>
  <c r="J413" i="4"/>
  <c r="J321" i="4"/>
  <c r="J132" i="4"/>
  <c r="J3" i="4"/>
  <c r="J314" i="4"/>
  <c r="J344" i="4"/>
  <c r="J102" i="4"/>
  <c r="J159" i="4"/>
  <c r="J378" i="4"/>
  <c r="J15" i="4"/>
  <c r="J305" i="4"/>
  <c r="J154" i="4"/>
  <c r="J226" i="4"/>
  <c r="J373" i="4"/>
  <c r="J402" i="4"/>
  <c r="J295" i="4"/>
  <c r="J292" i="4"/>
  <c r="J291" i="4"/>
  <c r="J290" i="4"/>
  <c r="J362" i="4"/>
  <c r="J423" i="4"/>
  <c r="J142" i="4"/>
  <c r="J358" i="4"/>
  <c r="J249" i="4"/>
  <c r="J356" i="4"/>
  <c r="J391" i="4"/>
  <c r="J243" i="4"/>
  <c r="J135" i="4"/>
  <c r="J64" i="4"/>
  <c r="J133" i="4"/>
  <c r="J318" i="4"/>
  <c r="J163" i="4"/>
  <c r="J208" i="4"/>
  <c r="J383" i="4"/>
  <c r="J271" i="4"/>
  <c r="J46" i="4"/>
  <c r="J193" i="4"/>
  <c r="J425" i="4"/>
  <c r="J393" i="4"/>
  <c r="J392" i="4"/>
  <c r="J411" i="4"/>
  <c r="I232" i="4"/>
  <c r="I127" i="4"/>
  <c r="I307" i="4"/>
  <c r="I49" i="4"/>
  <c r="I13" i="4"/>
  <c r="I198" i="4"/>
  <c r="I44" i="4"/>
  <c r="I194" i="4"/>
  <c r="I401" i="4"/>
  <c r="I334" i="4"/>
  <c r="I333" i="4"/>
  <c r="I256" i="4"/>
  <c r="I330" i="4"/>
  <c r="I9" i="4"/>
  <c r="I35" i="4"/>
  <c r="I359" i="4"/>
  <c r="I32" i="4"/>
  <c r="I70" i="4"/>
  <c r="I109" i="4"/>
  <c r="I281" i="4"/>
  <c r="I388" i="4"/>
  <c r="I386" i="4"/>
  <c r="I209" i="4"/>
  <c r="I349" i="4"/>
  <c r="I98" i="4"/>
  <c r="I384" i="4"/>
  <c r="I56" i="4"/>
  <c r="J231" i="4"/>
  <c r="J408" i="4"/>
  <c r="J341" i="4"/>
  <c r="J202" i="4"/>
  <c r="J404" i="4"/>
  <c r="J196" i="4"/>
  <c r="J433" i="4"/>
  <c r="J297" i="4"/>
  <c r="J222" i="4"/>
  <c r="J79" i="4"/>
  <c r="J257" i="4"/>
  <c r="J396" i="4"/>
  <c r="J74" i="4"/>
  <c r="J145" i="4"/>
  <c r="J360" i="4"/>
  <c r="J71" i="4"/>
  <c r="J248" i="4"/>
  <c r="J324" i="4"/>
  <c r="J29" i="4"/>
  <c r="J66" i="4"/>
  <c r="J352" i="4"/>
  <c r="J241" i="4"/>
  <c r="J100" i="4"/>
  <c r="J60" i="4"/>
  <c r="J20" i="4"/>
  <c r="J275" i="4"/>
  <c r="J382" i="4"/>
  <c r="J53" i="4"/>
  <c r="J300" i="4"/>
  <c r="J76" i="4"/>
  <c r="J184" i="4"/>
  <c r="J111" i="4"/>
  <c r="J105" i="4"/>
  <c r="J2" i="4"/>
  <c r="I54" i="4"/>
  <c r="I268" i="4"/>
  <c r="I126" i="4"/>
  <c r="I91" i="4"/>
  <c r="I405" i="4"/>
  <c r="I90" i="4"/>
  <c r="I224" i="4"/>
  <c r="I43" i="4"/>
  <c r="I296" i="4"/>
  <c r="I41" i="4"/>
  <c r="I399" i="4"/>
  <c r="I191" i="4"/>
  <c r="I364" i="4"/>
  <c r="I254" i="4"/>
  <c r="I253" i="4"/>
  <c r="I72" i="4"/>
  <c r="I7" i="4"/>
  <c r="I419" i="4"/>
  <c r="I68" i="4"/>
  <c r="I415" i="4"/>
  <c r="I353" i="4"/>
  <c r="I171" i="4"/>
  <c r="I385" i="4"/>
  <c r="I99" i="4"/>
  <c r="I317" i="4"/>
  <c r="I315" i="4"/>
  <c r="I313" i="4"/>
  <c r="J204" i="4"/>
  <c r="J93" i="4"/>
  <c r="J92" i="4"/>
  <c r="J434" i="4"/>
  <c r="J304" i="4"/>
  <c r="J338" i="4"/>
  <c r="J86" i="4"/>
  <c r="J260" i="4"/>
  <c r="J294" i="4"/>
  <c r="J192" i="4"/>
  <c r="J366" i="4"/>
  <c r="J365" i="4"/>
  <c r="J115" i="4"/>
  <c r="J144" i="4"/>
  <c r="J422" i="4"/>
  <c r="J33" i="4"/>
  <c r="J112" i="4"/>
  <c r="J282" i="4"/>
  <c r="J5" i="4"/>
  <c r="J26" i="4"/>
  <c r="J387" i="4"/>
  <c r="J279" i="4"/>
  <c r="J320" i="4"/>
  <c r="J348" i="4"/>
  <c r="J235" i="4"/>
  <c r="J161" i="4"/>
  <c r="J311" i="4"/>
  <c r="J157" i="4"/>
  <c r="J302" i="4"/>
  <c r="J331" i="4"/>
  <c r="J288" i="4"/>
  <c r="J180" i="4"/>
  <c r="J244" i="4"/>
  <c r="J207" i="4"/>
  <c r="I409" i="4"/>
  <c r="I203" i="4"/>
  <c r="I158" i="4"/>
  <c r="I48" i="4"/>
  <c r="I199" i="4"/>
  <c r="I197" i="4"/>
  <c r="I151" i="4"/>
  <c r="I261" i="4"/>
  <c r="I258" i="4"/>
  <c r="I11" i="4"/>
  <c r="I332" i="4"/>
  <c r="I255" i="4"/>
  <c r="I426" i="4"/>
  <c r="I395" i="4"/>
  <c r="I287" i="4"/>
  <c r="I34" i="4"/>
  <c r="I215" i="4"/>
  <c r="I357" i="4"/>
  <c r="I30" i="4"/>
  <c r="I108" i="4"/>
  <c r="I210" i="4"/>
  <c r="I104" i="4"/>
  <c r="I169" i="4"/>
  <c r="I278" i="4"/>
  <c r="I347" i="4"/>
  <c r="I346" i="4"/>
  <c r="I312" i="4"/>
  <c r="J343" i="4"/>
  <c r="J407" i="4"/>
  <c r="J266" i="4"/>
  <c r="J124" i="4"/>
  <c r="J153" i="4"/>
  <c r="J225" i="4"/>
  <c r="J120" i="4"/>
  <c r="J84" i="4"/>
  <c r="J369" i="4"/>
  <c r="J431" i="4"/>
  <c r="J220" i="4"/>
  <c r="J38" i="4"/>
  <c r="J329" i="4"/>
  <c r="J187" i="4"/>
  <c r="J286" i="4"/>
  <c r="J139" i="4"/>
  <c r="J284" i="4"/>
  <c r="J110" i="4"/>
  <c r="J211" i="4"/>
  <c r="J280" i="4"/>
  <c r="J242" i="4"/>
  <c r="J350" i="4"/>
  <c r="J319" i="4"/>
  <c r="J166" i="4"/>
  <c r="J97" i="4"/>
  <c r="J57" i="4"/>
  <c r="J95" i="4"/>
  <c r="I310" i="4"/>
  <c r="I342" i="4"/>
  <c r="I17" i="4"/>
  <c r="I376" i="4"/>
  <c r="I47" i="4"/>
  <c r="I89" i="4"/>
  <c r="I87" i="4"/>
  <c r="I432" i="4"/>
  <c r="I335" i="4"/>
  <c r="I149" i="4"/>
  <c r="I398" i="4"/>
  <c r="I190" i="4"/>
  <c r="I363" i="4"/>
  <c r="I289" i="4"/>
  <c r="I186" i="4"/>
  <c r="I421" i="4"/>
  <c r="I214" i="4"/>
  <c r="I31" i="4"/>
  <c r="I177" i="4"/>
  <c r="I176" i="4"/>
  <c r="I323" i="4"/>
  <c r="I103" i="4"/>
  <c r="I168" i="4"/>
  <c r="I61" i="4"/>
  <c r="I236" i="4"/>
  <c r="I130" i="4"/>
  <c r="I233" i="4"/>
  <c r="J55" i="4"/>
  <c r="J380" i="4"/>
  <c r="J377" i="4"/>
  <c r="J51" i="4"/>
  <c r="J375" i="4"/>
  <c r="J122" i="4"/>
  <c r="J374" i="4"/>
  <c r="J299" i="4"/>
  <c r="J42" i="4"/>
  <c r="J82" i="4"/>
  <c r="J368" i="4"/>
  <c r="J77" i="4"/>
  <c r="J117" i="4"/>
  <c r="J424" i="4"/>
  <c r="J8" i="4"/>
  <c r="J183" i="4"/>
  <c r="J251" i="4"/>
  <c r="J6" i="4"/>
  <c r="J418" i="4"/>
  <c r="J390" i="4"/>
  <c r="J175" i="4"/>
  <c r="J174" i="4"/>
  <c r="J170" i="4"/>
  <c r="J23" i="4"/>
  <c r="J165" i="4"/>
  <c r="J131" i="4"/>
  <c r="J19" i="4"/>
  <c r="J206" i="4"/>
  <c r="J85" i="4"/>
  <c r="J277" i="4"/>
  <c r="I272" i="4"/>
  <c r="I230" i="4"/>
  <c r="I16" i="4"/>
  <c r="I228" i="4"/>
  <c r="I340" i="4"/>
  <c r="I121" i="4"/>
  <c r="I12" i="4"/>
  <c r="I337" i="4"/>
  <c r="I83" i="4"/>
  <c r="I80" i="4"/>
  <c r="I367" i="4"/>
  <c r="I428" i="4"/>
  <c r="I218" i="4"/>
  <c r="I36" i="4"/>
  <c r="I252" i="4"/>
  <c r="I285" i="4"/>
  <c r="I113" i="4"/>
  <c r="I283" i="4"/>
  <c r="I67" i="4"/>
  <c r="I27" i="4"/>
  <c r="I136" i="4"/>
  <c r="I351" i="4"/>
  <c r="I24" i="4"/>
  <c r="I238" i="4"/>
  <c r="I21" i="4"/>
  <c r="I276" i="4"/>
  <c r="I273" i="4"/>
  <c r="J94" i="4"/>
  <c r="J379" i="4"/>
  <c r="J229" i="4"/>
  <c r="J306" i="4"/>
  <c r="J123" i="4"/>
  <c r="J152" i="4"/>
  <c r="J301" i="4"/>
  <c r="J263" i="4"/>
  <c r="J371" i="4"/>
  <c r="J119" i="4"/>
  <c r="J118" i="4"/>
  <c r="J397" i="4"/>
  <c r="J37" i="4"/>
  <c r="J10" i="4"/>
  <c r="J327" i="4"/>
  <c r="J141" i="4"/>
  <c r="J250" i="4"/>
  <c r="J179" i="4"/>
  <c r="J137" i="4"/>
  <c r="J354" i="4"/>
  <c r="J389" i="4"/>
  <c r="J25" i="4"/>
  <c r="J63" i="4"/>
  <c r="J239" i="4"/>
  <c r="J59" i="4"/>
  <c r="J162" i="4"/>
  <c r="J345" i="4"/>
  <c r="J205" i="4"/>
  <c r="N996" i="1"/>
  <c r="M996" i="1" s="1"/>
  <c r="N980" i="1"/>
  <c r="M980" i="1" s="1"/>
  <c r="N964" i="1"/>
  <c r="M964" i="1" s="1"/>
  <c r="N948" i="1"/>
  <c r="M948" i="1" s="1"/>
  <c r="N932" i="1"/>
  <c r="M932" i="1" s="1"/>
  <c r="N916" i="1"/>
  <c r="M916" i="1" s="1"/>
  <c r="N900" i="1"/>
  <c r="M900" i="1" s="1"/>
  <c r="N820" i="1"/>
  <c r="M820" i="1" s="1"/>
  <c r="N324" i="1"/>
  <c r="M324" i="1" s="1"/>
  <c r="N8" i="1"/>
  <c r="M8" i="1" s="1"/>
  <c r="N804" i="1"/>
  <c r="M804" i="1" s="1"/>
  <c r="N692" i="1"/>
  <c r="M692" i="1" s="1"/>
  <c r="N580" i="1"/>
  <c r="M580" i="1" s="1"/>
  <c r="N468" i="1"/>
  <c r="M468" i="1" s="1"/>
  <c r="N372" i="1"/>
  <c r="M372" i="1" s="1"/>
  <c r="N260" i="1"/>
  <c r="M260" i="1" s="1"/>
  <c r="N164" i="1"/>
  <c r="M164" i="1" s="1"/>
  <c r="N84" i="1"/>
  <c r="M84" i="1" s="1"/>
  <c r="N995" i="1"/>
  <c r="M995" i="1" s="1"/>
  <c r="N979" i="1"/>
  <c r="M979" i="1" s="1"/>
  <c r="N963" i="1"/>
  <c r="M963" i="1" s="1"/>
  <c r="N947" i="1"/>
  <c r="M947" i="1" s="1"/>
  <c r="N931" i="1"/>
  <c r="M931" i="1" s="1"/>
  <c r="N915" i="1"/>
  <c r="M915" i="1" s="1"/>
  <c r="N899" i="1"/>
  <c r="M899" i="1" s="1"/>
  <c r="N883" i="1"/>
  <c r="M883" i="1" s="1"/>
  <c r="N819" i="1"/>
  <c r="M819" i="1" s="1"/>
  <c r="N803" i="1"/>
  <c r="M803" i="1" s="1"/>
  <c r="N771" i="1"/>
  <c r="M771" i="1" s="1"/>
  <c r="N723" i="1"/>
  <c r="M723" i="1" s="1"/>
  <c r="N627" i="1"/>
  <c r="M627" i="1" s="1"/>
  <c r="N611" i="1"/>
  <c r="M611" i="1" s="1"/>
  <c r="N579" i="1"/>
  <c r="M579" i="1" s="1"/>
  <c r="N451" i="1"/>
  <c r="M451" i="1" s="1"/>
  <c r="N435" i="1"/>
  <c r="M435" i="1" s="1"/>
  <c r="N339" i="1"/>
  <c r="M339" i="1" s="1"/>
  <c r="N323" i="1"/>
  <c r="M323" i="1" s="1"/>
  <c r="N291" i="1"/>
  <c r="M291" i="1" s="1"/>
  <c r="N227" i="1"/>
  <c r="M227" i="1" s="1"/>
  <c r="N211" i="1"/>
  <c r="M211" i="1" s="1"/>
  <c r="N179" i="1"/>
  <c r="M179" i="1" s="1"/>
  <c r="N115" i="1"/>
  <c r="M115" i="1" s="1"/>
  <c r="N67" i="1"/>
  <c r="M67" i="1" s="1"/>
  <c r="N51" i="1"/>
  <c r="M51" i="1" s="1"/>
  <c r="N4" i="1"/>
  <c r="M4" i="1" s="1"/>
  <c r="N488" i="1"/>
  <c r="M488" i="1" s="1"/>
  <c r="N884" i="1"/>
  <c r="M884" i="1" s="1"/>
  <c r="N756" i="1"/>
  <c r="M756" i="1" s="1"/>
  <c r="N644" i="1"/>
  <c r="M644" i="1" s="1"/>
  <c r="N516" i="1"/>
  <c r="M516" i="1" s="1"/>
  <c r="N420" i="1"/>
  <c r="M420" i="1" s="1"/>
  <c r="N308" i="1"/>
  <c r="M308" i="1" s="1"/>
  <c r="N212" i="1"/>
  <c r="M212" i="1" s="1"/>
  <c r="N68" i="1"/>
  <c r="M68" i="1" s="1"/>
  <c r="N802" i="1"/>
  <c r="M802" i="1" s="1"/>
  <c r="N658" i="1"/>
  <c r="M658" i="1" s="1"/>
  <c r="N450" i="1"/>
  <c r="M450" i="1" s="1"/>
  <c r="N114" i="1"/>
  <c r="M114" i="1" s="1"/>
  <c r="N403" i="1"/>
  <c r="M403" i="1" s="1"/>
  <c r="N945" i="1"/>
  <c r="M945" i="1" s="1"/>
  <c r="N865" i="1"/>
  <c r="M865" i="1" s="1"/>
  <c r="N801" i="1"/>
  <c r="M801" i="1" s="1"/>
  <c r="N721" i="1"/>
  <c r="M721" i="1" s="1"/>
  <c r="N481" i="1"/>
  <c r="M481" i="1" s="1"/>
  <c r="N337" i="1"/>
  <c r="M337" i="1" s="1"/>
  <c r="N241" i="1"/>
  <c r="M241" i="1" s="1"/>
  <c r="N97" i="1"/>
  <c r="M97" i="1" s="1"/>
  <c r="N889" i="1"/>
  <c r="M889" i="1" s="1"/>
  <c r="N633" i="1"/>
  <c r="M633" i="1" s="1"/>
  <c r="N377" i="1"/>
  <c r="M377" i="1" s="1"/>
  <c r="N960" i="1"/>
  <c r="M960" i="1" s="1"/>
  <c r="N912" i="1"/>
  <c r="M912" i="1" s="1"/>
  <c r="N848" i="1"/>
  <c r="M848" i="1" s="1"/>
  <c r="N768" i="1"/>
  <c r="M768" i="1" s="1"/>
  <c r="N624" i="1"/>
  <c r="M624" i="1" s="1"/>
  <c r="N528" i="1"/>
  <c r="M528" i="1" s="1"/>
  <c r="N480" i="1"/>
  <c r="M480" i="1" s="1"/>
  <c r="N384" i="1"/>
  <c r="M384" i="1" s="1"/>
  <c r="N224" i="1"/>
  <c r="M224" i="1" s="1"/>
  <c r="N911" i="1"/>
  <c r="M911" i="1" s="1"/>
  <c r="N772" i="1"/>
  <c r="M772" i="1" s="1"/>
  <c r="N660" i="1"/>
  <c r="M660" i="1" s="1"/>
  <c r="N548" i="1"/>
  <c r="M548" i="1" s="1"/>
  <c r="N452" i="1"/>
  <c r="M452" i="1" s="1"/>
  <c r="N356" i="1"/>
  <c r="M356" i="1" s="1"/>
  <c r="N244" i="1"/>
  <c r="M244" i="1" s="1"/>
  <c r="N148" i="1"/>
  <c r="M148" i="1" s="1"/>
  <c r="N52" i="1"/>
  <c r="M52" i="1" s="1"/>
  <c r="N486" i="1"/>
  <c r="M486" i="1" s="1"/>
  <c r="N661" i="1"/>
  <c r="M661" i="1" s="1"/>
  <c r="N6" i="1"/>
  <c r="M6" i="1" s="1"/>
  <c r="N576" i="1"/>
  <c r="M576" i="1" s="1"/>
  <c r="N117" i="1"/>
  <c r="M117" i="1" s="1"/>
  <c r="N992" i="1"/>
  <c r="M992" i="1" s="1"/>
  <c r="N3" i="1"/>
  <c r="M3" i="1" s="1"/>
  <c r="N904" i="1"/>
  <c r="M904" i="1" s="1"/>
  <c r="N402" i="1"/>
  <c r="M402" i="1" s="1"/>
  <c r="N946" i="1"/>
  <c r="M946" i="1" s="1"/>
  <c r="N754" i="1"/>
  <c r="M754" i="1" s="1"/>
  <c r="N610" i="1"/>
  <c r="M610" i="1" s="1"/>
  <c r="N290" i="1"/>
  <c r="M290" i="1" s="1"/>
  <c r="N98" i="1"/>
  <c r="M98" i="1" s="1"/>
  <c r="N632" i="1"/>
  <c r="M632" i="1" s="1"/>
  <c r="N961" i="1"/>
  <c r="M961" i="1" s="1"/>
  <c r="N913" i="1"/>
  <c r="M913" i="1" s="1"/>
  <c r="N849" i="1"/>
  <c r="M849" i="1" s="1"/>
  <c r="N769" i="1"/>
  <c r="M769" i="1" s="1"/>
  <c r="N593" i="1"/>
  <c r="M593" i="1" s="1"/>
  <c r="N385" i="1"/>
  <c r="M385" i="1" s="1"/>
  <c r="N289" i="1"/>
  <c r="M289" i="1" s="1"/>
  <c r="N177" i="1"/>
  <c r="M177" i="1" s="1"/>
  <c r="N81" i="1"/>
  <c r="M81" i="1" s="1"/>
  <c r="N713" i="1"/>
  <c r="M713" i="1" s="1"/>
  <c r="N537" i="1"/>
  <c r="M537" i="1" s="1"/>
  <c r="N944" i="1"/>
  <c r="M944" i="1" s="1"/>
  <c r="N864" i="1"/>
  <c r="M864" i="1" s="1"/>
  <c r="N800" i="1"/>
  <c r="M800" i="1" s="1"/>
  <c r="N720" i="1"/>
  <c r="M720" i="1" s="1"/>
  <c r="N544" i="1"/>
  <c r="M544" i="1" s="1"/>
  <c r="N496" i="1"/>
  <c r="M496" i="1" s="1"/>
  <c r="N432" i="1"/>
  <c r="M432" i="1" s="1"/>
  <c r="N118" i="1"/>
  <c r="M118" i="1" s="1"/>
  <c r="N852" i="1"/>
  <c r="M852" i="1" s="1"/>
  <c r="N740" i="1"/>
  <c r="M740" i="1" s="1"/>
  <c r="N628" i="1"/>
  <c r="M628" i="1" s="1"/>
  <c r="N116" i="1"/>
  <c r="M116" i="1" s="1"/>
  <c r="N866" i="1"/>
  <c r="M866" i="1" s="1"/>
  <c r="N594" i="1"/>
  <c r="M594" i="1" s="1"/>
  <c r="N226" i="1"/>
  <c r="M226" i="1" s="1"/>
  <c r="N1001" i="1"/>
  <c r="M1001" i="1" s="1"/>
  <c r="N761" i="1"/>
  <c r="M761" i="1" s="1"/>
  <c r="N425" i="1"/>
  <c r="M425" i="1" s="1"/>
  <c r="N169" i="1"/>
  <c r="M169" i="1" s="1"/>
  <c r="N9" i="1"/>
  <c r="M9" i="1" s="1"/>
  <c r="N1000" i="1"/>
  <c r="M1000" i="1" s="1"/>
  <c r="N680" i="1"/>
  <c r="M680" i="1" s="1"/>
  <c r="N344" i="1"/>
  <c r="M344" i="1" s="1"/>
  <c r="N128" i="1"/>
  <c r="M128" i="1" s="1"/>
  <c r="N836" i="1"/>
  <c r="M836" i="1" s="1"/>
  <c r="N708" i="1"/>
  <c r="M708" i="1" s="1"/>
  <c r="N596" i="1"/>
  <c r="M596" i="1" s="1"/>
  <c r="N500" i="1"/>
  <c r="M500" i="1" s="1"/>
  <c r="N388" i="1"/>
  <c r="M388" i="1" s="1"/>
  <c r="N276" i="1"/>
  <c r="M276" i="1" s="1"/>
  <c r="N180" i="1"/>
  <c r="M180" i="1" s="1"/>
  <c r="N100" i="1"/>
  <c r="M100" i="1" s="1"/>
  <c r="N818" i="1"/>
  <c r="M818" i="1" s="1"/>
  <c r="N722" i="1"/>
  <c r="M722" i="1" s="1"/>
  <c r="N482" i="1"/>
  <c r="M482" i="1" s="1"/>
  <c r="N178" i="1"/>
  <c r="M178" i="1" s="1"/>
  <c r="N857" i="1"/>
  <c r="M857" i="1" s="1"/>
  <c r="N681" i="1"/>
  <c r="M681" i="1" s="1"/>
  <c r="N521" i="1"/>
  <c r="M521" i="1" s="1"/>
  <c r="N233" i="1"/>
  <c r="M233" i="1" s="1"/>
  <c r="N121" i="1"/>
  <c r="M121" i="1" s="1"/>
  <c r="N57" i="1"/>
  <c r="M57" i="1" s="1"/>
  <c r="N936" i="1"/>
  <c r="M936" i="1" s="1"/>
  <c r="N664" i="1"/>
  <c r="M664" i="1" s="1"/>
  <c r="N424" i="1"/>
  <c r="M424" i="1" s="1"/>
  <c r="N168" i="1"/>
  <c r="M168" i="1" s="1"/>
  <c r="N56" i="1"/>
  <c r="M56" i="1" s="1"/>
  <c r="N905" i="1"/>
  <c r="M905" i="1" s="1"/>
  <c r="N998" i="1"/>
  <c r="M998" i="1" s="1"/>
  <c r="N774" i="1"/>
  <c r="M774" i="1" s="1"/>
  <c r="N678" i="1"/>
  <c r="M678" i="1" s="1"/>
  <c r="N518" i="1"/>
  <c r="M518" i="1" s="1"/>
  <c r="N342" i="1"/>
  <c r="M342" i="1" s="1"/>
  <c r="N166" i="1"/>
  <c r="M166" i="1" s="1"/>
  <c r="N54" i="1"/>
  <c r="M54" i="1" s="1"/>
  <c r="N753" i="1"/>
  <c r="M753" i="1" s="1"/>
  <c r="N868" i="1"/>
  <c r="M868" i="1" s="1"/>
  <c r="N724" i="1"/>
  <c r="M724" i="1" s="1"/>
  <c r="N612" i="1"/>
  <c r="M612" i="1" s="1"/>
  <c r="N532" i="1"/>
  <c r="M532" i="1" s="1"/>
  <c r="N436" i="1"/>
  <c r="M436" i="1" s="1"/>
  <c r="N340" i="1"/>
  <c r="M340" i="1" s="1"/>
  <c r="N228" i="1"/>
  <c r="M228" i="1" s="1"/>
  <c r="N132" i="1"/>
  <c r="M132" i="1" s="1"/>
  <c r="N36" i="1"/>
  <c r="M36" i="1" s="1"/>
  <c r="N994" i="1"/>
  <c r="M994" i="1" s="1"/>
  <c r="N770" i="1"/>
  <c r="M770" i="1" s="1"/>
  <c r="N578" i="1"/>
  <c r="M578" i="1" s="1"/>
  <c r="N210" i="1"/>
  <c r="M210" i="1" s="1"/>
  <c r="N937" i="1"/>
  <c r="M937" i="1" s="1"/>
  <c r="N617" i="1"/>
  <c r="M617" i="1" s="1"/>
  <c r="N489" i="1"/>
  <c r="M489" i="1" s="1"/>
  <c r="N153" i="1"/>
  <c r="M153" i="1" s="1"/>
  <c r="N993" i="1"/>
  <c r="M993" i="1" s="1"/>
  <c r="N760" i="1"/>
  <c r="M760" i="1" s="1"/>
  <c r="N520" i="1"/>
  <c r="M520" i="1" s="1"/>
  <c r="N232" i="1"/>
  <c r="M232" i="1" s="1"/>
  <c r="N120" i="1"/>
  <c r="M120" i="1" s="1"/>
  <c r="N40" i="1"/>
  <c r="M40" i="1" s="1"/>
  <c r="N854" i="1"/>
  <c r="M854" i="1" s="1"/>
  <c r="N822" i="1"/>
  <c r="M822" i="1" s="1"/>
  <c r="N710" i="1"/>
  <c r="M710" i="1" s="1"/>
  <c r="N534" i="1"/>
  <c r="M534" i="1" s="1"/>
  <c r="N374" i="1"/>
  <c r="M374" i="1" s="1"/>
  <c r="N262" i="1"/>
  <c r="M262" i="1" s="1"/>
  <c r="N901" i="1"/>
  <c r="M901" i="1" s="1"/>
  <c r="N853" i="1"/>
  <c r="M853" i="1" s="1"/>
  <c r="N677" i="1"/>
  <c r="M677" i="1" s="1"/>
  <c r="N629" i="1"/>
  <c r="M629" i="1" s="1"/>
  <c r="N533" i="1"/>
  <c r="M533" i="1" s="1"/>
  <c r="N437" i="1"/>
  <c r="M437" i="1" s="1"/>
  <c r="N341" i="1"/>
  <c r="M341" i="1" s="1"/>
  <c r="N325" i="1"/>
  <c r="M325" i="1" s="1"/>
  <c r="N277" i="1"/>
  <c r="M277" i="1" s="1"/>
  <c r="N261" i="1"/>
  <c r="M261" i="1" s="1"/>
  <c r="N53" i="1"/>
  <c r="M53" i="1" s="1"/>
  <c r="N662" i="1"/>
  <c r="M662" i="1" s="1"/>
  <c r="N788" i="1"/>
  <c r="M788" i="1" s="1"/>
  <c r="N676" i="1"/>
  <c r="M676" i="1" s="1"/>
  <c r="N564" i="1"/>
  <c r="M564" i="1" s="1"/>
  <c r="N484" i="1"/>
  <c r="M484" i="1" s="1"/>
  <c r="N404" i="1"/>
  <c r="M404" i="1" s="1"/>
  <c r="N292" i="1"/>
  <c r="M292" i="1" s="1"/>
  <c r="N196" i="1"/>
  <c r="M196" i="1" s="1"/>
  <c r="N20" i="1"/>
  <c r="M20" i="1" s="1"/>
  <c r="N577" i="1"/>
  <c r="M577" i="1" s="1"/>
  <c r="N867" i="1"/>
  <c r="M867" i="1" s="1"/>
  <c r="N787" i="1"/>
  <c r="M787" i="1" s="1"/>
  <c r="N675" i="1"/>
  <c r="M675" i="1" s="1"/>
  <c r="N483" i="1"/>
  <c r="M483" i="1" s="1"/>
  <c r="N307" i="1"/>
  <c r="M307" i="1" s="1"/>
  <c r="N99" i="1"/>
  <c r="M99" i="1" s="1"/>
  <c r="N850" i="1"/>
  <c r="M850" i="1" s="1"/>
  <c r="N706" i="1"/>
  <c r="M706" i="1" s="1"/>
  <c r="N162" i="1"/>
  <c r="M162" i="1" s="1"/>
  <c r="N82" i="1"/>
  <c r="M82" i="1" s="1"/>
  <c r="N902" i="1"/>
  <c r="M902" i="1" s="1"/>
  <c r="N401" i="1"/>
  <c r="M401" i="1" s="1"/>
  <c r="N929" i="1"/>
  <c r="M929" i="1" s="1"/>
  <c r="N817" i="1"/>
  <c r="M817" i="1" s="1"/>
  <c r="N705" i="1"/>
  <c r="M705" i="1" s="1"/>
  <c r="N609" i="1"/>
  <c r="M609" i="1" s="1"/>
  <c r="N497" i="1"/>
  <c r="M497" i="1" s="1"/>
  <c r="N353" i="1"/>
  <c r="M353" i="1" s="1"/>
  <c r="N113" i="1"/>
  <c r="M113" i="1" s="1"/>
  <c r="N33" i="1"/>
  <c r="M33" i="1" s="1"/>
  <c r="N984" i="1"/>
  <c r="M984" i="1" s="1"/>
  <c r="N390" i="1"/>
  <c r="M390" i="1" s="1"/>
  <c r="N976" i="1"/>
  <c r="M976" i="1" s="1"/>
  <c r="N832" i="1"/>
  <c r="M832" i="1" s="1"/>
  <c r="N608" i="1"/>
  <c r="M608" i="1" s="1"/>
  <c r="N416" i="1"/>
  <c r="M416" i="1" s="1"/>
  <c r="N320" i="1"/>
  <c r="M320" i="1" s="1"/>
  <c r="N32" i="1"/>
  <c r="M32" i="1" s="1"/>
  <c r="N959" i="1"/>
  <c r="M959" i="1" s="1"/>
  <c r="N831" i="1"/>
  <c r="M831" i="1" s="1"/>
  <c r="N815" i="1"/>
  <c r="M815" i="1" s="1"/>
  <c r="N735" i="1"/>
  <c r="M735" i="1" s="1"/>
  <c r="N888" i="1"/>
  <c r="M888" i="1" s="1"/>
  <c r="N2" i="1"/>
  <c r="M2" i="1" s="1"/>
  <c r="N755" i="1"/>
  <c r="M755" i="1" s="1"/>
  <c r="N643" i="1"/>
  <c r="M643" i="1" s="1"/>
  <c r="N547" i="1"/>
  <c r="M547" i="1" s="1"/>
  <c r="N387" i="1"/>
  <c r="M387" i="1" s="1"/>
  <c r="N259" i="1"/>
  <c r="M259" i="1" s="1"/>
  <c r="N147" i="1"/>
  <c r="M147" i="1" s="1"/>
  <c r="N962" i="1"/>
  <c r="M962" i="1" s="1"/>
  <c r="N882" i="1"/>
  <c r="M882" i="1" s="1"/>
  <c r="N738" i="1"/>
  <c r="M738" i="1" s="1"/>
  <c r="N546" i="1"/>
  <c r="M546" i="1" s="1"/>
  <c r="N418" i="1"/>
  <c r="M418" i="1" s="1"/>
  <c r="N322" i="1"/>
  <c r="M322" i="1" s="1"/>
  <c r="N130" i="1"/>
  <c r="M130" i="1" s="1"/>
  <c r="N50" i="1"/>
  <c r="M50" i="1" s="1"/>
  <c r="N737" i="1"/>
  <c r="M737" i="1" s="1"/>
  <c r="N641" i="1"/>
  <c r="M641" i="1" s="1"/>
  <c r="N545" i="1"/>
  <c r="M545" i="1" s="1"/>
  <c r="N433" i="1"/>
  <c r="M433" i="1" s="1"/>
  <c r="N225" i="1"/>
  <c r="M225" i="1" s="1"/>
  <c r="N49" i="1"/>
  <c r="M49" i="1" s="1"/>
  <c r="N880" i="1"/>
  <c r="M880" i="1" s="1"/>
  <c r="N816" i="1"/>
  <c r="M816" i="1" s="1"/>
  <c r="N704" i="1"/>
  <c r="M704" i="1" s="1"/>
  <c r="N592" i="1"/>
  <c r="M592" i="1" s="1"/>
  <c r="N448" i="1"/>
  <c r="M448" i="1" s="1"/>
  <c r="N256" i="1"/>
  <c r="M256" i="1" s="1"/>
  <c r="N16" i="1"/>
  <c r="M16" i="1" s="1"/>
  <c r="N566" i="1"/>
  <c r="M566" i="1" s="1"/>
  <c r="N975" i="1"/>
  <c r="M975" i="1" s="1"/>
  <c r="N719" i="1"/>
  <c r="M719" i="1" s="1"/>
  <c r="N712" i="1"/>
  <c r="M712" i="1" s="1"/>
  <c r="N536" i="1"/>
  <c r="M536" i="1" s="1"/>
  <c r="N376" i="1"/>
  <c r="M376" i="1" s="1"/>
  <c r="N176" i="1"/>
  <c r="M176" i="1" s="1"/>
  <c r="N707" i="1"/>
  <c r="M707" i="1" s="1"/>
  <c r="N499" i="1"/>
  <c r="M499" i="1" s="1"/>
  <c r="N371" i="1"/>
  <c r="M371" i="1" s="1"/>
  <c r="N243" i="1"/>
  <c r="M243" i="1" s="1"/>
  <c r="N898" i="1"/>
  <c r="M898" i="1" s="1"/>
  <c r="N834" i="1"/>
  <c r="M834" i="1" s="1"/>
  <c r="N674" i="1"/>
  <c r="M674" i="1" s="1"/>
  <c r="N434" i="1"/>
  <c r="M434" i="1" s="1"/>
  <c r="N306" i="1"/>
  <c r="M306" i="1" s="1"/>
  <c r="N194" i="1"/>
  <c r="M194" i="1" s="1"/>
  <c r="N34" i="1"/>
  <c r="M34" i="1" s="1"/>
  <c r="N485" i="1"/>
  <c r="M485" i="1" s="1"/>
  <c r="N833" i="1"/>
  <c r="M833" i="1" s="1"/>
  <c r="N657" i="1"/>
  <c r="M657" i="1" s="1"/>
  <c r="N513" i="1"/>
  <c r="M513" i="1" s="1"/>
  <c r="N417" i="1"/>
  <c r="M417" i="1" s="1"/>
  <c r="N305" i="1"/>
  <c r="M305" i="1" s="1"/>
  <c r="N193" i="1"/>
  <c r="M193" i="1" s="1"/>
  <c r="N65" i="1"/>
  <c r="M65" i="1" s="1"/>
  <c r="N752" i="1"/>
  <c r="M752" i="1" s="1"/>
  <c r="N640" i="1"/>
  <c r="M640" i="1" s="1"/>
  <c r="N464" i="1"/>
  <c r="M464" i="1" s="1"/>
  <c r="N368" i="1"/>
  <c r="M368" i="1" s="1"/>
  <c r="N144" i="1"/>
  <c r="M144" i="1" s="1"/>
  <c r="N991" i="1"/>
  <c r="M991" i="1" s="1"/>
  <c r="N863" i="1"/>
  <c r="M863" i="1" s="1"/>
  <c r="N767" i="1"/>
  <c r="M767" i="1" s="1"/>
  <c r="N288" i="1"/>
  <c r="M288" i="1" s="1"/>
  <c r="N280" i="1"/>
  <c r="M280" i="1" s="1"/>
  <c r="N851" i="1"/>
  <c r="M851" i="1" s="1"/>
  <c r="N531" i="1"/>
  <c r="M531" i="1" s="1"/>
  <c r="N419" i="1"/>
  <c r="M419" i="1" s="1"/>
  <c r="N163" i="1"/>
  <c r="M163" i="1" s="1"/>
  <c r="N35" i="1"/>
  <c r="M35" i="1" s="1"/>
  <c r="N978" i="1"/>
  <c r="M978" i="1" s="1"/>
  <c r="N642" i="1"/>
  <c r="M642" i="1" s="1"/>
  <c r="N466" i="1"/>
  <c r="M466" i="1" s="1"/>
  <c r="N354" i="1"/>
  <c r="M354" i="1" s="1"/>
  <c r="N242" i="1"/>
  <c r="M242" i="1" s="1"/>
  <c r="N146" i="1"/>
  <c r="M146" i="1" s="1"/>
  <c r="N5" i="1"/>
  <c r="M5" i="1" s="1"/>
  <c r="N897" i="1"/>
  <c r="M897" i="1" s="1"/>
  <c r="N785" i="1"/>
  <c r="M785" i="1" s="1"/>
  <c r="N673" i="1"/>
  <c r="M673" i="1" s="1"/>
  <c r="N561" i="1"/>
  <c r="M561" i="1" s="1"/>
  <c r="N369" i="1"/>
  <c r="M369" i="1" s="1"/>
  <c r="N273" i="1"/>
  <c r="M273" i="1" s="1"/>
  <c r="N161" i="1"/>
  <c r="M161" i="1" s="1"/>
  <c r="N568" i="1"/>
  <c r="M568" i="1" s="1"/>
  <c r="N928" i="1"/>
  <c r="M928" i="1" s="1"/>
  <c r="N784" i="1"/>
  <c r="M784" i="1" s="1"/>
  <c r="N672" i="1"/>
  <c r="M672" i="1" s="1"/>
  <c r="N560" i="1"/>
  <c r="M560" i="1" s="1"/>
  <c r="N400" i="1"/>
  <c r="M400" i="1" s="1"/>
  <c r="N208" i="1"/>
  <c r="M208" i="1" s="1"/>
  <c r="N895" i="1"/>
  <c r="M895" i="1" s="1"/>
  <c r="N751" i="1"/>
  <c r="M751" i="1" s="1"/>
  <c r="N953" i="1"/>
  <c r="M953" i="1" s="1"/>
  <c r="N921" i="1"/>
  <c r="M921" i="1" s="1"/>
  <c r="N873" i="1"/>
  <c r="M873" i="1" s="1"/>
  <c r="N825" i="1"/>
  <c r="M825" i="1" s="1"/>
  <c r="N777" i="1"/>
  <c r="M777" i="1" s="1"/>
  <c r="N729" i="1"/>
  <c r="M729" i="1" s="1"/>
  <c r="N697" i="1"/>
  <c r="M697" i="1" s="1"/>
  <c r="N665" i="1"/>
  <c r="M665" i="1" s="1"/>
  <c r="N601" i="1"/>
  <c r="M601" i="1" s="1"/>
  <c r="N585" i="1"/>
  <c r="M585" i="1" s="1"/>
  <c r="N553" i="1"/>
  <c r="M553" i="1" s="1"/>
  <c r="N505" i="1"/>
  <c r="M505" i="1" s="1"/>
  <c r="N473" i="1"/>
  <c r="M473" i="1" s="1"/>
  <c r="N457" i="1"/>
  <c r="M457" i="1" s="1"/>
  <c r="N441" i="1"/>
  <c r="M441" i="1" s="1"/>
  <c r="N409" i="1"/>
  <c r="M409" i="1" s="1"/>
  <c r="N393" i="1"/>
  <c r="M393" i="1" s="1"/>
  <c r="N361" i="1"/>
  <c r="M361" i="1" s="1"/>
  <c r="N345" i="1"/>
  <c r="M345" i="1" s="1"/>
  <c r="N329" i="1"/>
  <c r="M329" i="1" s="1"/>
  <c r="N313" i="1"/>
  <c r="M313" i="1" s="1"/>
  <c r="N297" i="1"/>
  <c r="M297" i="1" s="1"/>
  <c r="N281" i="1"/>
  <c r="M281" i="1" s="1"/>
  <c r="N265" i="1"/>
  <c r="M265" i="1" s="1"/>
  <c r="N249" i="1"/>
  <c r="M249" i="1" s="1"/>
  <c r="N217" i="1"/>
  <c r="M217" i="1" s="1"/>
  <c r="N201" i="1"/>
  <c r="M201" i="1" s="1"/>
  <c r="N185" i="1"/>
  <c r="M185" i="1" s="1"/>
  <c r="N137" i="1"/>
  <c r="M137" i="1" s="1"/>
  <c r="N105" i="1"/>
  <c r="M105" i="1" s="1"/>
  <c r="N89" i="1"/>
  <c r="M89" i="1" s="1"/>
  <c r="N73" i="1"/>
  <c r="M73" i="1" s="1"/>
  <c r="N41" i="1"/>
  <c r="M41" i="1" s="1"/>
  <c r="N25" i="1"/>
  <c r="M25" i="1" s="1"/>
  <c r="J904" i="1"/>
  <c r="K904" i="1" s="1"/>
  <c r="N856" i="1"/>
  <c r="M856" i="1" s="1"/>
  <c r="N840" i="1"/>
  <c r="M840" i="1" s="1"/>
  <c r="N808" i="1"/>
  <c r="M808" i="1" s="1"/>
  <c r="N776" i="1"/>
  <c r="M776" i="1" s="1"/>
  <c r="N744" i="1"/>
  <c r="M744" i="1" s="1"/>
  <c r="N696" i="1"/>
  <c r="M696" i="1" s="1"/>
  <c r="N616" i="1"/>
  <c r="M616" i="1" s="1"/>
  <c r="N600" i="1"/>
  <c r="M600" i="1" s="1"/>
  <c r="N440" i="1"/>
  <c r="M440" i="1" s="1"/>
  <c r="N392" i="1"/>
  <c r="M392" i="1" s="1"/>
  <c r="N328" i="1"/>
  <c r="M328" i="1" s="1"/>
  <c r="N296" i="1"/>
  <c r="M296" i="1" s="1"/>
  <c r="N264" i="1"/>
  <c r="M264" i="1" s="1"/>
  <c r="N216" i="1"/>
  <c r="M216" i="1" s="1"/>
  <c r="N184" i="1"/>
  <c r="M184" i="1" s="1"/>
  <c r="N152" i="1"/>
  <c r="M152" i="1" s="1"/>
  <c r="N72" i="1"/>
  <c r="M72" i="1" s="1"/>
  <c r="N659" i="1"/>
  <c r="M659" i="1" s="1"/>
  <c r="N563" i="1"/>
  <c r="M563" i="1" s="1"/>
  <c r="N467" i="1"/>
  <c r="M467" i="1" s="1"/>
  <c r="N355" i="1"/>
  <c r="M355" i="1" s="1"/>
  <c r="N131" i="1"/>
  <c r="M131" i="1" s="1"/>
  <c r="N19" i="1"/>
  <c r="M19" i="1" s="1"/>
  <c r="N930" i="1"/>
  <c r="M930" i="1" s="1"/>
  <c r="N690" i="1"/>
  <c r="M690" i="1" s="1"/>
  <c r="N498" i="1"/>
  <c r="M498" i="1" s="1"/>
  <c r="N386" i="1"/>
  <c r="M386" i="1" s="1"/>
  <c r="N274" i="1"/>
  <c r="M274" i="1" s="1"/>
  <c r="N66" i="1"/>
  <c r="M66" i="1" s="1"/>
  <c r="N985" i="1"/>
  <c r="M985" i="1" s="1"/>
  <c r="N881" i="1"/>
  <c r="M881" i="1" s="1"/>
  <c r="N689" i="1"/>
  <c r="M689" i="1" s="1"/>
  <c r="N465" i="1"/>
  <c r="M465" i="1" s="1"/>
  <c r="N257" i="1"/>
  <c r="M257" i="1" s="1"/>
  <c r="N145" i="1"/>
  <c r="M145" i="1" s="1"/>
  <c r="N17" i="1"/>
  <c r="M17" i="1" s="1"/>
  <c r="N896" i="1"/>
  <c r="M896" i="1" s="1"/>
  <c r="N656" i="1"/>
  <c r="M656" i="1" s="1"/>
  <c r="N352" i="1"/>
  <c r="M352" i="1" s="1"/>
  <c r="N927" i="1"/>
  <c r="M927" i="1" s="1"/>
  <c r="N847" i="1"/>
  <c r="M847" i="1" s="1"/>
  <c r="N783" i="1"/>
  <c r="M783" i="1" s="1"/>
  <c r="N969" i="1"/>
  <c r="M969" i="1" s="1"/>
  <c r="N841" i="1"/>
  <c r="M841" i="1" s="1"/>
  <c r="N809" i="1"/>
  <c r="M809" i="1" s="1"/>
  <c r="N793" i="1"/>
  <c r="M793" i="1" s="1"/>
  <c r="N745" i="1"/>
  <c r="M745" i="1" s="1"/>
  <c r="N649" i="1"/>
  <c r="M649" i="1" s="1"/>
  <c r="J1000" i="1"/>
  <c r="K1000" i="1" s="1"/>
  <c r="J984" i="1"/>
  <c r="K984" i="1" s="1"/>
  <c r="J968" i="1"/>
  <c r="K968" i="1" s="1"/>
  <c r="N968" i="1"/>
  <c r="M968" i="1" s="1"/>
  <c r="J952" i="1"/>
  <c r="K952" i="1" s="1"/>
  <c r="N952" i="1"/>
  <c r="M952" i="1" s="1"/>
  <c r="J936" i="1"/>
  <c r="K936" i="1" s="1"/>
  <c r="J920" i="1"/>
  <c r="K920" i="1" s="1"/>
  <c r="N920" i="1"/>
  <c r="M920" i="1" s="1"/>
  <c r="J888" i="1"/>
  <c r="K888" i="1" s="1"/>
  <c r="J872" i="1"/>
  <c r="K872" i="1" s="1"/>
  <c r="N872" i="1"/>
  <c r="M872" i="1" s="1"/>
  <c r="N824" i="1"/>
  <c r="M824" i="1" s="1"/>
  <c r="N792" i="1"/>
  <c r="M792" i="1" s="1"/>
  <c r="N728" i="1"/>
  <c r="M728" i="1" s="1"/>
  <c r="N648" i="1"/>
  <c r="M648" i="1" s="1"/>
  <c r="N584" i="1"/>
  <c r="M584" i="1" s="1"/>
  <c r="N552" i="1"/>
  <c r="M552" i="1" s="1"/>
  <c r="N504" i="1"/>
  <c r="M504" i="1" s="1"/>
  <c r="N472" i="1"/>
  <c r="M472" i="1" s="1"/>
  <c r="N456" i="1"/>
  <c r="M456" i="1" s="1"/>
  <c r="N408" i="1"/>
  <c r="M408" i="1" s="1"/>
  <c r="N360" i="1"/>
  <c r="M360" i="1" s="1"/>
  <c r="N312" i="1"/>
  <c r="M312" i="1" s="1"/>
  <c r="N248" i="1"/>
  <c r="M248" i="1" s="1"/>
  <c r="N200" i="1"/>
  <c r="M200" i="1" s="1"/>
  <c r="N136" i="1"/>
  <c r="M136" i="1" s="1"/>
  <c r="N104" i="1"/>
  <c r="M104" i="1" s="1"/>
  <c r="N88" i="1"/>
  <c r="M88" i="1" s="1"/>
  <c r="N24" i="1"/>
  <c r="M24" i="1" s="1"/>
  <c r="N999" i="1"/>
  <c r="M999" i="1" s="1"/>
  <c r="N983" i="1"/>
  <c r="M983" i="1" s="1"/>
  <c r="N967" i="1"/>
  <c r="M967" i="1" s="1"/>
  <c r="N951" i="1"/>
  <c r="M951" i="1" s="1"/>
  <c r="N935" i="1"/>
  <c r="M935" i="1" s="1"/>
  <c r="N919" i="1"/>
  <c r="M919" i="1" s="1"/>
  <c r="N903" i="1"/>
  <c r="M903" i="1" s="1"/>
  <c r="N887" i="1"/>
  <c r="M887" i="1" s="1"/>
  <c r="N871" i="1"/>
  <c r="M871" i="1" s="1"/>
  <c r="N855" i="1"/>
  <c r="M855" i="1" s="1"/>
  <c r="N839" i="1"/>
  <c r="M839" i="1" s="1"/>
  <c r="N823" i="1"/>
  <c r="M823" i="1" s="1"/>
  <c r="N807" i="1"/>
  <c r="M807" i="1" s="1"/>
  <c r="N791" i="1"/>
  <c r="M791" i="1" s="1"/>
  <c r="N775" i="1"/>
  <c r="M775" i="1" s="1"/>
  <c r="N759" i="1"/>
  <c r="M759" i="1" s="1"/>
  <c r="N743" i="1"/>
  <c r="M743" i="1" s="1"/>
  <c r="N727" i="1"/>
  <c r="M727" i="1" s="1"/>
  <c r="N711" i="1"/>
  <c r="M711" i="1" s="1"/>
  <c r="N695" i="1"/>
  <c r="M695" i="1" s="1"/>
  <c r="N679" i="1"/>
  <c r="M679" i="1" s="1"/>
  <c r="N663" i="1"/>
  <c r="M663" i="1" s="1"/>
  <c r="N647" i="1"/>
  <c r="M647" i="1" s="1"/>
  <c r="N631" i="1"/>
  <c r="M631" i="1" s="1"/>
  <c r="N615" i="1"/>
  <c r="M615" i="1" s="1"/>
  <c r="N599" i="1"/>
  <c r="M599" i="1" s="1"/>
  <c r="N583" i="1"/>
  <c r="M583" i="1" s="1"/>
  <c r="N567" i="1"/>
  <c r="M567" i="1" s="1"/>
  <c r="N551" i="1"/>
  <c r="M551" i="1" s="1"/>
  <c r="N535" i="1"/>
  <c r="M535" i="1" s="1"/>
  <c r="N519" i="1"/>
  <c r="M519" i="1" s="1"/>
  <c r="N503" i="1"/>
  <c r="M503" i="1" s="1"/>
  <c r="N487" i="1"/>
  <c r="M487" i="1" s="1"/>
  <c r="N471" i="1"/>
  <c r="M471" i="1" s="1"/>
  <c r="N455" i="1"/>
  <c r="M455" i="1" s="1"/>
  <c r="N439" i="1"/>
  <c r="M439" i="1" s="1"/>
  <c r="N423" i="1"/>
  <c r="M423" i="1" s="1"/>
  <c r="N407" i="1"/>
  <c r="M407" i="1" s="1"/>
  <c r="N391" i="1"/>
  <c r="M391" i="1" s="1"/>
  <c r="N375" i="1"/>
  <c r="M375" i="1" s="1"/>
  <c r="N359" i="1"/>
  <c r="M359" i="1" s="1"/>
  <c r="N343" i="1"/>
  <c r="M343" i="1" s="1"/>
  <c r="N327" i="1"/>
  <c r="M327" i="1" s="1"/>
  <c r="N311" i="1"/>
  <c r="M311" i="1" s="1"/>
  <c r="N295" i="1"/>
  <c r="M295" i="1" s="1"/>
  <c r="N279" i="1"/>
  <c r="M279" i="1" s="1"/>
  <c r="N263" i="1"/>
  <c r="M263" i="1" s="1"/>
  <c r="N247" i="1"/>
  <c r="M247" i="1" s="1"/>
  <c r="N231" i="1"/>
  <c r="M231" i="1" s="1"/>
  <c r="N215" i="1"/>
  <c r="M215" i="1" s="1"/>
  <c r="N199" i="1"/>
  <c r="M199" i="1" s="1"/>
  <c r="N183" i="1"/>
  <c r="M183" i="1" s="1"/>
  <c r="N167" i="1"/>
  <c r="M167" i="1" s="1"/>
  <c r="N151" i="1"/>
  <c r="M151" i="1" s="1"/>
  <c r="N135" i="1"/>
  <c r="M135" i="1" s="1"/>
  <c r="N119" i="1"/>
  <c r="M119" i="1" s="1"/>
  <c r="N103" i="1"/>
  <c r="M103" i="1" s="1"/>
  <c r="N87" i="1"/>
  <c r="M87" i="1" s="1"/>
  <c r="N71" i="1"/>
  <c r="M71" i="1" s="1"/>
  <c r="N55" i="1"/>
  <c r="M55" i="1" s="1"/>
  <c r="N39" i="1"/>
  <c r="M39" i="1" s="1"/>
  <c r="N23" i="1"/>
  <c r="M23" i="1" s="1"/>
  <c r="N7" i="1"/>
  <c r="M7" i="1" s="1"/>
  <c r="N835" i="1"/>
  <c r="M835" i="1" s="1"/>
  <c r="N739" i="1"/>
  <c r="M739" i="1" s="1"/>
  <c r="N595" i="1"/>
  <c r="M595" i="1" s="1"/>
  <c r="N515" i="1"/>
  <c r="M515" i="1" s="1"/>
  <c r="N275" i="1"/>
  <c r="M275" i="1" s="1"/>
  <c r="N195" i="1"/>
  <c r="M195" i="1" s="1"/>
  <c r="N83" i="1"/>
  <c r="M83" i="1" s="1"/>
  <c r="N786" i="1"/>
  <c r="M786" i="1" s="1"/>
  <c r="N562" i="1"/>
  <c r="M562" i="1" s="1"/>
  <c r="N514" i="1"/>
  <c r="M514" i="1" s="1"/>
  <c r="N370" i="1"/>
  <c r="M370" i="1" s="1"/>
  <c r="N258" i="1"/>
  <c r="M258" i="1" s="1"/>
  <c r="N569" i="1"/>
  <c r="M569" i="1" s="1"/>
  <c r="N977" i="1"/>
  <c r="M977" i="1" s="1"/>
  <c r="N625" i="1"/>
  <c r="M625" i="1" s="1"/>
  <c r="N529" i="1"/>
  <c r="M529" i="1" s="1"/>
  <c r="N449" i="1"/>
  <c r="M449" i="1" s="1"/>
  <c r="N321" i="1"/>
  <c r="M321" i="1" s="1"/>
  <c r="N209" i="1"/>
  <c r="M209" i="1" s="1"/>
  <c r="N129" i="1"/>
  <c r="M129" i="1" s="1"/>
  <c r="N736" i="1"/>
  <c r="M736" i="1" s="1"/>
  <c r="N688" i="1"/>
  <c r="M688" i="1" s="1"/>
  <c r="N512" i="1"/>
  <c r="M512" i="1" s="1"/>
  <c r="N336" i="1"/>
  <c r="M336" i="1" s="1"/>
  <c r="N96" i="1"/>
  <c r="M96" i="1" s="1"/>
  <c r="N943" i="1"/>
  <c r="M943" i="1" s="1"/>
  <c r="N879" i="1"/>
  <c r="M879" i="1" s="1"/>
  <c r="N799" i="1"/>
  <c r="M799" i="1" s="1"/>
  <c r="N982" i="1"/>
  <c r="M982" i="1" s="1"/>
  <c r="N966" i="1"/>
  <c r="M966" i="1" s="1"/>
  <c r="N950" i="1"/>
  <c r="M950" i="1" s="1"/>
  <c r="N934" i="1"/>
  <c r="M934" i="1" s="1"/>
  <c r="N918" i="1"/>
  <c r="M918" i="1" s="1"/>
  <c r="N886" i="1"/>
  <c r="M886" i="1" s="1"/>
  <c r="N870" i="1"/>
  <c r="M870" i="1" s="1"/>
  <c r="J838" i="1"/>
  <c r="K838" i="1" s="1"/>
  <c r="N838" i="1"/>
  <c r="M838" i="1" s="1"/>
  <c r="N806" i="1"/>
  <c r="M806" i="1" s="1"/>
  <c r="N790" i="1"/>
  <c r="M790" i="1" s="1"/>
  <c r="N758" i="1"/>
  <c r="M758" i="1" s="1"/>
  <c r="N742" i="1"/>
  <c r="M742" i="1" s="1"/>
  <c r="N726" i="1"/>
  <c r="M726" i="1" s="1"/>
  <c r="N694" i="1"/>
  <c r="M694" i="1" s="1"/>
  <c r="N646" i="1"/>
  <c r="M646" i="1" s="1"/>
  <c r="N630" i="1"/>
  <c r="M630" i="1" s="1"/>
  <c r="N614" i="1"/>
  <c r="M614" i="1" s="1"/>
  <c r="N598" i="1"/>
  <c r="M598" i="1" s="1"/>
  <c r="N582" i="1"/>
  <c r="M582" i="1" s="1"/>
  <c r="N550" i="1"/>
  <c r="M550" i="1" s="1"/>
  <c r="N502" i="1"/>
  <c r="M502" i="1" s="1"/>
  <c r="N470" i="1"/>
  <c r="M470" i="1" s="1"/>
  <c r="N454" i="1"/>
  <c r="M454" i="1" s="1"/>
  <c r="N438" i="1"/>
  <c r="M438" i="1" s="1"/>
  <c r="N422" i="1"/>
  <c r="M422" i="1" s="1"/>
  <c r="N406" i="1"/>
  <c r="M406" i="1" s="1"/>
  <c r="N358" i="1"/>
  <c r="M358" i="1" s="1"/>
  <c r="N326" i="1"/>
  <c r="M326" i="1" s="1"/>
  <c r="N310" i="1"/>
  <c r="M310" i="1" s="1"/>
  <c r="N294" i="1"/>
  <c r="M294" i="1" s="1"/>
  <c r="N278" i="1"/>
  <c r="M278" i="1" s="1"/>
  <c r="N246" i="1"/>
  <c r="M246" i="1" s="1"/>
  <c r="N230" i="1"/>
  <c r="M230" i="1" s="1"/>
  <c r="N214" i="1"/>
  <c r="M214" i="1" s="1"/>
  <c r="N198" i="1"/>
  <c r="M198" i="1" s="1"/>
  <c r="N182" i="1"/>
  <c r="M182" i="1" s="1"/>
  <c r="N150" i="1"/>
  <c r="M150" i="1" s="1"/>
  <c r="N134" i="1"/>
  <c r="M134" i="1" s="1"/>
  <c r="N102" i="1"/>
  <c r="M102" i="1" s="1"/>
  <c r="N86" i="1"/>
  <c r="M86" i="1" s="1"/>
  <c r="N70" i="1"/>
  <c r="M70" i="1" s="1"/>
  <c r="N38" i="1"/>
  <c r="M38" i="1" s="1"/>
  <c r="N22" i="1"/>
  <c r="M22" i="1" s="1"/>
  <c r="N691" i="1"/>
  <c r="M691" i="1" s="1"/>
  <c r="N914" i="1"/>
  <c r="M914" i="1" s="1"/>
  <c r="N626" i="1"/>
  <c r="M626" i="1" s="1"/>
  <c r="N530" i="1"/>
  <c r="M530" i="1" s="1"/>
  <c r="N338" i="1"/>
  <c r="M338" i="1" s="1"/>
  <c r="N18" i="1"/>
  <c r="M18" i="1" s="1"/>
  <c r="N997" i="1"/>
  <c r="M997" i="1" s="1"/>
  <c r="N981" i="1"/>
  <c r="M981" i="1" s="1"/>
  <c r="N965" i="1"/>
  <c r="M965" i="1" s="1"/>
  <c r="N949" i="1"/>
  <c r="M949" i="1" s="1"/>
  <c r="N933" i="1"/>
  <c r="M933" i="1" s="1"/>
  <c r="N917" i="1"/>
  <c r="M917" i="1" s="1"/>
  <c r="N885" i="1"/>
  <c r="M885" i="1" s="1"/>
  <c r="N869" i="1"/>
  <c r="M869" i="1" s="1"/>
  <c r="N837" i="1"/>
  <c r="M837" i="1" s="1"/>
  <c r="N821" i="1"/>
  <c r="M821" i="1" s="1"/>
  <c r="N805" i="1"/>
  <c r="M805" i="1" s="1"/>
  <c r="N789" i="1"/>
  <c r="M789" i="1" s="1"/>
  <c r="N773" i="1"/>
  <c r="M773" i="1" s="1"/>
  <c r="N757" i="1"/>
  <c r="M757" i="1" s="1"/>
  <c r="N741" i="1"/>
  <c r="M741" i="1" s="1"/>
  <c r="N725" i="1"/>
  <c r="M725" i="1" s="1"/>
  <c r="N709" i="1"/>
  <c r="M709" i="1" s="1"/>
  <c r="N693" i="1"/>
  <c r="M693" i="1" s="1"/>
  <c r="N645" i="1"/>
  <c r="M645" i="1" s="1"/>
  <c r="N613" i="1"/>
  <c r="M613" i="1" s="1"/>
  <c r="N597" i="1"/>
  <c r="M597" i="1" s="1"/>
  <c r="N581" i="1"/>
  <c r="M581" i="1" s="1"/>
  <c r="N565" i="1"/>
  <c r="M565" i="1" s="1"/>
  <c r="N549" i="1"/>
  <c r="M549" i="1" s="1"/>
  <c r="N517" i="1"/>
  <c r="M517" i="1" s="1"/>
  <c r="N501" i="1"/>
  <c r="M501" i="1" s="1"/>
  <c r="N469" i="1"/>
  <c r="M469" i="1" s="1"/>
  <c r="N453" i="1"/>
  <c r="M453" i="1" s="1"/>
  <c r="N421" i="1"/>
  <c r="M421" i="1" s="1"/>
  <c r="N405" i="1"/>
  <c r="M405" i="1" s="1"/>
  <c r="N389" i="1"/>
  <c r="M389" i="1" s="1"/>
  <c r="N373" i="1"/>
  <c r="M373" i="1" s="1"/>
  <c r="N357" i="1"/>
  <c r="M357" i="1" s="1"/>
  <c r="N309" i="1"/>
  <c r="M309" i="1" s="1"/>
  <c r="N293" i="1"/>
  <c r="M293" i="1" s="1"/>
  <c r="N245" i="1"/>
  <c r="M245" i="1" s="1"/>
  <c r="N229" i="1"/>
  <c r="M229" i="1" s="1"/>
  <c r="N213" i="1"/>
  <c r="M213" i="1" s="1"/>
  <c r="N197" i="1"/>
  <c r="M197" i="1" s="1"/>
  <c r="N181" i="1"/>
  <c r="M181" i="1" s="1"/>
  <c r="N165" i="1"/>
  <c r="M165" i="1" s="1"/>
  <c r="N149" i="1"/>
  <c r="M149" i="1" s="1"/>
  <c r="N133" i="1"/>
  <c r="M133" i="1" s="1"/>
  <c r="N101" i="1"/>
  <c r="M101" i="1" s="1"/>
  <c r="N85" i="1"/>
  <c r="M85" i="1" s="1"/>
  <c r="N69" i="1"/>
  <c r="M69" i="1" s="1"/>
  <c r="N37" i="1"/>
  <c r="M37" i="1" s="1"/>
  <c r="N21" i="1"/>
  <c r="M21" i="1" s="1"/>
  <c r="N304" i="1"/>
  <c r="M304" i="1" s="1"/>
  <c r="N272" i="1"/>
  <c r="M272" i="1" s="1"/>
  <c r="N240" i="1"/>
  <c r="M240" i="1" s="1"/>
  <c r="N192" i="1"/>
  <c r="M192" i="1" s="1"/>
  <c r="N160" i="1"/>
  <c r="M160" i="1" s="1"/>
  <c r="N112" i="1"/>
  <c r="M112" i="1" s="1"/>
  <c r="N80" i="1"/>
  <c r="M80" i="1" s="1"/>
  <c r="N64" i="1"/>
  <c r="M64" i="1" s="1"/>
  <c r="N48" i="1"/>
  <c r="M48" i="1" s="1"/>
  <c r="N31" i="1"/>
  <c r="M31" i="1" s="1"/>
  <c r="N79" i="1"/>
  <c r="M79" i="1" s="1"/>
  <c r="N990" i="1"/>
  <c r="M990" i="1" s="1"/>
  <c r="N974" i="1"/>
  <c r="M974" i="1" s="1"/>
  <c r="N958" i="1"/>
  <c r="M958" i="1" s="1"/>
  <c r="N942" i="1"/>
  <c r="M942" i="1" s="1"/>
  <c r="N926" i="1"/>
  <c r="M926" i="1" s="1"/>
  <c r="N910" i="1"/>
  <c r="M910" i="1" s="1"/>
  <c r="N894" i="1"/>
  <c r="M894" i="1" s="1"/>
  <c r="N878" i="1"/>
  <c r="M878" i="1" s="1"/>
  <c r="N862" i="1"/>
  <c r="M862" i="1" s="1"/>
  <c r="N846" i="1"/>
  <c r="M846" i="1" s="1"/>
  <c r="N830" i="1"/>
  <c r="M830" i="1" s="1"/>
  <c r="N814" i="1"/>
  <c r="M814" i="1" s="1"/>
  <c r="N798" i="1"/>
  <c r="M798" i="1" s="1"/>
  <c r="N782" i="1"/>
  <c r="M782" i="1" s="1"/>
  <c r="N766" i="1"/>
  <c r="M766" i="1" s="1"/>
  <c r="N750" i="1"/>
  <c r="M750" i="1" s="1"/>
  <c r="N734" i="1"/>
  <c r="M734" i="1" s="1"/>
  <c r="N718" i="1"/>
  <c r="M718" i="1" s="1"/>
  <c r="N702" i="1"/>
  <c r="M702" i="1" s="1"/>
  <c r="N686" i="1"/>
  <c r="M686" i="1" s="1"/>
  <c r="N670" i="1"/>
  <c r="M670" i="1" s="1"/>
  <c r="N654" i="1"/>
  <c r="M654" i="1" s="1"/>
  <c r="N638" i="1"/>
  <c r="M638" i="1" s="1"/>
  <c r="N622" i="1"/>
  <c r="M622" i="1" s="1"/>
  <c r="N606" i="1"/>
  <c r="M606" i="1" s="1"/>
  <c r="N590" i="1"/>
  <c r="M590" i="1" s="1"/>
  <c r="N574" i="1"/>
  <c r="M574" i="1" s="1"/>
  <c r="N558" i="1"/>
  <c r="M558" i="1" s="1"/>
  <c r="N542" i="1"/>
  <c r="M542" i="1" s="1"/>
  <c r="N526" i="1"/>
  <c r="M526" i="1" s="1"/>
  <c r="N510" i="1"/>
  <c r="M510" i="1" s="1"/>
  <c r="N494" i="1"/>
  <c r="M494" i="1" s="1"/>
  <c r="N63" i="1"/>
  <c r="M63" i="1" s="1"/>
  <c r="N941" i="1"/>
  <c r="M941" i="1" s="1"/>
  <c r="N877" i="1"/>
  <c r="M877" i="1" s="1"/>
  <c r="N813" i="1"/>
  <c r="M813" i="1" s="1"/>
  <c r="N47" i="1"/>
  <c r="M47" i="1" s="1"/>
  <c r="N973" i="1"/>
  <c r="M973" i="1" s="1"/>
  <c r="N925" i="1"/>
  <c r="M925" i="1" s="1"/>
  <c r="N893" i="1"/>
  <c r="M893" i="1" s="1"/>
  <c r="N829" i="1"/>
  <c r="M829" i="1" s="1"/>
  <c r="N972" i="1"/>
  <c r="M972" i="1" s="1"/>
  <c r="N940" i="1"/>
  <c r="M940" i="1" s="1"/>
  <c r="N908" i="1"/>
  <c r="M908" i="1" s="1"/>
  <c r="N876" i="1"/>
  <c r="M876" i="1" s="1"/>
  <c r="N844" i="1"/>
  <c r="M844" i="1" s="1"/>
  <c r="N812" i="1"/>
  <c r="M812" i="1" s="1"/>
  <c r="N703" i="1"/>
  <c r="M703" i="1" s="1"/>
  <c r="N687" i="1"/>
  <c r="M687" i="1" s="1"/>
  <c r="N671" i="1"/>
  <c r="M671" i="1" s="1"/>
  <c r="N655" i="1"/>
  <c r="M655" i="1" s="1"/>
  <c r="N639" i="1"/>
  <c r="M639" i="1" s="1"/>
  <c r="N623" i="1"/>
  <c r="M623" i="1" s="1"/>
  <c r="N607" i="1"/>
  <c r="M607" i="1" s="1"/>
  <c r="N591" i="1"/>
  <c r="M591" i="1" s="1"/>
  <c r="N575" i="1"/>
  <c r="M575" i="1" s="1"/>
  <c r="N559" i="1"/>
  <c r="M559" i="1" s="1"/>
  <c r="N543" i="1"/>
  <c r="M543" i="1" s="1"/>
  <c r="N527" i="1"/>
  <c r="M527" i="1" s="1"/>
  <c r="N511" i="1"/>
  <c r="M511" i="1" s="1"/>
  <c r="N495" i="1"/>
  <c r="M495" i="1" s="1"/>
  <c r="N479" i="1"/>
  <c r="M479" i="1" s="1"/>
  <c r="N463" i="1"/>
  <c r="M463" i="1" s="1"/>
  <c r="N447" i="1"/>
  <c r="M447" i="1" s="1"/>
  <c r="N431" i="1"/>
  <c r="M431" i="1" s="1"/>
  <c r="N415" i="1"/>
  <c r="M415" i="1" s="1"/>
  <c r="N399" i="1"/>
  <c r="M399" i="1" s="1"/>
  <c r="N383" i="1"/>
  <c r="M383" i="1" s="1"/>
  <c r="N367" i="1"/>
  <c r="M367" i="1" s="1"/>
  <c r="N351" i="1"/>
  <c r="M351" i="1" s="1"/>
  <c r="N335" i="1"/>
  <c r="M335" i="1" s="1"/>
  <c r="N319" i="1"/>
  <c r="M319" i="1" s="1"/>
  <c r="N303" i="1"/>
  <c r="M303" i="1" s="1"/>
  <c r="N287" i="1"/>
  <c r="M287" i="1" s="1"/>
  <c r="N271" i="1"/>
  <c r="M271" i="1" s="1"/>
  <c r="N255" i="1"/>
  <c r="M255" i="1" s="1"/>
  <c r="N239" i="1"/>
  <c r="M239" i="1" s="1"/>
  <c r="N223" i="1"/>
  <c r="M223" i="1" s="1"/>
  <c r="N207" i="1"/>
  <c r="M207" i="1" s="1"/>
  <c r="N191" i="1"/>
  <c r="M191" i="1" s="1"/>
  <c r="N175" i="1"/>
  <c r="M175" i="1" s="1"/>
  <c r="N159" i="1"/>
  <c r="M159" i="1" s="1"/>
  <c r="N143" i="1"/>
  <c r="M143" i="1" s="1"/>
  <c r="N127" i="1"/>
  <c r="M127" i="1" s="1"/>
  <c r="N111" i="1"/>
  <c r="M111" i="1" s="1"/>
  <c r="N15" i="1"/>
  <c r="M15" i="1" s="1"/>
  <c r="N989" i="1"/>
  <c r="M989" i="1" s="1"/>
  <c r="N957" i="1"/>
  <c r="M957" i="1" s="1"/>
  <c r="N909" i="1"/>
  <c r="M909" i="1" s="1"/>
  <c r="N861" i="1"/>
  <c r="M861" i="1" s="1"/>
  <c r="N845" i="1"/>
  <c r="M845" i="1" s="1"/>
  <c r="N988" i="1"/>
  <c r="M988" i="1" s="1"/>
  <c r="N956" i="1"/>
  <c r="M956" i="1" s="1"/>
  <c r="N924" i="1"/>
  <c r="M924" i="1" s="1"/>
  <c r="N892" i="1"/>
  <c r="M892" i="1" s="1"/>
  <c r="N860" i="1"/>
  <c r="M860" i="1" s="1"/>
  <c r="N828" i="1"/>
  <c r="M828" i="1" s="1"/>
  <c r="N987" i="1"/>
  <c r="M987" i="1" s="1"/>
  <c r="N971" i="1"/>
  <c r="M971" i="1" s="1"/>
  <c r="N955" i="1"/>
  <c r="M955" i="1" s="1"/>
  <c r="N939" i="1"/>
  <c r="M939" i="1" s="1"/>
  <c r="N923" i="1"/>
  <c r="M923" i="1" s="1"/>
  <c r="N907" i="1"/>
  <c r="M907" i="1" s="1"/>
  <c r="N891" i="1"/>
  <c r="M891" i="1" s="1"/>
  <c r="N875" i="1"/>
  <c r="M875" i="1" s="1"/>
  <c r="N859" i="1"/>
  <c r="M859" i="1" s="1"/>
  <c r="N843" i="1"/>
  <c r="M843" i="1" s="1"/>
  <c r="N827" i="1"/>
  <c r="M827" i="1" s="1"/>
  <c r="N811" i="1"/>
  <c r="M811" i="1" s="1"/>
  <c r="N795" i="1"/>
  <c r="M795" i="1" s="1"/>
  <c r="N779" i="1"/>
  <c r="M779" i="1" s="1"/>
  <c r="N95" i="1"/>
  <c r="M95" i="1" s="1"/>
  <c r="N986" i="1"/>
  <c r="M986" i="1" s="1"/>
  <c r="N970" i="1"/>
  <c r="M970" i="1" s="1"/>
  <c r="N954" i="1"/>
  <c r="M954" i="1" s="1"/>
  <c r="N938" i="1"/>
  <c r="M938" i="1" s="1"/>
  <c r="N922" i="1"/>
  <c r="M922" i="1" s="1"/>
  <c r="N906" i="1"/>
  <c r="M906" i="1" s="1"/>
  <c r="N890" i="1"/>
  <c r="M890" i="1" s="1"/>
  <c r="N874" i="1"/>
  <c r="M874" i="1" s="1"/>
  <c r="N858" i="1"/>
  <c r="M858" i="1" s="1"/>
  <c r="N842" i="1"/>
  <c r="M842" i="1" s="1"/>
  <c r="N826" i="1"/>
  <c r="M826" i="1" s="1"/>
  <c r="N810" i="1"/>
  <c r="M810" i="1" s="1"/>
  <c r="N794" i="1"/>
  <c r="M794" i="1" s="1"/>
  <c r="N778" i="1"/>
  <c r="M778" i="1" s="1"/>
  <c r="N762" i="1"/>
  <c r="M762" i="1" s="1"/>
  <c r="N746" i="1"/>
  <c r="M746" i="1" s="1"/>
  <c r="N730" i="1"/>
  <c r="M730" i="1" s="1"/>
  <c r="N714" i="1"/>
  <c r="M714" i="1" s="1"/>
  <c r="N698" i="1"/>
  <c r="M698" i="1" s="1"/>
  <c r="N682" i="1"/>
  <c r="M682" i="1" s="1"/>
  <c r="N666" i="1"/>
  <c r="M666" i="1" s="1"/>
  <c r="N650" i="1"/>
  <c r="M650" i="1" s="1"/>
  <c r="N634" i="1"/>
  <c r="M634" i="1" s="1"/>
  <c r="N618" i="1"/>
  <c r="M618" i="1" s="1"/>
  <c r="N602" i="1"/>
  <c r="M602" i="1" s="1"/>
  <c r="N586" i="1"/>
  <c r="M586" i="1" s="1"/>
  <c r="N570" i="1"/>
  <c r="M570" i="1" s="1"/>
  <c r="N554" i="1"/>
  <c r="M554" i="1" s="1"/>
  <c r="N538" i="1"/>
  <c r="M538" i="1" s="1"/>
  <c r="N522" i="1"/>
  <c r="M522" i="1" s="1"/>
  <c r="N506" i="1"/>
  <c r="M506" i="1" s="1"/>
  <c r="N490" i="1"/>
  <c r="M490" i="1" s="1"/>
  <c r="N474" i="1"/>
  <c r="M474" i="1" s="1"/>
  <c r="N458" i="1"/>
  <c r="M458" i="1" s="1"/>
  <c r="N442" i="1"/>
  <c r="M442" i="1" s="1"/>
  <c r="N426" i="1"/>
  <c r="M426" i="1" s="1"/>
  <c r="N410" i="1"/>
  <c r="M410" i="1" s="1"/>
  <c r="N394" i="1"/>
  <c r="M394" i="1" s="1"/>
  <c r="N378" i="1"/>
  <c r="M378" i="1" s="1"/>
  <c r="N362" i="1"/>
  <c r="M362" i="1" s="1"/>
  <c r="N346" i="1"/>
  <c r="M346" i="1" s="1"/>
  <c r="N330" i="1"/>
  <c r="M330" i="1" s="1"/>
  <c r="N314" i="1"/>
  <c r="M314" i="1" s="1"/>
  <c r="N298" i="1"/>
  <c r="M298" i="1" s="1"/>
  <c r="N282" i="1"/>
  <c r="M282" i="1" s="1"/>
  <c r="N266" i="1"/>
  <c r="M266" i="1" s="1"/>
  <c r="N250" i="1"/>
  <c r="M250" i="1" s="1"/>
  <c r="N234" i="1"/>
  <c r="M234" i="1" s="1"/>
  <c r="N218" i="1"/>
  <c r="M218" i="1" s="1"/>
  <c r="N202" i="1"/>
  <c r="M202" i="1" s="1"/>
  <c r="N186" i="1"/>
  <c r="M186" i="1" s="1"/>
  <c r="N170" i="1"/>
  <c r="M170" i="1" s="1"/>
  <c r="N154" i="1"/>
  <c r="M154" i="1" s="1"/>
  <c r="N138" i="1"/>
  <c r="M138" i="1" s="1"/>
  <c r="N122" i="1"/>
  <c r="M122" i="1" s="1"/>
  <c r="N106" i="1"/>
  <c r="M106" i="1" s="1"/>
  <c r="N90" i="1"/>
  <c r="M90" i="1" s="1"/>
  <c r="N74" i="1"/>
  <c r="M74" i="1" s="1"/>
  <c r="N58" i="1"/>
  <c r="M58" i="1" s="1"/>
  <c r="N42" i="1"/>
  <c r="M42" i="1" s="1"/>
  <c r="N26" i="1"/>
  <c r="M26" i="1" s="1"/>
  <c r="N10" i="1"/>
  <c r="M10" i="1" s="1"/>
  <c r="N478" i="1"/>
  <c r="M478" i="1" s="1"/>
  <c r="N462" i="1"/>
  <c r="M462" i="1" s="1"/>
  <c r="N446" i="1"/>
  <c r="M446" i="1" s="1"/>
  <c r="N430" i="1"/>
  <c r="M430" i="1" s="1"/>
  <c r="N414" i="1"/>
  <c r="M414" i="1" s="1"/>
  <c r="N398" i="1"/>
  <c r="M398" i="1" s="1"/>
  <c r="N382" i="1"/>
  <c r="M382" i="1" s="1"/>
  <c r="N366" i="1"/>
  <c r="M366" i="1" s="1"/>
  <c r="N350" i="1"/>
  <c r="M350" i="1" s="1"/>
  <c r="N334" i="1"/>
  <c r="M334" i="1" s="1"/>
  <c r="N318" i="1"/>
  <c r="M318" i="1" s="1"/>
  <c r="N302" i="1"/>
  <c r="M302" i="1" s="1"/>
  <c r="N286" i="1"/>
  <c r="M286" i="1" s="1"/>
  <c r="N270" i="1"/>
  <c r="M270" i="1" s="1"/>
  <c r="N254" i="1"/>
  <c r="M254" i="1" s="1"/>
  <c r="N238" i="1"/>
  <c r="M238" i="1" s="1"/>
  <c r="N222" i="1"/>
  <c r="M222" i="1" s="1"/>
  <c r="N206" i="1"/>
  <c r="M206" i="1" s="1"/>
  <c r="N190" i="1"/>
  <c r="M190" i="1" s="1"/>
  <c r="N174" i="1"/>
  <c r="M174" i="1" s="1"/>
  <c r="N158" i="1"/>
  <c r="M158" i="1" s="1"/>
  <c r="N142" i="1"/>
  <c r="M142" i="1" s="1"/>
  <c r="N126" i="1"/>
  <c r="M126" i="1" s="1"/>
  <c r="N110" i="1"/>
  <c r="M110" i="1" s="1"/>
  <c r="N94" i="1"/>
  <c r="M94" i="1" s="1"/>
  <c r="N78" i="1"/>
  <c r="M78" i="1" s="1"/>
  <c r="N62" i="1"/>
  <c r="M62" i="1" s="1"/>
  <c r="N46" i="1"/>
  <c r="M46" i="1" s="1"/>
  <c r="N30" i="1"/>
  <c r="M30" i="1" s="1"/>
  <c r="N14" i="1"/>
  <c r="M14" i="1" s="1"/>
  <c r="N797" i="1"/>
  <c r="M797" i="1" s="1"/>
  <c r="N781" i="1"/>
  <c r="M781" i="1" s="1"/>
  <c r="N765" i="1"/>
  <c r="M765" i="1" s="1"/>
  <c r="N749" i="1"/>
  <c r="M749" i="1" s="1"/>
  <c r="N733" i="1"/>
  <c r="M733" i="1" s="1"/>
  <c r="N717" i="1"/>
  <c r="M717" i="1" s="1"/>
  <c r="N701" i="1"/>
  <c r="M701" i="1" s="1"/>
  <c r="N685" i="1"/>
  <c r="M685" i="1" s="1"/>
  <c r="N669" i="1"/>
  <c r="M669" i="1" s="1"/>
  <c r="N653" i="1"/>
  <c r="M653" i="1" s="1"/>
  <c r="N637" i="1"/>
  <c r="M637" i="1" s="1"/>
  <c r="N621" i="1"/>
  <c r="M621" i="1" s="1"/>
  <c r="N605" i="1"/>
  <c r="M605" i="1" s="1"/>
  <c r="N589" i="1"/>
  <c r="M589" i="1" s="1"/>
  <c r="N573" i="1"/>
  <c r="M573" i="1" s="1"/>
  <c r="N557" i="1"/>
  <c r="M557" i="1" s="1"/>
  <c r="N541" i="1"/>
  <c r="M541" i="1" s="1"/>
  <c r="N525" i="1"/>
  <c r="M525" i="1" s="1"/>
  <c r="N509" i="1"/>
  <c r="M509" i="1" s="1"/>
  <c r="N493" i="1"/>
  <c r="M493" i="1" s="1"/>
  <c r="N477" i="1"/>
  <c r="M477" i="1" s="1"/>
  <c r="N461" i="1"/>
  <c r="M461" i="1" s="1"/>
  <c r="N445" i="1"/>
  <c r="M445" i="1" s="1"/>
  <c r="N429" i="1"/>
  <c r="M429" i="1" s="1"/>
  <c r="N413" i="1"/>
  <c r="M413" i="1" s="1"/>
  <c r="N397" i="1"/>
  <c r="M397" i="1" s="1"/>
  <c r="N381" i="1"/>
  <c r="M381" i="1" s="1"/>
  <c r="N365" i="1"/>
  <c r="M365" i="1" s="1"/>
  <c r="N349" i="1"/>
  <c r="M349" i="1" s="1"/>
  <c r="N333" i="1"/>
  <c r="M333" i="1" s="1"/>
  <c r="N317" i="1"/>
  <c r="M317" i="1" s="1"/>
  <c r="N301" i="1"/>
  <c r="M301" i="1" s="1"/>
  <c r="N285" i="1"/>
  <c r="M285" i="1" s="1"/>
  <c r="N269" i="1"/>
  <c r="M269" i="1" s="1"/>
  <c r="N253" i="1"/>
  <c r="M253" i="1" s="1"/>
  <c r="N237" i="1"/>
  <c r="M237" i="1" s="1"/>
  <c r="N221" i="1"/>
  <c r="M221" i="1" s="1"/>
  <c r="N205" i="1"/>
  <c r="M205" i="1" s="1"/>
  <c r="N189" i="1"/>
  <c r="M189" i="1" s="1"/>
  <c r="N173" i="1"/>
  <c r="M173" i="1" s="1"/>
  <c r="N157" i="1"/>
  <c r="M157" i="1" s="1"/>
  <c r="N141" i="1"/>
  <c r="M141" i="1" s="1"/>
  <c r="N125" i="1"/>
  <c r="M125" i="1" s="1"/>
  <c r="N109" i="1"/>
  <c r="M109" i="1" s="1"/>
  <c r="N93" i="1"/>
  <c r="M93" i="1" s="1"/>
  <c r="N77" i="1"/>
  <c r="M77" i="1" s="1"/>
  <c r="N61" i="1"/>
  <c r="M61" i="1" s="1"/>
  <c r="N45" i="1"/>
  <c r="M45" i="1" s="1"/>
  <c r="N29" i="1"/>
  <c r="M29" i="1" s="1"/>
  <c r="N13" i="1"/>
  <c r="M13" i="1" s="1"/>
  <c r="N796" i="1"/>
  <c r="M796" i="1" s="1"/>
  <c r="N780" i="1"/>
  <c r="M780" i="1" s="1"/>
  <c r="N764" i="1"/>
  <c r="M764" i="1" s="1"/>
  <c r="N748" i="1"/>
  <c r="M748" i="1" s="1"/>
  <c r="N732" i="1"/>
  <c r="M732" i="1" s="1"/>
  <c r="N716" i="1"/>
  <c r="M716" i="1" s="1"/>
  <c r="N700" i="1"/>
  <c r="M700" i="1" s="1"/>
  <c r="N684" i="1"/>
  <c r="M684" i="1" s="1"/>
  <c r="N668" i="1"/>
  <c r="M668" i="1" s="1"/>
  <c r="N652" i="1"/>
  <c r="M652" i="1" s="1"/>
  <c r="N636" i="1"/>
  <c r="M636" i="1" s="1"/>
  <c r="N620" i="1"/>
  <c r="M620" i="1" s="1"/>
  <c r="N604" i="1"/>
  <c r="M604" i="1" s="1"/>
  <c r="N588" i="1"/>
  <c r="M588" i="1" s="1"/>
  <c r="N572" i="1"/>
  <c r="M572" i="1" s="1"/>
  <c r="N556" i="1"/>
  <c r="M556" i="1" s="1"/>
  <c r="N540" i="1"/>
  <c r="M540" i="1" s="1"/>
  <c r="N524" i="1"/>
  <c r="M524" i="1" s="1"/>
  <c r="N508" i="1"/>
  <c r="M508" i="1" s="1"/>
  <c r="N492" i="1"/>
  <c r="M492" i="1" s="1"/>
  <c r="N476" i="1"/>
  <c r="M476" i="1" s="1"/>
  <c r="N460" i="1"/>
  <c r="M460" i="1" s="1"/>
  <c r="N444" i="1"/>
  <c r="M444" i="1" s="1"/>
  <c r="N428" i="1"/>
  <c r="M428" i="1" s="1"/>
  <c r="N412" i="1"/>
  <c r="M412" i="1" s="1"/>
  <c r="N396" i="1"/>
  <c r="M396" i="1" s="1"/>
  <c r="N380" i="1"/>
  <c r="M380" i="1" s="1"/>
  <c r="N364" i="1"/>
  <c r="M364" i="1" s="1"/>
  <c r="N348" i="1"/>
  <c r="M348" i="1" s="1"/>
  <c r="N332" i="1"/>
  <c r="M332" i="1" s="1"/>
  <c r="N316" i="1"/>
  <c r="M316" i="1" s="1"/>
  <c r="N300" i="1"/>
  <c r="M300" i="1" s="1"/>
  <c r="N284" i="1"/>
  <c r="M284" i="1" s="1"/>
  <c r="N268" i="1"/>
  <c r="M268" i="1" s="1"/>
  <c r="N252" i="1"/>
  <c r="M252" i="1" s="1"/>
  <c r="N236" i="1"/>
  <c r="M236" i="1" s="1"/>
  <c r="N220" i="1"/>
  <c r="M220" i="1" s="1"/>
  <c r="N204" i="1"/>
  <c r="M204" i="1" s="1"/>
  <c r="N188" i="1"/>
  <c r="M188" i="1" s="1"/>
  <c r="N172" i="1"/>
  <c r="M172" i="1" s="1"/>
  <c r="N156" i="1"/>
  <c r="M156" i="1" s="1"/>
  <c r="N140" i="1"/>
  <c r="M140" i="1" s="1"/>
  <c r="N124" i="1"/>
  <c r="M124" i="1" s="1"/>
  <c r="N108" i="1"/>
  <c r="M108" i="1" s="1"/>
  <c r="N92" i="1"/>
  <c r="M92" i="1" s="1"/>
  <c r="N76" i="1"/>
  <c r="M76" i="1" s="1"/>
  <c r="N60" i="1"/>
  <c r="M60" i="1" s="1"/>
  <c r="N44" i="1"/>
  <c r="M44" i="1" s="1"/>
  <c r="N28" i="1"/>
  <c r="M28" i="1" s="1"/>
  <c r="N12" i="1"/>
  <c r="M12" i="1" s="1"/>
  <c r="N763" i="1"/>
  <c r="M763" i="1" s="1"/>
  <c r="N747" i="1"/>
  <c r="M747" i="1" s="1"/>
  <c r="N731" i="1"/>
  <c r="M731" i="1" s="1"/>
  <c r="N715" i="1"/>
  <c r="M715" i="1" s="1"/>
  <c r="N699" i="1"/>
  <c r="M699" i="1" s="1"/>
  <c r="N683" i="1"/>
  <c r="M683" i="1" s="1"/>
  <c r="N667" i="1"/>
  <c r="M667" i="1" s="1"/>
  <c r="N651" i="1"/>
  <c r="M651" i="1" s="1"/>
  <c r="N635" i="1"/>
  <c r="M635" i="1" s="1"/>
  <c r="N619" i="1"/>
  <c r="M619" i="1" s="1"/>
  <c r="N603" i="1"/>
  <c r="M603" i="1" s="1"/>
  <c r="N587" i="1"/>
  <c r="M587" i="1" s="1"/>
  <c r="N571" i="1"/>
  <c r="M571" i="1" s="1"/>
  <c r="N555" i="1"/>
  <c r="M555" i="1" s="1"/>
  <c r="N539" i="1"/>
  <c r="M539" i="1" s="1"/>
  <c r="N523" i="1"/>
  <c r="M523" i="1" s="1"/>
  <c r="N507" i="1"/>
  <c r="M507" i="1" s="1"/>
  <c r="N491" i="1"/>
  <c r="M491" i="1" s="1"/>
  <c r="N475" i="1"/>
  <c r="M475" i="1" s="1"/>
  <c r="N459" i="1"/>
  <c r="M459" i="1" s="1"/>
  <c r="N443" i="1"/>
  <c r="M443" i="1" s="1"/>
  <c r="N427" i="1"/>
  <c r="M427" i="1" s="1"/>
  <c r="N411" i="1"/>
  <c r="M411" i="1" s="1"/>
  <c r="N395" i="1"/>
  <c r="M395" i="1" s="1"/>
  <c r="N379" i="1"/>
  <c r="M379" i="1" s="1"/>
  <c r="N363" i="1"/>
  <c r="M363" i="1" s="1"/>
  <c r="N347" i="1"/>
  <c r="M347" i="1" s="1"/>
  <c r="N331" i="1"/>
  <c r="M331" i="1" s="1"/>
  <c r="N315" i="1"/>
  <c r="M315" i="1" s="1"/>
  <c r="N299" i="1"/>
  <c r="M299" i="1" s="1"/>
  <c r="N283" i="1"/>
  <c r="M283" i="1" s="1"/>
  <c r="N267" i="1"/>
  <c r="M267" i="1" s="1"/>
  <c r="N251" i="1"/>
  <c r="M251" i="1" s="1"/>
  <c r="N235" i="1"/>
  <c r="M235" i="1" s="1"/>
  <c r="N219" i="1"/>
  <c r="M219" i="1" s="1"/>
  <c r="N203" i="1"/>
  <c r="M203" i="1" s="1"/>
  <c r="N187" i="1"/>
  <c r="M187" i="1" s="1"/>
  <c r="N171" i="1"/>
  <c r="M171" i="1" s="1"/>
  <c r="N155" i="1"/>
  <c r="M155" i="1" s="1"/>
  <c r="N139" i="1"/>
  <c r="M139" i="1" s="1"/>
  <c r="N123" i="1"/>
  <c r="M123" i="1" s="1"/>
  <c r="N107" i="1"/>
  <c r="M107" i="1" s="1"/>
  <c r="N91" i="1"/>
  <c r="M91" i="1" s="1"/>
  <c r="N75" i="1"/>
  <c r="M75" i="1" s="1"/>
  <c r="N59" i="1"/>
  <c r="M59" i="1" s="1"/>
  <c r="N43" i="1"/>
  <c r="M43" i="1" s="1"/>
  <c r="N27" i="1"/>
  <c r="M27" i="1" s="1"/>
  <c r="N11" i="1"/>
  <c r="M11" i="1" s="1"/>
  <c r="J1001" i="1"/>
  <c r="K1001" i="1" s="1"/>
  <c r="J985" i="1"/>
  <c r="K985" i="1" s="1"/>
  <c r="J969" i="1"/>
  <c r="K969" i="1" s="1"/>
  <c r="J953" i="1"/>
  <c r="K953" i="1" s="1"/>
  <c r="J937" i="1"/>
  <c r="K937" i="1" s="1"/>
  <c r="J921" i="1"/>
  <c r="K921" i="1" s="1"/>
  <c r="J905" i="1"/>
  <c r="K905" i="1" s="1"/>
  <c r="J889" i="1"/>
  <c r="K889" i="1" s="1"/>
  <c r="J744" i="1"/>
  <c r="K744" i="1" s="1"/>
  <c r="J568" i="1"/>
  <c r="K568" i="1" s="1"/>
  <c r="J376" i="1"/>
  <c r="K376" i="1" s="1"/>
  <c r="J200" i="1"/>
  <c r="K200" i="1" s="1"/>
  <c r="J24" i="1"/>
  <c r="K24" i="1" s="1"/>
  <c r="J919" i="1"/>
  <c r="K919" i="1" s="1"/>
  <c r="J823" i="1"/>
  <c r="K823" i="1" s="1"/>
  <c r="J679" i="1"/>
  <c r="K679" i="1" s="1"/>
  <c r="J567" i="1"/>
  <c r="K567" i="1" s="1"/>
  <c r="J487" i="1"/>
  <c r="K487" i="1" s="1"/>
  <c r="J471" i="1"/>
  <c r="K471" i="1" s="1"/>
  <c r="J455" i="1"/>
  <c r="K455" i="1" s="1"/>
  <c r="J439" i="1"/>
  <c r="K439" i="1" s="1"/>
  <c r="J423" i="1"/>
  <c r="K423" i="1" s="1"/>
  <c r="J407" i="1"/>
  <c r="K407" i="1" s="1"/>
  <c r="J391" i="1"/>
  <c r="K391" i="1" s="1"/>
  <c r="J375" i="1"/>
  <c r="K375" i="1" s="1"/>
  <c r="J632" i="1"/>
  <c r="K632" i="1" s="1"/>
  <c r="J456" i="1"/>
  <c r="K456" i="1" s="1"/>
  <c r="J296" i="1"/>
  <c r="K296" i="1" s="1"/>
  <c r="J136" i="1"/>
  <c r="K136" i="1" s="1"/>
  <c r="J855" i="1"/>
  <c r="K855" i="1" s="1"/>
  <c r="J727" i="1"/>
  <c r="K727" i="1" s="1"/>
  <c r="J631" i="1"/>
  <c r="K631" i="1" s="1"/>
  <c r="J519" i="1"/>
  <c r="K519" i="1" s="1"/>
  <c r="J886" i="1"/>
  <c r="K886" i="1" s="1"/>
  <c r="J822" i="1"/>
  <c r="K822" i="1" s="1"/>
  <c r="J616" i="1"/>
  <c r="K616" i="1" s="1"/>
  <c r="J520" i="1"/>
  <c r="K520" i="1" s="1"/>
  <c r="J280" i="1"/>
  <c r="K280" i="1" s="1"/>
  <c r="J152" i="1"/>
  <c r="K152" i="1" s="1"/>
  <c r="J951" i="1"/>
  <c r="K951" i="1" s="1"/>
  <c r="J839" i="1"/>
  <c r="K839" i="1" s="1"/>
  <c r="J663" i="1"/>
  <c r="K663" i="1" s="1"/>
  <c r="J535" i="1"/>
  <c r="K535" i="1" s="1"/>
  <c r="J950" i="1"/>
  <c r="K950" i="1" s="1"/>
  <c r="J996" i="1"/>
  <c r="K996" i="1" s="1"/>
  <c r="J916" i="1"/>
  <c r="K916" i="1" s="1"/>
  <c r="J804" i="1"/>
  <c r="K804" i="1" s="1"/>
  <c r="J708" i="1"/>
  <c r="K708" i="1" s="1"/>
  <c r="J612" i="1"/>
  <c r="K612" i="1" s="1"/>
  <c r="J564" i="1"/>
  <c r="K564" i="1" s="1"/>
  <c r="J548" i="1"/>
  <c r="K548" i="1" s="1"/>
  <c r="J840" i="1"/>
  <c r="K840" i="1" s="1"/>
  <c r="J648" i="1"/>
  <c r="K648" i="1" s="1"/>
  <c r="J504" i="1"/>
  <c r="K504" i="1" s="1"/>
  <c r="J264" i="1"/>
  <c r="K264" i="1" s="1"/>
  <c r="J120" i="1"/>
  <c r="K120" i="1" s="1"/>
  <c r="J887" i="1"/>
  <c r="K887" i="1" s="1"/>
  <c r="J791" i="1"/>
  <c r="K791" i="1" s="1"/>
  <c r="J695" i="1"/>
  <c r="K695" i="1" s="1"/>
  <c r="J599" i="1"/>
  <c r="K599" i="1" s="1"/>
  <c r="J503" i="1"/>
  <c r="K503" i="1" s="1"/>
  <c r="J934" i="1"/>
  <c r="K934" i="1" s="1"/>
  <c r="J948" i="1"/>
  <c r="K948" i="1" s="1"/>
  <c r="J836" i="1"/>
  <c r="K836" i="1" s="1"/>
  <c r="J724" i="1"/>
  <c r="K724" i="1" s="1"/>
  <c r="J995" i="1"/>
  <c r="K995" i="1" s="1"/>
  <c r="J499" i="1"/>
  <c r="K499" i="1" s="1"/>
  <c r="J760" i="1"/>
  <c r="K760" i="1" s="1"/>
  <c r="J584" i="1"/>
  <c r="K584" i="1" s="1"/>
  <c r="J392" i="1"/>
  <c r="K392" i="1" s="1"/>
  <c r="J232" i="1"/>
  <c r="K232" i="1" s="1"/>
  <c r="J104" i="1"/>
  <c r="K104" i="1" s="1"/>
  <c r="J871" i="1"/>
  <c r="K871" i="1" s="1"/>
  <c r="J711" i="1"/>
  <c r="K711" i="1" s="1"/>
  <c r="J551" i="1"/>
  <c r="K551" i="1" s="1"/>
  <c r="J966" i="1"/>
  <c r="K966" i="1" s="1"/>
  <c r="J870" i="1"/>
  <c r="K870" i="1" s="1"/>
  <c r="J900" i="1"/>
  <c r="K900" i="1" s="1"/>
  <c r="J772" i="1"/>
  <c r="K772" i="1" s="1"/>
  <c r="J660" i="1"/>
  <c r="K660" i="1" s="1"/>
  <c r="J963" i="1"/>
  <c r="K963" i="1" s="1"/>
  <c r="J883" i="1"/>
  <c r="K883" i="1" s="1"/>
  <c r="J824" i="1"/>
  <c r="K824" i="1" s="1"/>
  <c r="J935" i="1"/>
  <c r="K935" i="1" s="1"/>
  <c r="J759" i="1"/>
  <c r="K759" i="1" s="1"/>
  <c r="J615" i="1"/>
  <c r="K615" i="1" s="1"/>
  <c r="J852" i="1"/>
  <c r="K852" i="1" s="1"/>
  <c r="J788" i="1"/>
  <c r="K788" i="1" s="1"/>
  <c r="J628" i="1"/>
  <c r="K628" i="1" s="1"/>
  <c r="J931" i="1"/>
  <c r="K931" i="1" s="1"/>
  <c r="J856" i="1"/>
  <c r="K856" i="1" s="1"/>
  <c r="J696" i="1"/>
  <c r="K696" i="1" s="1"/>
  <c r="J440" i="1"/>
  <c r="K440" i="1" s="1"/>
  <c r="J344" i="1"/>
  <c r="K344" i="1" s="1"/>
  <c r="J168" i="1"/>
  <c r="K168" i="1" s="1"/>
  <c r="J967" i="1"/>
  <c r="K967" i="1" s="1"/>
  <c r="J775" i="1"/>
  <c r="K775" i="1" s="1"/>
  <c r="J647" i="1"/>
  <c r="K647" i="1" s="1"/>
  <c r="J982" i="1"/>
  <c r="K982" i="1" s="1"/>
  <c r="J902" i="1"/>
  <c r="K902" i="1" s="1"/>
  <c r="J980" i="1"/>
  <c r="K980" i="1" s="1"/>
  <c r="J884" i="1"/>
  <c r="K884" i="1" s="1"/>
  <c r="J740" i="1"/>
  <c r="K740" i="1" s="1"/>
  <c r="J676" i="1"/>
  <c r="K676" i="1" s="1"/>
  <c r="J580" i="1"/>
  <c r="K580" i="1" s="1"/>
  <c r="J899" i="1"/>
  <c r="K899" i="1" s="1"/>
  <c r="J712" i="1"/>
  <c r="K712" i="1" s="1"/>
  <c r="J552" i="1"/>
  <c r="K552" i="1" s="1"/>
  <c r="J360" i="1"/>
  <c r="K360" i="1" s="1"/>
  <c r="J184" i="1"/>
  <c r="K184" i="1" s="1"/>
  <c r="J8" i="1"/>
  <c r="K8" i="1" s="1"/>
  <c r="J983" i="1"/>
  <c r="K983" i="1" s="1"/>
  <c r="J807" i="1"/>
  <c r="K807" i="1" s="1"/>
  <c r="J964" i="1"/>
  <c r="K964" i="1" s="1"/>
  <c r="J820" i="1"/>
  <c r="K820" i="1" s="1"/>
  <c r="J756" i="1"/>
  <c r="K756" i="1" s="1"/>
  <c r="J644" i="1"/>
  <c r="K644" i="1" s="1"/>
  <c r="J979" i="1"/>
  <c r="K979" i="1" s="1"/>
  <c r="J915" i="1"/>
  <c r="K915" i="1" s="1"/>
  <c r="J408" i="1"/>
  <c r="K408" i="1" s="1"/>
  <c r="J583" i="1"/>
  <c r="K583" i="1" s="1"/>
  <c r="J998" i="1"/>
  <c r="K998" i="1" s="1"/>
  <c r="J918" i="1"/>
  <c r="K918" i="1" s="1"/>
  <c r="J854" i="1"/>
  <c r="K854" i="1" s="1"/>
  <c r="J932" i="1"/>
  <c r="K932" i="1" s="1"/>
  <c r="J868" i="1"/>
  <c r="K868" i="1" s="1"/>
  <c r="J692" i="1"/>
  <c r="K692" i="1" s="1"/>
  <c r="J596" i="1"/>
  <c r="K596" i="1" s="1"/>
  <c r="J947" i="1"/>
  <c r="K947" i="1" s="1"/>
  <c r="J851" i="1"/>
  <c r="K851" i="1" s="1"/>
  <c r="J808" i="1"/>
  <c r="K808" i="1" s="1"/>
  <c r="J664" i="1"/>
  <c r="K664" i="1" s="1"/>
  <c r="J488" i="1"/>
  <c r="K488" i="1" s="1"/>
  <c r="J312" i="1"/>
  <c r="K312" i="1" s="1"/>
  <c r="J40" i="1"/>
  <c r="K40" i="1" s="1"/>
  <c r="J999" i="1"/>
  <c r="K999" i="1" s="1"/>
  <c r="J903" i="1"/>
  <c r="K903" i="1" s="1"/>
  <c r="J743" i="1"/>
  <c r="K743" i="1" s="1"/>
  <c r="J989" i="1"/>
  <c r="K989" i="1" s="1"/>
  <c r="J973" i="1"/>
  <c r="K973" i="1" s="1"/>
  <c r="J957" i="1"/>
  <c r="K957" i="1" s="1"/>
  <c r="J941" i="1"/>
  <c r="K941" i="1" s="1"/>
  <c r="J925" i="1"/>
  <c r="K925" i="1" s="1"/>
  <c r="J909" i="1"/>
  <c r="K909" i="1" s="1"/>
  <c r="J893" i="1"/>
  <c r="K893" i="1" s="1"/>
  <c r="J792" i="1"/>
  <c r="K792" i="1" s="1"/>
  <c r="J680" i="1"/>
  <c r="K680" i="1" s="1"/>
  <c r="J536" i="1"/>
  <c r="K536" i="1" s="1"/>
  <c r="J328" i="1"/>
  <c r="K328" i="1" s="1"/>
  <c r="J56" i="1"/>
  <c r="K56" i="1" s="1"/>
  <c r="J988" i="1"/>
  <c r="K988" i="1" s="1"/>
  <c r="J892" i="1"/>
  <c r="K892" i="1" s="1"/>
  <c r="J876" i="1"/>
  <c r="K876" i="1" s="1"/>
  <c r="J828" i="1"/>
  <c r="K828" i="1" s="1"/>
  <c r="J796" i="1"/>
  <c r="K796" i="1" s="1"/>
  <c r="J780" i="1"/>
  <c r="K780" i="1" s="1"/>
  <c r="J764" i="1"/>
  <c r="K764" i="1" s="1"/>
  <c r="J748" i="1"/>
  <c r="K748" i="1" s="1"/>
  <c r="J732" i="1"/>
  <c r="K732" i="1" s="1"/>
  <c r="J716" i="1"/>
  <c r="K716" i="1" s="1"/>
  <c r="J700" i="1"/>
  <c r="K700" i="1" s="1"/>
  <c r="J728" i="1"/>
  <c r="K728" i="1" s="1"/>
  <c r="J472" i="1"/>
  <c r="K472" i="1" s="1"/>
  <c r="J248" i="1"/>
  <c r="K248" i="1" s="1"/>
  <c r="J72" i="1"/>
  <c r="K72" i="1" s="1"/>
  <c r="J972" i="1"/>
  <c r="K972" i="1" s="1"/>
  <c r="J940" i="1"/>
  <c r="K940" i="1" s="1"/>
  <c r="J924" i="1"/>
  <c r="K924" i="1" s="1"/>
  <c r="J860" i="1"/>
  <c r="K860" i="1" s="1"/>
  <c r="J812" i="1"/>
  <c r="K812" i="1" s="1"/>
  <c r="J971" i="1"/>
  <c r="K971" i="1" s="1"/>
  <c r="J955" i="1"/>
  <c r="K955" i="1" s="1"/>
  <c r="J907" i="1"/>
  <c r="K907" i="1" s="1"/>
  <c r="J875" i="1"/>
  <c r="K875" i="1" s="1"/>
  <c r="J843" i="1"/>
  <c r="K843" i="1" s="1"/>
  <c r="J795" i="1"/>
  <c r="K795" i="1" s="1"/>
  <c r="J491" i="1"/>
  <c r="K491" i="1" s="1"/>
  <c r="J776" i="1"/>
  <c r="K776" i="1" s="1"/>
  <c r="J600" i="1"/>
  <c r="K600" i="1" s="1"/>
  <c r="J424" i="1"/>
  <c r="K424" i="1" s="1"/>
  <c r="J216" i="1"/>
  <c r="K216" i="1" s="1"/>
  <c r="J88" i="1"/>
  <c r="K88" i="1" s="1"/>
  <c r="J956" i="1"/>
  <c r="K956" i="1" s="1"/>
  <c r="J908" i="1"/>
  <c r="K908" i="1" s="1"/>
  <c r="J844" i="1"/>
  <c r="K844" i="1" s="1"/>
  <c r="J987" i="1"/>
  <c r="K987" i="1" s="1"/>
  <c r="J939" i="1"/>
  <c r="K939" i="1" s="1"/>
  <c r="J923" i="1"/>
  <c r="K923" i="1" s="1"/>
  <c r="J891" i="1"/>
  <c r="K891" i="1" s="1"/>
  <c r="J859" i="1"/>
  <c r="K859" i="1" s="1"/>
  <c r="J827" i="1"/>
  <c r="K827" i="1" s="1"/>
  <c r="J811" i="1"/>
  <c r="K811" i="1" s="1"/>
  <c r="J779" i="1"/>
  <c r="K779" i="1" s="1"/>
  <c r="J763" i="1"/>
  <c r="K763" i="1" s="1"/>
  <c r="J747" i="1"/>
  <c r="K747" i="1" s="1"/>
  <c r="J731" i="1"/>
  <c r="K731" i="1" s="1"/>
  <c r="J873" i="1"/>
  <c r="K873" i="1" s="1"/>
  <c r="J857" i="1"/>
  <c r="K857" i="1" s="1"/>
  <c r="J841" i="1"/>
  <c r="K841" i="1" s="1"/>
  <c r="J825" i="1"/>
  <c r="K825" i="1" s="1"/>
  <c r="J809" i="1"/>
  <c r="K809" i="1" s="1"/>
  <c r="J793" i="1"/>
  <c r="K793" i="1" s="1"/>
  <c r="J777" i="1"/>
  <c r="K777" i="1" s="1"/>
  <c r="J761" i="1"/>
  <c r="K761" i="1" s="1"/>
  <c r="J745" i="1"/>
  <c r="K745" i="1" s="1"/>
  <c r="J729" i="1"/>
  <c r="K729" i="1" s="1"/>
  <c r="J713" i="1"/>
  <c r="K713" i="1" s="1"/>
  <c r="J697" i="1"/>
  <c r="K697" i="1" s="1"/>
  <c r="J681" i="1"/>
  <c r="K681" i="1" s="1"/>
  <c r="J665" i="1"/>
  <c r="K665" i="1" s="1"/>
  <c r="J649" i="1"/>
  <c r="K649" i="1" s="1"/>
  <c r="J633" i="1"/>
  <c r="K633" i="1" s="1"/>
  <c r="J617" i="1"/>
  <c r="K617" i="1" s="1"/>
  <c r="J601" i="1"/>
  <c r="K601" i="1" s="1"/>
  <c r="J585" i="1"/>
  <c r="K585" i="1" s="1"/>
  <c r="J569" i="1"/>
  <c r="K569" i="1" s="1"/>
  <c r="J553" i="1"/>
  <c r="K553" i="1" s="1"/>
  <c r="J537" i="1"/>
  <c r="K537" i="1" s="1"/>
  <c r="J521" i="1"/>
  <c r="K521" i="1" s="1"/>
  <c r="J505" i="1"/>
  <c r="K505" i="1" s="1"/>
  <c r="J489" i="1"/>
  <c r="K489" i="1" s="1"/>
  <c r="J473" i="1"/>
  <c r="K473" i="1" s="1"/>
  <c r="J457" i="1"/>
  <c r="K457" i="1" s="1"/>
  <c r="J441" i="1"/>
  <c r="K441" i="1" s="1"/>
  <c r="J425" i="1"/>
  <c r="K425" i="1" s="1"/>
  <c r="J409" i="1"/>
  <c r="K409" i="1" s="1"/>
  <c r="J393" i="1"/>
  <c r="K393" i="1" s="1"/>
  <c r="J377" i="1"/>
  <c r="K377" i="1" s="1"/>
  <c r="J361" i="1"/>
  <c r="K361" i="1" s="1"/>
  <c r="J345" i="1"/>
  <c r="K345" i="1" s="1"/>
  <c r="J329" i="1"/>
  <c r="K329" i="1" s="1"/>
  <c r="J313" i="1"/>
  <c r="K313" i="1" s="1"/>
  <c r="J297" i="1"/>
  <c r="K297" i="1" s="1"/>
  <c r="J281" i="1"/>
  <c r="K281" i="1" s="1"/>
  <c r="J265" i="1"/>
  <c r="K265" i="1" s="1"/>
  <c r="J249" i="1"/>
  <c r="K249" i="1" s="1"/>
  <c r="J233" i="1"/>
  <c r="K233" i="1" s="1"/>
  <c r="J217" i="1"/>
  <c r="K217" i="1" s="1"/>
  <c r="J201" i="1"/>
  <c r="K201" i="1" s="1"/>
  <c r="J185" i="1"/>
  <c r="K185" i="1" s="1"/>
  <c r="J169" i="1"/>
  <c r="K169" i="1" s="1"/>
  <c r="J153" i="1"/>
  <c r="K153" i="1" s="1"/>
  <c r="J137" i="1"/>
  <c r="K137" i="1" s="1"/>
  <c r="J121" i="1"/>
  <c r="K121" i="1" s="1"/>
  <c r="J105" i="1"/>
  <c r="K105" i="1" s="1"/>
  <c r="J89" i="1"/>
  <c r="K89" i="1" s="1"/>
  <c r="J73" i="1"/>
  <c r="K73" i="1" s="1"/>
  <c r="J57" i="1"/>
  <c r="K57" i="1" s="1"/>
  <c r="J41" i="1"/>
  <c r="K41" i="1" s="1"/>
  <c r="J25" i="1"/>
  <c r="K25" i="1" s="1"/>
  <c r="J9" i="1"/>
  <c r="K9" i="1" s="1"/>
  <c r="J359" i="1"/>
  <c r="K359" i="1" s="1"/>
  <c r="J343" i="1"/>
  <c r="K343" i="1" s="1"/>
  <c r="J327" i="1"/>
  <c r="K327" i="1" s="1"/>
  <c r="J311" i="1"/>
  <c r="K311" i="1" s="1"/>
  <c r="J295" i="1"/>
  <c r="K295" i="1" s="1"/>
  <c r="J279" i="1"/>
  <c r="K279" i="1" s="1"/>
  <c r="J263" i="1"/>
  <c r="K263" i="1" s="1"/>
  <c r="J247" i="1"/>
  <c r="K247" i="1" s="1"/>
  <c r="J231" i="1"/>
  <c r="K231" i="1" s="1"/>
  <c r="J215" i="1"/>
  <c r="K215" i="1" s="1"/>
  <c r="J199" i="1"/>
  <c r="K199" i="1" s="1"/>
  <c r="J183" i="1"/>
  <c r="K183" i="1" s="1"/>
  <c r="J167" i="1"/>
  <c r="K167" i="1" s="1"/>
  <c r="J151" i="1"/>
  <c r="K151" i="1" s="1"/>
  <c r="J135" i="1"/>
  <c r="K135" i="1" s="1"/>
  <c r="J119" i="1"/>
  <c r="K119" i="1" s="1"/>
  <c r="J103" i="1"/>
  <c r="K103" i="1" s="1"/>
  <c r="J87" i="1"/>
  <c r="K87" i="1" s="1"/>
  <c r="J71" i="1"/>
  <c r="K71" i="1" s="1"/>
  <c r="J55" i="1"/>
  <c r="K55" i="1" s="1"/>
  <c r="J39" i="1"/>
  <c r="K39" i="1" s="1"/>
  <c r="J23" i="1"/>
  <c r="K23" i="1" s="1"/>
  <c r="J7" i="1"/>
  <c r="K7" i="1" s="1"/>
  <c r="J806" i="1"/>
  <c r="K806" i="1" s="1"/>
  <c r="J774" i="1"/>
  <c r="K774" i="1" s="1"/>
  <c r="J758" i="1"/>
  <c r="K758" i="1" s="1"/>
  <c r="J710" i="1"/>
  <c r="K710" i="1" s="1"/>
  <c r="J678" i="1"/>
  <c r="K678" i="1" s="1"/>
  <c r="J646" i="1"/>
  <c r="K646" i="1" s="1"/>
  <c r="J614" i="1"/>
  <c r="K614" i="1" s="1"/>
  <c r="J582" i="1"/>
  <c r="K582" i="1" s="1"/>
  <c r="J550" i="1"/>
  <c r="K550" i="1" s="1"/>
  <c r="J518" i="1"/>
  <c r="K518" i="1" s="1"/>
  <c r="J502" i="1"/>
  <c r="K502" i="1" s="1"/>
  <c r="J470" i="1"/>
  <c r="K470" i="1" s="1"/>
  <c r="J454" i="1"/>
  <c r="K454" i="1" s="1"/>
  <c r="J438" i="1"/>
  <c r="K438" i="1" s="1"/>
  <c r="J422" i="1"/>
  <c r="K422" i="1" s="1"/>
  <c r="J406" i="1"/>
  <c r="K406" i="1" s="1"/>
  <c r="J390" i="1"/>
  <c r="K390" i="1" s="1"/>
  <c r="J374" i="1"/>
  <c r="K374" i="1" s="1"/>
  <c r="J358" i="1"/>
  <c r="K358" i="1" s="1"/>
  <c r="J342" i="1"/>
  <c r="K342" i="1" s="1"/>
  <c r="J326" i="1"/>
  <c r="K326" i="1" s="1"/>
  <c r="J310" i="1"/>
  <c r="K310" i="1" s="1"/>
  <c r="J294" i="1"/>
  <c r="K294" i="1" s="1"/>
  <c r="J278" i="1"/>
  <c r="K278" i="1" s="1"/>
  <c r="J262" i="1"/>
  <c r="K262" i="1" s="1"/>
  <c r="J246" i="1"/>
  <c r="K246" i="1" s="1"/>
  <c r="J230" i="1"/>
  <c r="K230" i="1" s="1"/>
  <c r="J214" i="1"/>
  <c r="K214" i="1" s="1"/>
  <c r="J198" i="1"/>
  <c r="K198" i="1" s="1"/>
  <c r="J182" i="1"/>
  <c r="K182" i="1" s="1"/>
  <c r="J166" i="1"/>
  <c r="K166" i="1" s="1"/>
  <c r="J150" i="1"/>
  <c r="K150" i="1" s="1"/>
  <c r="J134" i="1"/>
  <c r="K134" i="1" s="1"/>
  <c r="J118" i="1"/>
  <c r="K118" i="1" s="1"/>
  <c r="J102" i="1"/>
  <c r="K102" i="1" s="1"/>
  <c r="J86" i="1"/>
  <c r="K86" i="1" s="1"/>
  <c r="J70" i="1"/>
  <c r="K70" i="1" s="1"/>
  <c r="J54" i="1"/>
  <c r="K54" i="1" s="1"/>
  <c r="J790" i="1"/>
  <c r="K790" i="1" s="1"/>
  <c r="J742" i="1"/>
  <c r="K742" i="1" s="1"/>
  <c r="J726" i="1"/>
  <c r="K726" i="1" s="1"/>
  <c r="J694" i="1"/>
  <c r="K694" i="1" s="1"/>
  <c r="J662" i="1"/>
  <c r="K662" i="1" s="1"/>
  <c r="J630" i="1"/>
  <c r="K630" i="1" s="1"/>
  <c r="J598" i="1"/>
  <c r="K598" i="1" s="1"/>
  <c r="J566" i="1"/>
  <c r="K566" i="1" s="1"/>
  <c r="J534" i="1"/>
  <c r="K534" i="1" s="1"/>
  <c r="J486" i="1"/>
  <c r="K486" i="1" s="1"/>
  <c r="J997" i="1"/>
  <c r="K997" i="1" s="1"/>
  <c r="J981" i="1"/>
  <c r="K981" i="1" s="1"/>
  <c r="J965" i="1"/>
  <c r="K965" i="1" s="1"/>
  <c r="J949" i="1"/>
  <c r="K949" i="1" s="1"/>
  <c r="J933" i="1"/>
  <c r="K933" i="1" s="1"/>
  <c r="J917" i="1"/>
  <c r="K917" i="1" s="1"/>
  <c r="J901" i="1"/>
  <c r="K901" i="1" s="1"/>
  <c r="J885" i="1"/>
  <c r="K885" i="1" s="1"/>
  <c r="J869" i="1"/>
  <c r="K869" i="1" s="1"/>
  <c r="J853" i="1"/>
  <c r="K853" i="1" s="1"/>
  <c r="J837" i="1"/>
  <c r="K837" i="1" s="1"/>
  <c r="J821" i="1"/>
  <c r="K821" i="1" s="1"/>
  <c r="J805" i="1"/>
  <c r="K805" i="1" s="1"/>
  <c r="J789" i="1"/>
  <c r="K789" i="1" s="1"/>
  <c r="J773" i="1"/>
  <c r="K773" i="1" s="1"/>
  <c r="J757" i="1"/>
  <c r="K757" i="1" s="1"/>
  <c r="J741" i="1"/>
  <c r="K741" i="1" s="1"/>
  <c r="J725" i="1"/>
  <c r="K725" i="1" s="1"/>
  <c r="J709" i="1"/>
  <c r="K709" i="1" s="1"/>
  <c r="J693" i="1"/>
  <c r="K693" i="1" s="1"/>
  <c r="J677" i="1"/>
  <c r="K677" i="1" s="1"/>
  <c r="J661" i="1"/>
  <c r="K661" i="1" s="1"/>
  <c r="J645" i="1"/>
  <c r="K645" i="1" s="1"/>
  <c r="J629" i="1"/>
  <c r="K629" i="1" s="1"/>
  <c r="J613" i="1"/>
  <c r="K613" i="1" s="1"/>
  <c r="J597" i="1"/>
  <c r="K597" i="1" s="1"/>
  <c r="J581" i="1"/>
  <c r="K581" i="1" s="1"/>
  <c r="J565" i="1"/>
  <c r="K565" i="1" s="1"/>
  <c r="J549" i="1"/>
  <c r="K549" i="1" s="1"/>
  <c r="J533" i="1"/>
  <c r="K533" i="1" s="1"/>
  <c r="J517" i="1"/>
  <c r="K517" i="1" s="1"/>
  <c r="J501" i="1"/>
  <c r="K501" i="1" s="1"/>
  <c r="J485" i="1"/>
  <c r="K485" i="1" s="1"/>
  <c r="J469" i="1"/>
  <c r="K469" i="1" s="1"/>
  <c r="J453" i="1"/>
  <c r="K453" i="1" s="1"/>
  <c r="J437" i="1"/>
  <c r="K437" i="1" s="1"/>
  <c r="J421" i="1"/>
  <c r="K421" i="1" s="1"/>
  <c r="J405" i="1"/>
  <c r="K405" i="1" s="1"/>
  <c r="J389" i="1"/>
  <c r="K389" i="1" s="1"/>
  <c r="J373" i="1"/>
  <c r="K373" i="1" s="1"/>
  <c r="J357" i="1"/>
  <c r="K357" i="1" s="1"/>
  <c r="J341" i="1"/>
  <c r="K341" i="1" s="1"/>
  <c r="J325" i="1"/>
  <c r="K325" i="1" s="1"/>
  <c r="J309" i="1"/>
  <c r="K309" i="1" s="1"/>
  <c r="J293" i="1"/>
  <c r="K293" i="1" s="1"/>
  <c r="J277" i="1"/>
  <c r="K277" i="1" s="1"/>
  <c r="J261" i="1"/>
  <c r="K261" i="1" s="1"/>
  <c r="J245" i="1"/>
  <c r="K245" i="1" s="1"/>
  <c r="J229" i="1"/>
  <c r="K229" i="1" s="1"/>
  <c r="J213" i="1"/>
  <c r="K213" i="1" s="1"/>
  <c r="J197" i="1"/>
  <c r="K197" i="1" s="1"/>
  <c r="J181" i="1"/>
  <c r="K181" i="1" s="1"/>
  <c r="J165" i="1"/>
  <c r="K165" i="1" s="1"/>
  <c r="J149" i="1"/>
  <c r="K149" i="1" s="1"/>
  <c r="J133" i="1"/>
  <c r="K133" i="1" s="1"/>
  <c r="J117" i="1"/>
  <c r="K117" i="1" s="1"/>
  <c r="J101" i="1"/>
  <c r="K101" i="1" s="1"/>
  <c r="J85" i="1"/>
  <c r="K85" i="1" s="1"/>
  <c r="J69" i="1"/>
  <c r="K69" i="1" s="1"/>
  <c r="J53" i="1"/>
  <c r="K53" i="1" s="1"/>
  <c r="J37" i="1"/>
  <c r="K37" i="1" s="1"/>
  <c r="J21" i="1"/>
  <c r="K21" i="1" s="1"/>
  <c r="J5" i="1"/>
  <c r="K5" i="1" s="1"/>
  <c r="J532" i="1"/>
  <c r="K532" i="1" s="1"/>
  <c r="J516" i="1"/>
  <c r="K516" i="1" s="1"/>
  <c r="J500" i="1"/>
  <c r="K500" i="1" s="1"/>
  <c r="J484" i="1"/>
  <c r="K484" i="1" s="1"/>
  <c r="J468" i="1"/>
  <c r="K468" i="1" s="1"/>
  <c r="J452" i="1"/>
  <c r="K452" i="1" s="1"/>
  <c r="J436" i="1"/>
  <c r="K436" i="1" s="1"/>
  <c r="J420" i="1"/>
  <c r="K420" i="1" s="1"/>
  <c r="J404" i="1"/>
  <c r="K404" i="1" s="1"/>
  <c r="J388" i="1"/>
  <c r="K388" i="1" s="1"/>
  <c r="J372" i="1"/>
  <c r="K372" i="1" s="1"/>
  <c r="J356" i="1"/>
  <c r="K356" i="1" s="1"/>
  <c r="J340" i="1"/>
  <c r="K340" i="1" s="1"/>
  <c r="J324" i="1"/>
  <c r="K324" i="1" s="1"/>
  <c r="J308" i="1"/>
  <c r="K308" i="1" s="1"/>
  <c r="J292" i="1"/>
  <c r="K292" i="1" s="1"/>
  <c r="J276" i="1"/>
  <c r="K276" i="1" s="1"/>
  <c r="J260" i="1"/>
  <c r="K260" i="1" s="1"/>
  <c r="J244" i="1"/>
  <c r="K244" i="1" s="1"/>
  <c r="J228" i="1"/>
  <c r="K228" i="1" s="1"/>
  <c r="J212" i="1"/>
  <c r="K212" i="1" s="1"/>
  <c r="J196" i="1"/>
  <c r="K196" i="1" s="1"/>
  <c r="J180" i="1"/>
  <c r="K180" i="1" s="1"/>
  <c r="J164" i="1"/>
  <c r="K164" i="1" s="1"/>
  <c r="J148" i="1"/>
  <c r="K148" i="1" s="1"/>
  <c r="J132" i="1"/>
  <c r="K132" i="1" s="1"/>
  <c r="J116" i="1"/>
  <c r="K116" i="1" s="1"/>
  <c r="J100" i="1"/>
  <c r="K100" i="1" s="1"/>
  <c r="J84" i="1"/>
  <c r="K84" i="1" s="1"/>
  <c r="J68" i="1"/>
  <c r="K68" i="1" s="1"/>
  <c r="J52" i="1"/>
  <c r="K52" i="1" s="1"/>
  <c r="J36" i="1"/>
  <c r="K36" i="1" s="1"/>
  <c r="J20" i="1"/>
  <c r="K20" i="1" s="1"/>
  <c r="J3" i="1"/>
  <c r="K3" i="1" s="1"/>
  <c r="J483" i="1"/>
  <c r="K483" i="1" s="1"/>
  <c r="J467" i="1"/>
  <c r="K467" i="1" s="1"/>
  <c r="J451" i="1"/>
  <c r="K451" i="1" s="1"/>
  <c r="J435" i="1"/>
  <c r="K435" i="1" s="1"/>
  <c r="J419" i="1"/>
  <c r="K419" i="1" s="1"/>
  <c r="J403" i="1"/>
  <c r="K403" i="1" s="1"/>
  <c r="J387" i="1"/>
  <c r="K387" i="1" s="1"/>
  <c r="J371" i="1"/>
  <c r="K371" i="1" s="1"/>
  <c r="J355" i="1"/>
  <c r="K355" i="1" s="1"/>
  <c r="J339" i="1"/>
  <c r="K339" i="1" s="1"/>
  <c r="J323" i="1"/>
  <c r="K323" i="1" s="1"/>
  <c r="J307" i="1"/>
  <c r="K307" i="1" s="1"/>
  <c r="J291" i="1"/>
  <c r="K291" i="1" s="1"/>
  <c r="J275" i="1"/>
  <c r="K275" i="1" s="1"/>
  <c r="J259" i="1"/>
  <c r="K259" i="1" s="1"/>
  <c r="J243" i="1"/>
  <c r="K243" i="1" s="1"/>
  <c r="J227" i="1"/>
  <c r="K227" i="1" s="1"/>
  <c r="J211" i="1"/>
  <c r="K211" i="1" s="1"/>
  <c r="J195" i="1"/>
  <c r="K195" i="1" s="1"/>
  <c r="J179" i="1"/>
  <c r="K179" i="1" s="1"/>
  <c r="J163" i="1"/>
  <c r="K163" i="1" s="1"/>
  <c r="J147" i="1"/>
  <c r="K147" i="1" s="1"/>
  <c r="J131" i="1"/>
  <c r="K131" i="1" s="1"/>
  <c r="J115" i="1"/>
  <c r="K115" i="1" s="1"/>
  <c r="J99" i="1"/>
  <c r="K99" i="1" s="1"/>
  <c r="J83" i="1"/>
  <c r="K83" i="1" s="1"/>
  <c r="J67" i="1"/>
  <c r="K67" i="1" s="1"/>
  <c r="J51" i="1"/>
  <c r="K51" i="1" s="1"/>
  <c r="J35" i="1"/>
  <c r="K35" i="1" s="1"/>
  <c r="J19" i="1"/>
  <c r="K19" i="1" s="1"/>
  <c r="J4" i="1"/>
  <c r="K4" i="1" s="1"/>
  <c r="J803" i="1"/>
  <c r="K803" i="1" s="1"/>
  <c r="J739" i="1"/>
  <c r="K739" i="1" s="1"/>
  <c r="J707" i="1"/>
  <c r="K707" i="1" s="1"/>
  <c r="J643" i="1"/>
  <c r="K643" i="1" s="1"/>
  <c r="J579" i="1"/>
  <c r="K579" i="1" s="1"/>
  <c r="J563" i="1"/>
  <c r="K563" i="1" s="1"/>
  <c r="J547" i="1"/>
  <c r="K547" i="1" s="1"/>
  <c r="J531" i="1"/>
  <c r="K531" i="1" s="1"/>
  <c r="J515" i="1"/>
  <c r="K515" i="1" s="1"/>
  <c r="J994" i="1"/>
  <c r="K994" i="1" s="1"/>
  <c r="J978" i="1"/>
  <c r="K978" i="1" s="1"/>
  <c r="J962" i="1"/>
  <c r="K962" i="1" s="1"/>
  <c r="J946" i="1"/>
  <c r="K946" i="1" s="1"/>
  <c r="J930" i="1"/>
  <c r="K930" i="1" s="1"/>
  <c r="J914" i="1"/>
  <c r="K914" i="1" s="1"/>
  <c r="J898" i="1"/>
  <c r="K898" i="1" s="1"/>
  <c r="J882" i="1"/>
  <c r="K882" i="1" s="1"/>
  <c r="J866" i="1"/>
  <c r="K866" i="1" s="1"/>
  <c r="J850" i="1"/>
  <c r="K850" i="1" s="1"/>
  <c r="J834" i="1"/>
  <c r="K834" i="1" s="1"/>
  <c r="J818" i="1"/>
  <c r="K818" i="1" s="1"/>
  <c r="J802" i="1"/>
  <c r="K802" i="1" s="1"/>
  <c r="J786" i="1"/>
  <c r="K786" i="1" s="1"/>
  <c r="J770" i="1"/>
  <c r="K770" i="1" s="1"/>
  <c r="J754" i="1"/>
  <c r="K754" i="1" s="1"/>
  <c r="J738" i="1"/>
  <c r="K738" i="1" s="1"/>
  <c r="J722" i="1"/>
  <c r="K722" i="1" s="1"/>
  <c r="J706" i="1"/>
  <c r="K706" i="1" s="1"/>
  <c r="J690" i="1"/>
  <c r="K690" i="1" s="1"/>
  <c r="J674" i="1"/>
  <c r="K674" i="1" s="1"/>
  <c r="J658" i="1"/>
  <c r="K658" i="1" s="1"/>
  <c r="J642" i="1"/>
  <c r="K642" i="1" s="1"/>
  <c r="J626" i="1"/>
  <c r="K626" i="1" s="1"/>
  <c r="J610" i="1"/>
  <c r="K610" i="1" s="1"/>
  <c r="J594" i="1"/>
  <c r="K594" i="1" s="1"/>
  <c r="J578" i="1"/>
  <c r="K578" i="1" s="1"/>
  <c r="J562" i="1"/>
  <c r="K562" i="1" s="1"/>
  <c r="J546" i="1"/>
  <c r="K546" i="1" s="1"/>
  <c r="J530" i="1"/>
  <c r="K530" i="1" s="1"/>
  <c r="J514" i="1"/>
  <c r="K514" i="1" s="1"/>
  <c r="J498" i="1"/>
  <c r="K498" i="1" s="1"/>
  <c r="J482" i="1"/>
  <c r="K482" i="1" s="1"/>
  <c r="J466" i="1"/>
  <c r="K466" i="1" s="1"/>
  <c r="J450" i="1"/>
  <c r="K450" i="1" s="1"/>
  <c r="J434" i="1"/>
  <c r="K434" i="1" s="1"/>
  <c r="J418" i="1"/>
  <c r="K418" i="1" s="1"/>
  <c r="J402" i="1"/>
  <c r="K402" i="1" s="1"/>
  <c r="J386" i="1"/>
  <c r="K386" i="1" s="1"/>
  <c r="J370" i="1"/>
  <c r="K370" i="1" s="1"/>
  <c r="J354" i="1"/>
  <c r="K354" i="1" s="1"/>
  <c r="J338" i="1"/>
  <c r="K338" i="1" s="1"/>
  <c r="J322" i="1"/>
  <c r="K322" i="1" s="1"/>
  <c r="J306" i="1"/>
  <c r="K306" i="1" s="1"/>
  <c r="J290" i="1"/>
  <c r="K290" i="1" s="1"/>
  <c r="J274" i="1"/>
  <c r="K274" i="1" s="1"/>
  <c r="J258" i="1"/>
  <c r="K258" i="1" s="1"/>
  <c r="J242" i="1"/>
  <c r="K242" i="1" s="1"/>
  <c r="J226" i="1"/>
  <c r="K226" i="1" s="1"/>
  <c r="J210" i="1"/>
  <c r="K210" i="1" s="1"/>
  <c r="J194" i="1"/>
  <c r="K194" i="1" s="1"/>
  <c r="J178" i="1"/>
  <c r="K178" i="1" s="1"/>
  <c r="J162" i="1"/>
  <c r="K162" i="1" s="1"/>
  <c r="J146" i="1"/>
  <c r="K146" i="1" s="1"/>
  <c r="J130" i="1"/>
  <c r="K130" i="1" s="1"/>
  <c r="J114" i="1"/>
  <c r="K114" i="1" s="1"/>
  <c r="J98" i="1"/>
  <c r="K98" i="1" s="1"/>
  <c r="J82" i="1"/>
  <c r="K82" i="1" s="1"/>
  <c r="J66" i="1"/>
  <c r="K66" i="1" s="1"/>
  <c r="J50" i="1"/>
  <c r="K50" i="1" s="1"/>
  <c r="J34" i="1"/>
  <c r="K34" i="1" s="1"/>
  <c r="J18" i="1"/>
  <c r="K18" i="1" s="1"/>
  <c r="J2" i="1"/>
  <c r="K2" i="1" s="1"/>
  <c r="J819" i="1"/>
  <c r="K819" i="1" s="1"/>
  <c r="J723" i="1"/>
  <c r="K723" i="1" s="1"/>
  <c r="J627" i="1"/>
  <c r="K627" i="1" s="1"/>
  <c r="J881" i="1"/>
  <c r="K881" i="1" s="1"/>
  <c r="J817" i="1"/>
  <c r="K817" i="1" s="1"/>
  <c r="J753" i="1"/>
  <c r="K753" i="1" s="1"/>
  <c r="J689" i="1"/>
  <c r="K689" i="1" s="1"/>
  <c r="J625" i="1"/>
  <c r="K625" i="1" s="1"/>
  <c r="J561" i="1"/>
  <c r="K561" i="1" s="1"/>
  <c r="J513" i="1"/>
  <c r="K513" i="1" s="1"/>
  <c r="J433" i="1"/>
  <c r="K433" i="1" s="1"/>
  <c r="J385" i="1"/>
  <c r="K385" i="1" s="1"/>
  <c r="J321" i="1"/>
  <c r="K321" i="1" s="1"/>
  <c r="J257" i="1"/>
  <c r="K257" i="1" s="1"/>
  <c r="J209" i="1"/>
  <c r="K209" i="1" s="1"/>
  <c r="J161" i="1"/>
  <c r="K161" i="1" s="1"/>
  <c r="J113" i="1"/>
  <c r="K113" i="1" s="1"/>
  <c r="J65" i="1"/>
  <c r="K65" i="1" s="1"/>
  <c r="J33" i="1"/>
  <c r="K33" i="1" s="1"/>
  <c r="J835" i="1"/>
  <c r="K835" i="1" s="1"/>
  <c r="J771" i="1"/>
  <c r="K771" i="1" s="1"/>
  <c r="J691" i="1"/>
  <c r="K691" i="1" s="1"/>
  <c r="J611" i="1"/>
  <c r="K611" i="1" s="1"/>
  <c r="J961" i="1"/>
  <c r="K961" i="1" s="1"/>
  <c r="J929" i="1"/>
  <c r="K929" i="1" s="1"/>
  <c r="J865" i="1"/>
  <c r="K865" i="1" s="1"/>
  <c r="J801" i="1"/>
  <c r="K801" i="1" s="1"/>
  <c r="J737" i="1"/>
  <c r="K737" i="1" s="1"/>
  <c r="J673" i="1"/>
  <c r="K673" i="1" s="1"/>
  <c r="J609" i="1"/>
  <c r="K609" i="1" s="1"/>
  <c r="J529" i="1"/>
  <c r="K529" i="1" s="1"/>
  <c r="J465" i="1"/>
  <c r="K465" i="1" s="1"/>
  <c r="J417" i="1"/>
  <c r="K417" i="1" s="1"/>
  <c r="J369" i="1"/>
  <c r="K369" i="1" s="1"/>
  <c r="J305" i="1"/>
  <c r="K305" i="1" s="1"/>
  <c r="J273" i="1"/>
  <c r="K273" i="1" s="1"/>
  <c r="J241" i="1"/>
  <c r="K241" i="1" s="1"/>
  <c r="J177" i="1"/>
  <c r="K177" i="1" s="1"/>
  <c r="J129" i="1"/>
  <c r="K129" i="1" s="1"/>
  <c r="J97" i="1"/>
  <c r="K97" i="1" s="1"/>
  <c r="J49" i="1"/>
  <c r="K49" i="1" s="1"/>
  <c r="J17" i="1"/>
  <c r="K17" i="1" s="1"/>
  <c r="J992" i="1"/>
  <c r="K992" i="1" s="1"/>
  <c r="J976" i="1"/>
  <c r="K976" i="1" s="1"/>
  <c r="J960" i="1"/>
  <c r="K960" i="1" s="1"/>
  <c r="J944" i="1"/>
  <c r="K944" i="1" s="1"/>
  <c r="J928" i="1"/>
  <c r="K928" i="1" s="1"/>
  <c r="J912" i="1"/>
  <c r="K912" i="1" s="1"/>
  <c r="J896" i="1"/>
  <c r="K896" i="1" s="1"/>
  <c r="J880" i="1"/>
  <c r="K880" i="1" s="1"/>
  <c r="J864" i="1"/>
  <c r="K864" i="1" s="1"/>
  <c r="J848" i="1"/>
  <c r="K848" i="1" s="1"/>
  <c r="J832" i="1"/>
  <c r="K832" i="1" s="1"/>
  <c r="J816" i="1"/>
  <c r="K816" i="1" s="1"/>
  <c r="J800" i="1"/>
  <c r="K800" i="1" s="1"/>
  <c r="J784" i="1"/>
  <c r="K784" i="1" s="1"/>
  <c r="J768" i="1"/>
  <c r="K768" i="1" s="1"/>
  <c r="J752" i="1"/>
  <c r="K752" i="1" s="1"/>
  <c r="J736" i="1"/>
  <c r="K736" i="1" s="1"/>
  <c r="J720" i="1"/>
  <c r="K720" i="1" s="1"/>
  <c r="J704" i="1"/>
  <c r="K704" i="1" s="1"/>
  <c r="J688" i="1"/>
  <c r="K688" i="1" s="1"/>
  <c r="J672" i="1"/>
  <c r="K672" i="1" s="1"/>
  <c r="J656" i="1"/>
  <c r="K656" i="1" s="1"/>
  <c r="J640" i="1"/>
  <c r="K640" i="1" s="1"/>
  <c r="J624" i="1"/>
  <c r="K624" i="1" s="1"/>
  <c r="J608" i="1"/>
  <c r="K608" i="1" s="1"/>
  <c r="J592" i="1"/>
  <c r="K592" i="1" s="1"/>
  <c r="J576" i="1"/>
  <c r="K576" i="1" s="1"/>
  <c r="J560" i="1"/>
  <c r="K560" i="1" s="1"/>
  <c r="J544" i="1"/>
  <c r="K544" i="1" s="1"/>
  <c r="J528" i="1"/>
  <c r="K528" i="1" s="1"/>
  <c r="J512" i="1"/>
  <c r="K512" i="1" s="1"/>
  <c r="J496" i="1"/>
  <c r="K496" i="1" s="1"/>
  <c r="J480" i="1"/>
  <c r="K480" i="1" s="1"/>
  <c r="J464" i="1"/>
  <c r="K464" i="1" s="1"/>
  <c r="J448" i="1"/>
  <c r="K448" i="1" s="1"/>
  <c r="J432" i="1"/>
  <c r="K432" i="1" s="1"/>
  <c r="J416" i="1"/>
  <c r="K416" i="1" s="1"/>
  <c r="J400" i="1"/>
  <c r="K400" i="1" s="1"/>
  <c r="J384" i="1"/>
  <c r="K384" i="1" s="1"/>
  <c r="J368" i="1"/>
  <c r="K368" i="1" s="1"/>
  <c r="J352" i="1"/>
  <c r="K352" i="1" s="1"/>
  <c r="J336" i="1"/>
  <c r="K336" i="1" s="1"/>
  <c r="J320" i="1"/>
  <c r="K320" i="1" s="1"/>
  <c r="J304" i="1"/>
  <c r="K304" i="1" s="1"/>
  <c r="J288" i="1"/>
  <c r="K288" i="1" s="1"/>
  <c r="J272" i="1"/>
  <c r="K272" i="1" s="1"/>
  <c r="J256" i="1"/>
  <c r="K256" i="1" s="1"/>
  <c r="J240" i="1"/>
  <c r="K240" i="1" s="1"/>
  <c r="J224" i="1"/>
  <c r="K224" i="1" s="1"/>
  <c r="J208" i="1"/>
  <c r="K208" i="1" s="1"/>
  <c r="J192" i="1"/>
  <c r="K192" i="1" s="1"/>
  <c r="J176" i="1"/>
  <c r="K176" i="1" s="1"/>
  <c r="J160" i="1"/>
  <c r="K160" i="1" s="1"/>
  <c r="J144" i="1"/>
  <c r="K144" i="1" s="1"/>
  <c r="J128" i="1"/>
  <c r="K128" i="1" s="1"/>
  <c r="J112" i="1"/>
  <c r="K112" i="1" s="1"/>
  <c r="J96" i="1"/>
  <c r="K96" i="1" s="1"/>
  <c r="J80" i="1"/>
  <c r="K80" i="1" s="1"/>
  <c r="J64" i="1"/>
  <c r="K64" i="1" s="1"/>
  <c r="J48" i="1"/>
  <c r="K48" i="1" s="1"/>
  <c r="J32" i="1"/>
  <c r="K32" i="1" s="1"/>
  <c r="J16" i="1"/>
  <c r="K16" i="1" s="1"/>
  <c r="J867" i="1"/>
  <c r="K867" i="1" s="1"/>
  <c r="J755" i="1"/>
  <c r="K755" i="1" s="1"/>
  <c r="J675" i="1"/>
  <c r="K675" i="1" s="1"/>
  <c r="J595" i="1"/>
  <c r="K595" i="1" s="1"/>
  <c r="J945" i="1"/>
  <c r="K945" i="1" s="1"/>
  <c r="J897" i="1"/>
  <c r="K897" i="1" s="1"/>
  <c r="J833" i="1"/>
  <c r="K833" i="1" s="1"/>
  <c r="J785" i="1"/>
  <c r="K785" i="1" s="1"/>
  <c r="J721" i="1"/>
  <c r="K721" i="1" s="1"/>
  <c r="J657" i="1"/>
  <c r="K657" i="1" s="1"/>
  <c r="J593" i="1"/>
  <c r="K593" i="1" s="1"/>
  <c r="J545" i="1"/>
  <c r="K545" i="1" s="1"/>
  <c r="J481" i="1"/>
  <c r="K481" i="1" s="1"/>
  <c r="J401" i="1"/>
  <c r="K401" i="1" s="1"/>
  <c r="J353" i="1"/>
  <c r="K353" i="1" s="1"/>
  <c r="J337" i="1"/>
  <c r="K337" i="1" s="1"/>
  <c r="J289" i="1"/>
  <c r="K289" i="1" s="1"/>
  <c r="J225" i="1"/>
  <c r="K225" i="1" s="1"/>
  <c r="J193" i="1"/>
  <c r="K193" i="1" s="1"/>
  <c r="J145" i="1"/>
  <c r="K145" i="1" s="1"/>
  <c r="J81" i="1"/>
  <c r="K81" i="1" s="1"/>
  <c r="J991" i="1"/>
  <c r="K991" i="1" s="1"/>
  <c r="J975" i="1"/>
  <c r="K975" i="1" s="1"/>
  <c r="J959" i="1"/>
  <c r="K959" i="1" s="1"/>
  <c r="J943" i="1"/>
  <c r="K943" i="1" s="1"/>
  <c r="J927" i="1"/>
  <c r="K927" i="1" s="1"/>
  <c r="J911" i="1"/>
  <c r="K911" i="1" s="1"/>
  <c r="J895" i="1"/>
  <c r="K895" i="1" s="1"/>
  <c r="J879" i="1"/>
  <c r="K879" i="1" s="1"/>
  <c r="J863" i="1"/>
  <c r="K863" i="1" s="1"/>
  <c r="J847" i="1"/>
  <c r="K847" i="1" s="1"/>
  <c r="J831" i="1"/>
  <c r="K831" i="1" s="1"/>
  <c r="J815" i="1"/>
  <c r="K815" i="1" s="1"/>
  <c r="J799" i="1"/>
  <c r="K799" i="1" s="1"/>
  <c r="J783" i="1"/>
  <c r="K783" i="1" s="1"/>
  <c r="J767" i="1"/>
  <c r="K767" i="1" s="1"/>
  <c r="J751" i="1"/>
  <c r="K751" i="1" s="1"/>
  <c r="J735" i="1"/>
  <c r="K735" i="1" s="1"/>
  <c r="J719" i="1"/>
  <c r="K719" i="1" s="1"/>
  <c r="J703" i="1"/>
  <c r="K703" i="1" s="1"/>
  <c r="J687" i="1"/>
  <c r="K687" i="1" s="1"/>
  <c r="J671" i="1"/>
  <c r="K671" i="1" s="1"/>
  <c r="J655" i="1"/>
  <c r="K655" i="1" s="1"/>
  <c r="J639" i="1"/>
  <c r="K639" i="1" s="1"/>
  <c r="J623" i="1"/>
  <c r="K623" i="1" s="1"/>
  <c r="J607" i="1"/>
  <c r="K607" i="1" s="1"/>
  <c r="J591" i="1"/>
  <c r="K591" i="1" s="1"/>
  <c r="J575" i="1"/>
  <c r="K575" i="1" s="1"/>
  <c r="J559" i="1"/>
  <c r="K559" i="1" s="1"/>
  <c r="J543" i="1"/>
  <c r="K543" i="1" s="1"/>
  <c r="J527" i="1"/>
  <c r="K527" i="1" s="1"/>
  <c r="J511" i="1"/>
  <c r="K511" i="1" s="1"/>
  <c r="J495" i="1"/>
  <c r="K495" i="1" s="1"/>
  <c r="J479" i="1"/>
  <c r="K479" i="1" s="1"/>
  <c r="J463" i="1"/>
  <c r="K463" i="1" s="1"/>
  <c r="J447" i="1"/>
  <c r="K447" i="1" s="1"/>
  <c r="J431" i="1"/>
  <c r="K431" i="1" s="1"/>
  <c r="J415" i="1"/>
  <c r="K415" i="1" s="1"/>
  <c r="J399" i="1"/>
  <c r="K399" i="1" s="1"/>
  <c r="J383" i="1"/>
  <c r="K383" i="1" s="1"/>
  <c r="J367" i="1"/>
  <c r="K367" i="1" s="1"/>
  <c r="J351" i="1"/>
  <c r="K351" i="1" s="1"/>
  <c r="J335" i="1"/>
  <c r="K335" i="1" s="1"/>
  <c r="J319" i="1"/>
  <c r="K319" i="1" s="1"/>
  <c r="J303" i="1"/>
  <c r="K303" i="1" s="1"/>
  <c r="J287" i="1"/>
  <c r="K287" i="1" s="1"/>
  <c r="J271" i="1"/>
  <c r="K271" i="1" s="1"/>
  <c r="J255" i="1"/>
  <c r="K255" i="1" s="1"/>
  <c r="J239" i="1"/>
  <c r="K239" i="1" s="1"/>
  <c r="J223" i="1"/>
  <c r="K223" i="1" s="1"/>
  <c r="J207" i="1"/>
  <c r="K207" i="1" s="1"/>
  <c r="J191" i="1"/>
  <c r="K191" i="1" s="1"/>
  <c r="J175" i="1"/>
  <c r="K175" i="1" s="1"/>
  <c r="J159" i="1"/>
  <c r="K159" i="1" s="1"/>
  <c r="J143" i="1"/>
  <c r="K143" i="1" s="1"/>
  <c r="J127" i="1"/>
  <c r="K127" i="1" s="1"/>
  <c r="J111" i="1"/>
  <c r="K111" i="1" s="1"/>
  <c r="J95" i="1"/>
  <c r="K95" i="1" s="1"/>
  <c r="J79" i="1"/>
  <c r="K79" i="1" s="1"/>
  <c r="J63" i="1"/>
  <c r="K63" i="1" s="1"/>
  <c r="J47" i="1"/>
  <c r="K47" i="1" s="1"/>
  <c r="J31" i="1"/>
  <c r="K31" i="1" s="1"/>
  <c r="J15" i="1"/>
  <c r="K15" i="1" s="1"/>
  <c r="J787" i="1"/>
  <c r="K787" i="1" s="1"/>
  <c r="J659" i="1"/>
  <c r="K659" i="1" s="1"/>
  <c r="J993" i="1"/>
  <c r="K993" i="1" s="1"/>
  <c r="J977" i="1"/>
  <c r="K977" i="1" s="1"/>
  <c r="J913" i="1"/>
  <c r="K913" i="1" s="1"/>
  <c r="J849" i="1"/>
  <c r="K849" i="1" s="1"/>
  <c r="J769" i="1"/>
  <c r="K769" i="1" s="1"/>
  <c r="J705" i="1"/>
  <c r="K705" i="1" s="1"/>
  <c r="J641" i="1"/>
  <c r="K641" i="1" s="1"/>
  <c r="J577" i="1"/>
  <c r="K577" i="1" s="1"/>
  <c r="J497" i="1"/>
  <c r="K497" i="1" s="1"/>
  <c r="J449" i="1"/>
  <c r="K449" i="1" s="1"/>
  <c r="J990" i="1"/>
  <c r="K990" i="1" s="1"/>
  <c r="J974" i="1"/>
  <c r="K974" i="1" s="1"/>
  <c r="J958" i="1"/>
  <c r="K958" i="1" s="1"/>
  <c r="J942" i="1"/>
  <c r="K942" i="1" s="1"/>
  <c r="J926" i="1"/>
  <c r="K926" i="1" s="1"/>
  <c r="J910" i="1"/>
  <c r="K910" i="1" s="1"/>
  <c r="J894" i="1"/>
  <c r="K894" i="1" s="1"/>
  <c r="J878" i="1"/>
  <c r="K878" i="1" s="1"/>
  <c r="J862" i="1"/>
  <c r="K862" i="1" s="1"/>
  <c r="J846" i="1"/>
  <c r="K846" i="1" s="1"/>
  <c r="J830" i="1"/>
  <c r="K830" i="1" s="1"/>
  <c r="J814" i="1"/>
  <c r="K814" i="1" s="1"/>
  <c r="J798" i="1"/>
  <c r="K798" i="1" s="1"/>
  <c r="J782" i="1"/>
  <c r="K782" i="1" s="1"/>
  <c r="J766" i="1"/>
  <c r="K766" i="1" s="1"/>
  <c r="J750" i="1"/>
  <c r="K750" i="1" s="1"/>
  <c r="J734" i="1"/>
  <c r="K734" i="1" s="1"/>
  <c r="J718" i="1"/>
  <c r="K718" i="1" s="1"/>
  <c r="J702" i="1"/>
  <c r="K702" i="1" s="1"/>
  <c r="J686" i="1"/>
  <c r="K686" i="1" s="1"/>
  <c r="J670" i="1"/>
  <c r="K670" i="1" s="1"/>
  <c r="J654" i="1"/>
  <c r="K654" i="1" s="1"/>
  <c r="J638" i="1"/>
  <c r="K638" i="1" s="1"/>
  <c r="J622" i="1"/>
  <c r="K622" i="1" s="1"/>
  <c r="J606" i="1"/>
  <c r="K606" i="1" s="1"/>
  <c r="J590" i="1"/>
  <c r="K590" i="1" s="1"/>
  <c r="J574" i="1"/>
  <c r="K574" i="1" s="1"/>
  <c r="J558" i="1"/>
  <c r="K558" i="1" s="1"/>
  <c r="J542" i="1"/>
  <c r="K542" i="1" s="1"/>
  <c r="J526" i="1"/>
  <c r="K526" i="1" s="1"/>
  <c r="J510" i="1"/>
  <c r="K510" i="1" s="1"/>
  <c r="J494" i="1"/>
  <c r="K494" i="1" s="1"/>
  <c r="J478" i="1"/>
  <c r="K478" i="1" s="1"/>
  <c r="J462" i="1"/>
  <c r="K462" i="1" s="1"/>
  <c r="J446" i="1"/>
  <c r="K446" i="1" s="1"/>
  <c r="J430" i="1"/>
  <c r="K430" i="1" s="1"/>
  <c r="J414" i="1"/>
  <c r="K414" i="1" s="1"/>
  <c r="J398" i="1"/>
  <c r="K398" i="1" s="1"/>
  <c r="J382" i="1"/>
  <c r="K382" i="1" s="1"/>
  <c r="J366" i="1"/>
  <c r="K366" i="1" s="1"/>
  <c r="J350" i="1"/>
  <c r="K350" i="1" s="1"/>
  <c r="J334" i="1"/>
  <c r="K334" i="1" s="1"/>
  <c r="J318" i="1"/>
  <c r="K318" i="1" s="1"/>
  <c r="J302" i="1"/>
  <c r="K302" i="1" s="1"/>
  <c r="J286" i="1"/>
  <c r="K286" i="1" s="1"/>
  <c r="J270" i="1"/>
  <c r="K270" i="1" s="1"/>
  <c r="J254" i="1"/>
  <c r="K254" i="1" s="1"/>
  <c r="J238" i="1"/>
  <c r="K238" i="1" s="1"/>
  <c r="J222" i="1"/>
  <c r="K222" i="1" s="1"/>
  <c r="J206" i="1"/>
  <c r="K206" i="1" s="1"/>
  <c r="J190" i="1"/>
  <c r="K190" i="1" s="1"/>
  <c r="J174" i="1"/>
  <c r="K174" i="1" s="1"/>
  <c r="J158" i="1"/>
  <c r="K158" i="1" s="1"/>
  <c r="J142" i="1"/>
  <c r="K142" i="1" s="1"/>
  <c r="J126" i="1"/>
  <c r="K126" i="1" s="1"/>
  <c r="J110" i="1"/>
  <c r="K110" i="1" s="1"/>
  <c r="J94" i="1"/>
  <c r="K94" i="1" s="1"/>
  <c r="J78" i="1"/>
  <c r="K78" i="1" s="1"/>
  <c r="J877" i="1"/>
  <c r="K877" i="1" s="1"/>
  <c r="J861" i="1"/>
  <c r="K861" i="1" s="1"/>
  <c r="J845" i="1"/>
  <c r="K845" i="1" s="1"/>
  <c r="J829" i="1"/>
  <c r="K829" i="1" s="1"/>
  <c r="J813" i="1"/>
  <c r="K813" i="1" s="1"/>
  <c r="J797" i="1"/>
  <c r="K797" i="1" s="1"/>
  <c r="J781" i="1"/>
  <c r="K781" i="1" s="1"/>
  <c r="J765" i="1"/>
  <c r="K765" i="1" s="1"/>
  <c r="J749" i="1"/>
  <c r="K749" i="1" s="1"/>
  <c r="J733" i="1"/>
  <c r="K733" i="1" s="1"/>
  <c r="J717" i="1"/>
  <c r="K717" i="1" s="1"/>
  <c r="J701" i="1"/>
  <c r="K701" i="1" s="1"/>
  <c r="J685" i="1"/>
  <c r="K685" i="1" s="1"/>
  <c r="J669" i="1"/>
  <c r="K669" i="1" s="1"/>
  <c r="J653" i="1"/>
  <c r="K653" i="1" s="1"/>
  <c r="J637" i="1"/>
  <c r="K637" i="1" s="1"/>
  <c r="J621" i="1"/>
  <c r="K621" i="1" s="1"/>
  <c r="J605" i="1"/>
  <c r="K605" i="1" s="1"/>
  <c r="J589" i="1"/>
  <c r="K589" i="1" s="1"/>
  <c r="J573" i="1"/>
  <c r="K573" i="1" s="1"/>
  <c r="J557" i="1"/>
  <c r="K557" i="1" s="1"/>
  <c r="J541" i="1"/>
  <c r="K541" i="1" s="1"/>
  <c r="J525" i="1"/>
  <c r="K525" i="1" s="1"/>
  <c r="J509" i="1"/>
  <c r="K509" i="1" s="1"/>
  <c r="J493" i="1"/>
  <c r="K493" i="1" s="1"/>
  <c r="J477" i="1"/>
  <c r="K477" i="1" s="1"/>
  <c r="J461" i="1"/>
  <c r="K461" i="1" s="1"/>
  <c r="J445" i="1"/>
  <c r="K445" i="1" s="1"/>
  <c r="J429" i="1"/>
  <c r="K429" i="1" s="1"/>
  <c r="J413" i="1"/>
  <c r="K413" i="1" s="1"/>
  <c r="J397" i="1"/>
  <c r="K397" i="1" s="1"/>
  <c r="J381" i="1"/>
  <c r="K381" i="1" s="1"/>
  <c r="J365" i="1"/>
  <c r="K365" i="1" s="1"/>
  <c r="J349" i="1"/>
  <c r="K349" i="1" s="1"/>
  <c r="J333" i="1"/>
  <c r="K333" i="1" s="1"/>
  <c r="J317" i="1"/>
  <c r="K317" i="1" s="1"/>
  <c r="J301" i="1"/>
  <c r="K301" i="1" s="1"/>
  <c r="J285" i="1"/>
  <c r="K285" i="1" s="1"/>
  <c r="J269" i="1"/>
  <c r="K269" i="1" s="1"/>
  <c r="J253" i="1"/>
  <c r="K253" i="1" s="1"/>
  <c r="J237" i="1"/>
  <c r="K237" i="1" s="1"/>
  <c r="J221" i="1"/>
  <c r="K221" i="1" s="1"/>
  <c r="J205" i="1"/>
  <c r="K205" i="1" s="1"/>
  <c r="J189" i="1"/>
  <c r="K189" i="1" s="1"/>
  <c r="J173" i="1"/>
  <c r="K173" i="1" s="1"/>
  <c r="J157" i="1"/>
  <c r="K157" i="1" s="1"/>
  <c r="J141" i="1"/>
  <c r="K141" i="1" s="1"/>
  <c r="J125" i="1"/>
  <c r="K125" i="1" s="1"/>
  <c r="J109" i="1"/>
  <c r="K109" i="1" s="1"/>
  <c r="J93" i="1"/>
  <c r="K93" i="1" s="1"/>
  <c r="J684" i="1"/>
  <c r="K684" i="1" s="1"/>
  <c r="J668" i="1"/>
  <c r="K668" i="1" s="1"/>
  <c r="J652" i="1"/>
  <c r="K652" i="1" s="1"/>
  <c r="J636" i="1"/>
  <c r="K636" i="1" s="1"/>
  <c r="J620" i="1"/>
  <c r="K620" i="1" s="1"/>
  <c r="J604" i="1"/>
  <c r="K604" i="1" s="1"/>
  <c r="J588" i="1"/>
  <c r="K588" i="1" s="1"/>
  <c r="J572" i="1"/>
  <c r="K572" i="1" s="1"/>
  <c r="J556" i="1"/>
  <c r="K556" i="1" s="1"/>
  <c r="J540" i="1"/>
  <c r="K540" i="1" s="1"/>
  <c r="J524" i="1"/>
  <c r="K524" i="1" s="1"/>
  <c r="J508" i="1"/>
  <c r="K508" i="1" s="1"/>
  <c r="J492" i="1"/>
  <c r="K492" i="1" s="1"/>
  <c r="J476" i="1"/>
  <c r="K476" i="1" s="1"/>
  <c r="J460" i="1"/>
  <c r="K460" i="1" s="1"/>
  <c r="J444" i="1"/>
  <c r="K444" i="1" s="1"/>
  <c r="J428" i="1"/>
  <c r="K428" i="1" s="1"/>
  <c r="J412" i="1"/>
  <c r="K412" i="1" s="1"/>
  <c r="J396" i="1"/>
  <c r="K396" i="1" s="1"/>
  <c r="J380" i="1"/>
  <c r="K380" i="1" s="1"/>
  <c r="J364" i="1"/>
  <c r="K364" i="1" s="1"/>
  <c r="J348" i="1"/>
  <c r="K348" i="1" s="1"/>
  <c r="J332" i="1"/>
  <c r="K332" i="1" s="1"/>
  <c r="J316" i="1"/>
  <c r="K316" i="1" s="1"/>
  <c r="J300" i="1"/>
  <c r="K300" i="1" s="1"/>
  <c r="J284" i="1"/>
  <c r="K284" i="1" s="1"/>
  <c r="J268" i="1"/>
  <c r="K268" i="1" s="1"/>
  <c r="J252" i="1"/>
  <c r="K252" i="1" s="1"/>
  <c r="J236" i="1"/>
  <c r="K236" i="1" s="1"/>
  <c r="J220" i="1"/>
  <c r="K220" i="1" s="1"/>
  <c r="J204" i="1"/>
  <c r="K204" i="1" s="1"/>
  <c r="J188" i="1"/>
  <c r="K188" i="1" s="1"/>
  <c r="J172" i="1"/>
  <c r="K172" i="1" s="1"/>
  <c r="J156" i="1"/>
  <c r="K156" i="1" s="1"/>
  <c r="J140" i="1"/>
  <c r="K140" i="1" s="1"/>
  <c r="J124" i="1"/>
  <c r="K124" i="1" s="1"/>
  <c r="J108" i="1"/>
  <c r="K108" i="1" s="1"/>
  <c r="J92" i="1"/>
  <c r="K92" i="1" s="1"/>
  <c r="J76" i="1"/>
  <c r="K76" i="1" s="1"/>
  <c r="J60" i="1"/>
  <c r="K60" i="1" s="1"/>
  <c r="J44" i="1"/>
  <c r="K44" i="1" s="1"/>
  <c r="J28" i="1"/>
  <c r="K28" i="1" s="1"/>
  <c r="J475" i="1"/>
  <c r="K475" i="1" s="1"/>
  <c r="J459" i="1"/>
  <c r="K459" i="1" s="1"/>
  <c r="J443" i="1"/>
  <c r="K443" i="1" s="1"/>
  <c r="J427" i="1"/>
  <c r="K427" i="1" s="1"/>
  <c r="J411" i="1"/>
  <c r="K411" i="1" s="1"/>
  <c r="J395" i="1"/>
  <c r="K395" i="1" s="1"/>
  <c r="J379" i="1"/>
  <c r="K379" i="1" s="1"/>
  <c r="J363" i="1"/>
  <c r="K363" i="1" s="1"/>
  <c r="J347" i="1"/>
  <c r="K347" i="1" s="1"/>
  <c r="J331" i="1"/>
  <c r="K331" i="1" s="1"/>
  <c r="J315" i="1"/>
  <c r="K315" i="1" s="1"/>
  <c r="J299" i="1"/>
  <c r="K299" i="1" s="1"/>
  <c r="J283" i="1"/>
  <c r="K283" i="1" s="1"/>
  <c r="J267" i="1"/>
  <c r="K267" i="1" s="1"/>
  <c r="J251" i="1"/>
  <c r="K251" i="1" s="1"/>
  <c r="J235" i="1"/>
  <c r="K235" i="1" s="1"/>
  <c r="J219" i="1"/>
  <c r="K219" i="1" s="1"/>
  <c r="J203" i="1"/>
  <c r="K203" i="1" s="1"/>
  <c r="J187" i="1"/>
  <c r="K187" i="1" s="1"/>
  <c r="J171" i="1"/>
  <c r="K171" i="1" s="1"/>
  <c r="J155" i="1"/>
  <c r="K155" i="1" s="1"/>
  <c r="J139" i="1"/>
  <c r="K139" i="1" s="1"/>
  <c r="J123" i="1"/>
  <c r="K123" i="1" s="1"/>
  <c r="J107" i="1"/>
  <c r="K107" i="1" s="1"/>
  <c r="J91" i="1"/>
  <c r="K91" i="1" s="1"/>
  <c r="J75" i="1"/>
  <c r="K75" i="1" s="1"/>
  <c r="J59" i="1"/>
  <c r="K59" i="1" s="1"/>
  <c r="J43" i="1"/>
  <c r="K43" i="1" s="1"/>
  <c r="J27" i="1"/>
  <c r="K27" i="1" s="1"/>
  <c r="J11" i="1"/>
  <c r="K11" i="1" s="1"/>
  <c r="J715" i="1"/>
  <c r="K715" i="1" s="1"/>
  <c r="J699" i="1"/>
  <c r="K699" i="1" s="1"/>
  <c r="J683" i="1"/>
  <c r="K683" i="1" s="1"/>
  <c r="J667" i="1"/>
  <c r="K667" i="1" s="1"/>
  <c r="J651" i="1"/>
  <c r="K651" i="1" s="1"/>
  <c r="J635" i="1"/>
  <c r="K635" i="1" s="1"/>
  <c r="J619" i="1"/>
  <c r="K619" i="1" s="1"/>
  <c r="J603" i="1"/>
  <c r="K603" i="1" s="1"/>
  <c r="J587" i="1"/>
  <c r="K587" i="1" s="1"/>
  <c r="J571" i="1"/>
  <c r="K571" i="1" s="1"/>
  <c r="J555" i="1"/>
  <c r="K555" i="1" s="1"/>
  <c r="J539" i="1"/>
  <c r="K539" i="1" s="1"/>
  <c r="J523" i="1"/>
  <c r="K523" i="1" s="1"/>
  <c r="J507" i="1"/>
  <c r="K507" i="1" s="1"/>
  <c r="J986" i="1"/>
  <c r="K986" i="1" s="1"/>
  <c r="J970" i="1"/>
  <c r="K970" i="1" s="1"/>
  <c r="J954" i="1"/>
  <c r="K954" i="1" s="1"/>
  <c r="J938" i="1"/>
  <c r="K938" i="1" s="1"/>
  <c r="J922" i="1"/>
  <c r="K922" i="1" s="1"/>
  <c r="J906" i="1"/>
  <c r="K906" i="1" s="1"/>
  <c r="J890" i="1"/>
  <c r="K890" i="1" s="1"/>
  <c r="J874" i="1"/>
  <c r="K874" i="1" s="1"/>
  <c r="J858" i="1"/>
  <c r="K858" i="1" s="1"/>
  <c r="J842" i="1"/>
  <c r="K842" i="1" s="1"/>
  <c r="J826" i="1"/>
  <c r="K826" i="1" s="1"/>
  <c r="J810" i="1"/>
  <c r="K810" i="1" s="1"/>
  <c r="J794" i="1"/>
  <c r="K794" i="1" s="1"/>
  <c r="J778" i="1"/>
  <c r="K778" i="1" s="1"/>
  <c r="J762" i="1"/>
  <c r="K762" i="1" s="1"/>
  <c r="J746" i="1"/>
  <c r="K746" i="1" s="1"/>
  <c r="J730" i="1"/>
  <c r="K730" i="1" s="1"/>
  <c r="J714" i="1"/>
  <c r="K714" i="1" s="1"/>
  <c r="J698" i="1"/>
  <c r="K698" i="1" s="1"/>
  <c r="J682" i="1"/>
  <c r="K682" i="1" s="1"/>
  <c r="J666" i="1"/>
  <c r="K666" i="1" s="1"/>
  <c r="J650" i="1"/>
  <c r="K650" i="1" s="1"/>
  <c r="J634" i="1"/>
  <c r="K634" i="1" s="1"/>
  <c r="J618" i="1"/>
  <c r="K618" i="1" s="1"/>
  <c r="J602" i="1"/>
  <c r="K602" i="1" s="1"/>
  <c r="J586" i="1"/>
  <c r="K586" i="1" s="1"/>
  <c r="J570" i="1"/>
  <c r="K570" i="1" s="1"/>
  <c r="J554" i="1"/>
  <c r="K554" i="1" s="1"/>
  <c r="J538" i="1"/>
  <c r="K538" i="1" s="1"/>
  <c r="J522" i="1"/>
  <c r="K522" i="1" s="1"/>
  <c r="J506" i="1"/>
  <c r="K506" i="1" s="1"/>
  <c r="J490" i="1"/>
  <c r="K490" i="1" s="1"/>
  <c r="J474" i="1"/>
  <c r="K474" i="1" s="1"/>
  <c r="J458" i="1"/>
  <c r="K458" i="1" s="1"/>
  <c r="J442" i="1"/>
  <c r="K442" i="1" s="1"/>
  <c r="J426" i="1"/>
  <c r="K426" i="1" s="1"/>
  <c r="J410" i="1"/>
  <c r="K410" i="1" s="1"/>
  <c r="J394" i="1"/>
  <c r="K394" i="1" s="1"/>
  <c r="J378" i="1"/>
  <c r="K378" i="1" s="1"/>
  <c r="J362" i="1"/>
  <c r="K362" i="1" s="1"/>
  <c r="J346" i="1"/>
  <c r="K346" i="1" s="1"/>
  <c r="J330" i="1"/>
  <c r="K330" i="1" s="1"/>
  <c r="J314" i="1"/>
  <c r="K314" i="1" s="1"/>
  <c r="J298" i="1"/>
  <c r="K298" i="1" s="1"/>
  <c r="J282" i="1"/>
  <c r="K282" i="1" s="1"/>
  <c r="J266" i="1"/>
  <c r="K266" i="1" s="1"/>
  <c r="J250" i="1"/>
  <c r="K250" i="1" s="1"/>
  <c r="J234" i="1"/>
  <c r="K234" i="1" s="1"/>
  <c r="J218" i="1"/>
  <c r="K218" i="1" s="1"/>
  <c r="J202" i="1"/>
  <c r="K202" i="1" s="1"/>
  <c r="J186" i="1"/>
  <c r="K186" i="1" s="1"/>
  <c r="J170" i="1"/>
  <c r="K170" i="1" s="1"/>
  <c r="J154" i="1"/>
  <c r="K154" i="1" s="1"/>
  <c r="J138" i="1"/>
  <c r="K138" i="1" s="1"/>
  <c r="J122" i="1"/>
  <c r="K122" i="1" s="1"/>
  <c r="J106" i="1"/>
  <c r="K106" i="1" s="1"/>
  <c r="J90" i="1"/>
  <c r="K90" i="1" s="1"/>
  <c r="J74" i="1"/>
  <c r="K74" i="1" s="1"/>
  <c r="J58" i="1"/>
  <c r="K58" i="1" s="1"/>
  <c r="J42" i="1"/>
  <c r="K42" i="1" s="1"/>
  <c r="J26" i="1"/>
  <c r="K26" i="1" s="1"/>
  <c r="J10" i="1"/>
  <c r="K10" i="1" s="1"/>
  <c r="J62" i="1"/>
  <c r="K62" i="1" s="1"/>
  <c r="J46" i="1"/>
  <c r="K46" i="1" s="1"/>
  <c r="J30" i="1"/>
  <c r="K30" i="1" s="1"/>
  <c r="J14" i="1"/>
  <c r="K14" i="1" s="1"/>
  <c r="J77" i="1"/>
  <c r="K77" i="1" s="1"/>
  <c r="J61" i="1"/>
  <c r="K61" i="1" s="1"/>
  <c r="J45" i="1"/>
  <c r="K45" i="1" s="1"/>
  <c r="J29" i="1"/>
  <c r="K29" i="1" s="1"/>
  <c r="J13" i="1"/>
  <c r="K13" i="1" s="1"/>
  <c r="J12" i="1"/>
  <c r="K12" i="1" s="1"/>
  <c r="J38" i="1"/>
  <c r="K38" i="1" s="1"/>
  <c r="J22" i="1"/>
  <c r="K22" i="1" s="1"/>
  <c r="J6" i="1"/>
  <c r="K6" i="1" s="1"/>
</calcChain>
</file>

<file path=xl/sharedStrings.xml><?xml version="1.0" encoding="utf-8"?>
<sst xmlns="http://schemas.openxmlformats.org/spreadsheetml/2006/main" count="4570" uniqueCount="1329">
  <si>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</si>
  <si>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</si>
  <si>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</si>
  <si>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</si>
  <si>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</si>
  <si>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</si>
  <si>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</si>
  <si>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</si>
  <si>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</si>
  <si>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</si>
  <si>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</si>
  <si>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</si>
  <si>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</si>
  <si>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</si>
  <si>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</si>
  <si>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</si>
  <si>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</si>
  <si>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</si>
  <si>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</si>
  <si>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</si>
  <si>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</si>
  <si>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</si>
  <si>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</si>
  <si>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</si>
  <si>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</si>
  <si>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</si>
  <si>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</si>
  <si>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</si>
  <si>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</si>
  <si>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</si>
  <si>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</si>
  <si>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</si>
  <si>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</si>
  <si>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</si>
  <si>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</si>
  <si>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</si>
  <si>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</si>
  <si>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</si>
  <si>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</si>
  <si>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</si>
  <si>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</si>
  <si>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</si>
  <si>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</si>
  <si>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</si>
  <si>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</si>
  <si>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</si>
  <si>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</si>
  <si>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</si>
  <si>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</si>
  <si>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</si>
  <si>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</si>
  <si>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</si>
  <si>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</si>
  <si>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</si>
  <si>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</si>
  <si>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</si>
  <si>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</si>
  <si>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</si>
  <si>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</si>
  <si>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</si>
  <si>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</si>
  <si>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</si>
  <si>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</si>
  <si>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</si>
  <si>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</si>
  <si>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</si>
  <si>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</si>
  <si>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</si>
  <si>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</si>
  <si>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</si>
  <si>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</si>
  <si>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</si>
  <si>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</si>
  <si>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</si>
  <si>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</si>
  <si>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</si>
  <si>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</si>
  <si>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</si>
  <si>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</si>
  <si>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</si>
  <si>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</si>
  <si>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</si>
  <si>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</si>
  <si>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</si>
  <si>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</si>
  <si>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</si>
  <si>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</si>
  <si>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</si>
  <si>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</si>
  <si>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</si>
  <si>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</si>
  <si>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</si>
  <si>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</si>
  <si>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</si>
  <si>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</si>
  <si>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</si>
  <si>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</si>
  <si>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</si>
  <si>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</si>
  <si>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</si>
  <si>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</si>
  <si>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</si>
  <si>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</si>
  <si>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</si>
  <si>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</si>
  <si>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</si>
  <si>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</si>
  <si>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</si>
  <si>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</si>
  <si>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</si>
  <si>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</si>
  <si>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</si>
  <si>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</si>
  <si>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</si>
  <si>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</si>
  <si>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</si>
  <si>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</si>
  <si>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</si>
  <si>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</si>
  <si>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</si>
  <si>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</si>
  <si>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</si>
  <si>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</si>
  <si>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</si>
  <si>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</si>
  <si>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</si>
  <si>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</si>
  <si>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</si>
  <si>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</si>
  <si>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</si>
  <si>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</si>
  <si>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</si>
  <si>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</si>
  <si>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</si>
  <si>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</si>
  <si>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</si>
  <si>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Россия</t>
  </si>
  <si>
    <t>Код</t>
  </si>
  <si>
    <t>Страна</t>
  </si>
  <si>
    <t>нет</t>
  </si>
  <si>
    <t>Лидия Андреевна Крюкова</t>
  </si>
  <si>
    <t>+7 630-011-3417</t>
  </si>
  <si>
    <t>да</t>
  </si>
  <si>
    <t>Евдокия Эдуардовна Соловьева</t>
  </si>
  <si>
    <t>+380 293-011-4872</t>
  </si>
  <si>
    <t>Амвросий Игнатович Юдин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</si>
  <si>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</si>
  <si>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</si>
  <si>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</si>
  <si>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</si>
  <si>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</si>
  <si>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</si>
  <si>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</si>
  <si>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Лариса Романовна Крюкова</t>
  </si>
  <si>
    <t>+7 997-792-5112</t>
  </si>
  <si>
    <t>Афанасьев Кузьма Исидорович</t>
  </si>
  <si>
    <t>+992 145-030-4792</t>
  </si>
  <si>
    <t>Якуб Филатович Молчанов</t>
  </si>
  <si>
    <t>+375 877-885-2826</t>
  </si>
  <si>
    <t>Амос Гордеевич Евсеев</t>
  </si>
  <si>
    <t>+998 662-959-7800</t>
  </si>
  <si>
    <t>Людмила Борисовна Иванова</t>
  </si>
  <si>
    <t>+992 614-322-7161</t>
  </si>
  <si>
    <t>Светлана Семеновна Николаева</t>
  </si>
  <si>
    <t>+998 782-759-1031</t>
  </si>
  <si>
    <t>Константинов Милован Денисович</t>
  </si>
  <si>
    <t>+375 933-846-4405</t>
  </si>
  <si>
    <t>Эмилия Болеславовна Цветкова</t>
  </si>
  <si>
    <t>+380 017-252-3368</t>
  </si>
  <si>
    <t>Ольга Аскольдовна Данилова</t>
  </si>
  <si>
    <t>+375 477-336-9780</t>
  </si>
  <si>
    <t>Любосмысл Тихонович Веселов</t>
  </si>
  <si>
    <t>+992 570-665-8734</t>
  </si>
  <si>
    <t>Емельянов Игорь Андреевич</t>
  </si>
  <si>
    <t>+380 950-384-1472</t>
  </si>
  <si>
    <t>Феликс Ааронович Яковлев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</si>
  <si>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</si>
  <si>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</si>
  <si>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</si>
  <si>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</si>
  <si>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</si>
  <si>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</si>
  <si>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</si>
  <si>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</si>
  <si>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</si>
  <si>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Творимир Артурович Гришин</t>
  </si>
  <si>
    <t>+380 958-231-6305</t>
  </si>
  <si>
    <t>Ипат Дмитриевич Панов</t>
  </si>
  <si>
    <t>+7 571-938-4741</t>
  </si>
  <si>
    <t>Стрелкова Наина Эдуардовна</t>
  </si>
  <si>
    <t>+7 289-019-1718</t>
  </si>
  <si>
    <t>Агата Олеговна Мартынова</t>
  </si>
  <si>
    <t>+7 210-575-0459</t>
  </si>
  <si>
    <t>Алла Рудольфовна Сидорова</t>
  </si>
  <si>
    <t>+998 313-336-2516</t>
  </si>
  <si>
    <t>Никодим Арсенович Потапов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</si>
  <si>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</si>
  <si>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</si>
  <si>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</si>
  <si>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</si>
  <si>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</si>
  <si>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</si>
  <si>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</si>
  <si>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Эммануил Филимонович Захаров</t>
  </si>
  <si>
    <t>+380 004-121-0383</t>
  </si>
  <si>
    <t>Марфа Архиповна Белоусова</t>
  </si>
  <si>
    <t>+7 975-515-1931</t>
  </si>
  <si>
    <t>Александра Геннадиевна Филатова</t>
  </si>
  <si>
    <t>+992 869-966-7816</t>
  </si>
  <si>
    <t>Еремей Бориславович Воронов</t>
  </si>
  <si>
    <t>+375 986-655-6691</t>
  </si>
  <si>
    <t>Кириллова Пелагея Юльевна</t>
  </si>
  <si>
    <t>+380 265-102-2104</t>
  </si>
  <si>
    <t>Галина Семеновна Петухова</t>
  </si>
  <si>
    <t>+7 542-005-0327</t>
  </si>
  <si>
    <t>Любомир Ермолаевич Стрелков</t>
  </si>
  <si>
    <t>+375 722-671-7064</t>
  </si>
  <si>
    <t>г-жа Воробьева Иванна Юрьевна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</si>
  <si>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</si>
  <si>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</si>
  <si>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</si>
  <si>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</si>
  <si>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</si>
  <si>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</si>
  <si>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</si>
  <si>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</si>
  <si>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</si>
  <si>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</si>
  <si>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</si>
  <si>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</si>
  <si>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</si>
  <si>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</si>
  <si>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</si>
  <si>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</si>
  <si>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</si>
  <si>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Харлампий Демьянович Алексеев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</si>
  <si>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</si>
  <si>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</si>
  <si>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</si>
  <si>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</si>
  <si>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</si>
  <si>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</si>
  <si>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</si>
  <si>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</si>
  <si>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</si>
  <si>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</si>
  <si>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</si>
  <si>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Алевтина Алексеевна Исакова</t>
  </si>
  <si>
    <t>+998 692-163-4083</t>
  </si>
  <si>
    <t>Гордей Матвеевич Медведев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</si>
  <si>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</si>
  <si>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</si>
  <si>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</si>
  <si>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</si>
  <si>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</si>
  <si>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Любовь Богдановна Новикова</t>
  </si>
  <si>
    <t>+375 253-379-5656</t>
  </si>
  <si>
    <t>Кононова Элеонора Юрьевна</t>
  </si>
  <si>
    <t>+992 550-001-8470</t>
  </si>
  <si>
    <t>Ирина Макаровна Шарова</t>
  </si>
  <si>
    <t>+375 841-273-5425</t>
  </si>
  <si>
    <t>Нестерова Таисия Яковлевна</t>
  </si>
  <si>
    <t>+7 414-973-8213</t>
  </si>
  <si>
    <t>г-н Зуев Трифон Зиновьевич</t>
  </si>
  <si>
    <t>+992 377-961-6550</t>
  </si>
  <si>
    <t>г-жа Ефимова Анна Филипповна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</si>
  <si>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</si>
  <si>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</si>
  <si>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</si>
  <si>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</si>
  <si>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</si>
  <si>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</si>
  <si>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</si>
  <si>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Эммануил Валерьевич Королев</t>
  </si>
  <si>
    <t>+380 350-189-8989</t>
  </si>
  <si>
    <t>Васильева Анжелика Наумовна</t>
  </si>
  <si>
    <t>+992 654-311-2893</t>
  </si>
  <si>
    <t>Октябрина Павловна Зимина</t>
  </si>
  <si>
    <t>+7 352-652-3977</t>
  </si>
  <si>
    <t>Елизар Харлампьевич Мамонтов</t>
  </si>
  <si>
    <t>+998 714-433-6940</t>
  </si>
  <si>
    <t>Марфа Эдуардовна Макарова</t>
  </si>
  <si>
    <t>+7 354-672-8947</t>
  </si>
  <si>
    <t>г-жа Миронова Клавдия Феликсовна</t>
  </si>
  <si>
    <t>+380 255-745-0289</t>
  </si>
  <si>
    <t>Гостомысл Фомич Одинцов</t>
  </si>
  <si>
    <t>+998 220-798-0143</t>
  </si>
  <si>
    <t>Алевтина Егоровна Кузнецова</t>
  </si>
  <si>
    <t>+7 981-245-0102</t>
  </si>
  <si>
    <t>Фаина Аркадьевна Веселова</t>
  </si>
  <si>
    <t>+7 762-296-2673</t>
  </si>
  <si>
    <t>Елизавета Артемовна Данилова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</si>
  <si>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</si>
  <si>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</si>
  <si>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</si>
  <si>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</si>
  <si>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</si>
  <si>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</si>
  <si>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</si>
  <si>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Екатерина Рудольфовна Кулакова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</si>
  <si>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</si>
  <si>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</si>
  <si>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</si>
  <si>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</si>
  <si>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</si>
  <si>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</si>
  <si>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</si>
  <si>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Виктория Ильинична Соколова</t>
  </si>
  <si>
    <t>+998 436-367-6830</t>
  </si>
  <si>
    <t>Жанна Станиславовна Семенова</t>
  </si>
  <si>
    <t>+992 443-164-9246</t>
  </si>
  <si>
    <t>Горбунова Алевтина Максимовна</t>
  </si>
  <si>
    <t>+998 455-746-0633</t>
  </si>
  <si>
    <t>Максим Анатольевич Семенов</t>
  </si>
  <si>
    <t>+375 165-356-7542</t>
  </si>
  <si>
    <t>Никитина Лора Георгиевна</t>
  </si>
  <si>
    <t>+375 956-020-3484</t>
  </si>
  <si>
    <t>Феврония Юрьевна Шубина</t>
  </si>
  <si>
    <t>+998 301-225-3693</t>
  </si>
  <si>
    <t>Амвросий Артемьевич Гаврилов</t>
  </si>
  <si>
    <t>+7 875-362-2366</t>
  </si>
  <si>
    <t>Щукина Элеонора Робертовна</t>
  </si>
  <si>
    <t>+7 885-064-8776</t>
  </si>
  <si>
    <t>Измаил Глебович Зыков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</si>
  <si>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</si>
  <si>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</si>
  <si>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</si>
  <si>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</si>
  <si>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</si>
  <si>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Вадим Артёмович Анисимов</t>
  </si>
  <si>
    <t>+992 204-182-8433</t>
  </si>
  <si>
    <t>Захар Артемьевич Воробьев</t>
  </si>
  <si>
    <t>+992 852-094-1088</t>
  </si>
  <si>
    <t>Леон Аверьянович Захаров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</si>
  <si>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</si>
  <si>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</si>
  <si>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</si>
  <si>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</si>
  <si>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</si>
  <si>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Марфа Георгиевна Титова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</si>
  <si>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</si>
  <si>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</si>
  <si>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</si>
  <si>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</si>
  <si>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</si>
  <si>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Наталья Геннадьевна Колесникова</t>
  </si>
  <si>
    <t>+998 661-487-5525</t>
  </si>
  <si>
    <t>Станислав Ильясович Ширяев</t>
  </si>
  <si>
    <t>+7 402-873-2919</t>
  </si>
  <si>
    <t>Маслов Захар Феофанович</t>
  </si>
  <si>
    <t>+7 747-226-1755</t>
  </si>
  <si>
    <t>Антонина Борисовна Жданова</t>
  </si>
  <si>
    <t>+7 189-378-6167</t>
  </si>
  <si>
    <t>Аггей Валентинович Артемьев</t>
  </si>
  <si>
    <t>+380 922-338-1312</t>
  </si>
  <si>
    <t>Давыд Филатович Мухин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</si>
  <si>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</si>
  <si>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</si>
  <si>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</si>
  <si>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</si>
  <si>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</si>
  <si>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</si>
  <si>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</si>
  <si>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Алла Геннадьевна Фомина</t>
  </si>
  <si>
    <t>+998 090-420-2619</t>
  </si>
  <si>
    <t>Мартын Августович Баранов</t>
  </si>
  <si>
    <t>+998 936-440-2703</t>
  </si>
  <si>
    <t>Радислав Герасимович Колобов</t>
  </si>
  <si>
    <t>+7 916-678-5714</t>
  </si>
  <si>
    <t>Николай Феоктистович Дроздов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</si>
  <si>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</si>
  <si>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</si>
  <si>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</si>
  <si>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</si>
  <si>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</si>
  <si>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Валентина Кирилловна Семенова</t>
  </si>
  <si>
    <t>+992 124-441-2478</t>
  </si>
  <si>
    <t>Рубен Димитриевич Веселов</t>
  </si>
  <si>
    <t>+375 515-558-2884</t>
  </si>
  <si>
    <t>Орехова Кира Натановна</t>
  </si>
  <si>
    <t>+992 902-872-9763</t>
  </si>
  <si>
    <t>Алексей Трифонович Блинов</t>
  </si>
  <si>
    <t>+380 001-347-5456</t>
  </si>
  <si>
    <t>Корнил Адрианович Комиссаров</t>
  </si>
  <si>
    <t>+7 191-068-2694</t>
  </si>
  <si>
    <t>Евдокия Ефимовна Карпова</t>
  </si>
  <si>
    <t>+998 955-643-6256</t>
  </si>
  <si>
    <t>Прасковья Петровна Дементьева</t>
  </si>
  <si>
    <t>+998 225-019-2493</t>
  </si>
  <si>
    <t>Лавр Харлампович Беляков</t>
  </si>
  <si>
    <t>+375 844-419-2850</t>
  </si>
  <si>
    <t>Лука Игнатьевич Власов</t>
  </si>
  <si>
    <t>+375 280-614-3764</t>
  </si>
  <si>
    <t>Зоя Вячеславовна Панова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</si>
  <si>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</si>
  <si>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</si>
  <si>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</si>
  <si>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</si>
  <si>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</si>
  <si>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Дарья Степановна Потапова</t>
  </si>
  <si>
    <t>+998 783-609-3463</t>
  </si>
  <si>
    <t>Морозова Феврония Николаевна</t>
  </si>
  <si>
    <t>+7 142-825-3773</t>
  </si>
  <si>
    <t>Пахом Даниилович Кузьмин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</si>
  <si>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</si>
  <si>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</si>
  <si>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</si>
  <si>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</si>
  <si>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</si>
  <si>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Алевтина Ефимовна Белякова</t>
  </si>
  <si>
    <t>+998 965-511-3258</t>
  </si>
  <si>
    <t>Галактион Жанович Новиков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</si>
  <si>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</si>
  <si>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</si>
  <si>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</si>
  <si>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</si>
  <si>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</si>
  <si>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Нинель Кузьминична Журавлева</t>
  </si>
  <si>
    <t>+380 229-176-0124</t>
  </si>
  <si>
    <t>Эмилия Вадимовна Александрова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</si>
  <si>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</si>
  <si>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</si>
  <si>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</si>
  <si>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</si>
  <si>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</si>
  <si>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Татьяна Павловна Павлова</t>
  </si>
  <si>
    <t>+380 250-699-1873</t>
  </si>
  <si>
    <t>Сергеев Панкратий Теймуразович</t>
  </si>
  <si>
    <t>+998 833-068-3629</t>
  </si>
  <si>
    <t>Любомир Валерианович Туров</t>
  </si>
  <si>
    <t>+7 524-548-9435</t>
  </si>
  <si>
    <t>Кононова Прасковья Павловна</t>
  </si>
  <si>
    <t>+7 747-866-6152</t>
  </si>
  <si>
    <t>Ираклий Изотович Авдеев</t>
  </si>
  <si>
    <t>+7 559-899-4463</t>
  </si>
  <si>
    <t>Михей Феликсович Лихачев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</si>
  <si>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</si>
  <si>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</si>
  <si>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</si>
  <si>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</si>
  <si>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</si>
  <si>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Феврония Антоновна Кулагина</t>
  </si>
  <si>
    <t>+7 730-745-5768</t>
  </si>
  <si>
    <t>Демид Антонович Мясников</t>
  </si>
  <si>
    <t>+992 520-869-0598</t>
  </si>
  <si>
    <t>Анастасия Игоревна Белова</t>
  </si>
  <si>
    <t>+992 976-290-1474</t>
  </si>
  <si>
    <t>Эдуард Фадеевич Сергеев</t>
  </si>
  <si>
    <t>+992 841-082-9227</t>
  </si>
  <si>
    <t>Мария Анатольевна Смирнова</t>
  </si>
  <si>
    <t>+992 878-995-1603</t>
  </si>
  <si>
    <t>Арсений Ермолаевич Емельянов</t>
  </si>
  <si>
    <t>+992 412-286-2797</t>
  </si>
  <si>
    <t>Любовь Павловна Капустина</t>
  </si>
  <si>
    <t>+375 342-835-7024</t>
  </si>
  <si>
    <t>Елизар Архипович Щербаков</t>
  </si>
  <si>
    <t>+992 403-485-6889</t>
  </si>
  <si>
    <t>Синклитикия Никифоровна Овчинникова</t>
  </si>
  <si>
    <t>+992 013-075-6493</t>
  </si>
  <si>
    <t>Боян Дорофеевич Калашников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</si>
  <si>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</si>
  <si>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</si>
  <si>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</si>
  <si>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</si>
  <si>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</si>
  <si>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Родион Яковлевич Коновалов</t>
  </si>
  <si>
    <t>+998 737-854-0193</t>
  </si>
  <si>
    <t>Прасковья Яковлевна Белоусова</t>
  </si>
  <si>
    <t>+992 647-315-8824</t>
  </si>
  <si>
    <t>Вероника Сергеевна Блинова</t>
  </si>
  <si>
    <t>+375 678-304-0891</t>
  </si>
  <si>
    <t>Любим Зиновьевич Брагин</t>
  </si>
  <si>
    <t>+998 523-421-5092</t>
  </si>
  <si>
    <t>Назаров Пантелеймон Трофимович</t>
  </si>
  <si>
    <t>+7 689-265-9126</t>
  </si>
  <si>
    <t>Евфросиния Тимофеевна Миронова</t>
  </si>
  <si>
    <t>+998 455-040-0995</t>
  </si>
  <si>
    <t>Савватий Богданович Фролов</t>
  </si>
  <si>
    <t>+998 276-111-5039</t>
  </si>
  <si>
    <t>Олимпиада Львовна Михайлова</t>
  </si>
  <si>
    <t>+998 087-023-3754</t>
  </si>
  <si>
    <t>Лариса Степановна Гурьева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</si>
  <si>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</si>
  <si>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</si>
  <si>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</si>
  <si>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</si>
  <si>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</si>
  <si>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Ираида Егоровна Родионова</t>
  </si>
  <si>
    <t>+375 242-923-3569</t>
  </si>
  <si>
    <t>Кузнецов Севастьян Валерьевич</t>
  </si>
  <si>
    <t>+380 611-258-8704</t>
  </si>
  <si>
    <t>Кира Степановна Рогова</t>
  </si>
  <si>
    <t>+380 671-809-3559</t>
  </si>
  <si>
    <t>Ираида Феликсовна Белоусова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</si>
  <si>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</si>
  <si>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</si>
  <si>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</si>
  <si>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</si>
  <si>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</si>
  <si>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</si>
  <si>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</si>
  <si>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Пелагея Антоновна Цветкова</t>
  </si>
  <si>
    <t>+992 555-207-4186</t>
  </si>
  <si>
    <t>Дмитрий Трифонович Денисов</t>
  </si>
  <si>
    <t>+380 469-601-0972</t>
  </si>
  <si>
    <t>Евпраксия Федоровна Фомина</t>
  </si>
  <si>
    <t>+7 836-233-8115</t>
  </si>
  <si>
    <t>Константин Ефимьевич Колесников</t>
  </si>
  <si>
    <t>+7 269-195-3186</t>
  </si>
  <si>
    <t>Елена Эдуардовна Кудряшова</t>
  </si>
  <si>
    <t>+7 502-802-5787</t>
  </si>
  <si>
    <t>Ксения Кузьминична Авдеева</t>
  </si>
  <si>
    <t>+7 219-084-6295</t>
  </si>
  <si>
    <t>Евгения Георгиевна Рожкова</t>
  </si>
  <si>
    <t>+992 046-188-5111</t>
  </si>
  <si>
    <t>Федосеева Василиса Аскольдовна</t>
  </si>
  <si>
    <t>+375 081-974-3402</t>
  </si>
  <si>
    <t>Анастасия Альбертовна Фролова</t>
  </si>
  <si>
    <t>+380 960-351-2387</t>
  </si>
  <si>
    <t>Клавдия Константиновна Хохлова</t>
  </si>
  <si>
    <t>+375 881-217-3017</t>
  </si>
  <si>
    <t>Евсеев Ратмир Артемьевич</t>
  </si>
  <si>
    <t>+7 560-711-8976</t>
  </si>
  <si>
    <t>Клавдия Богдановна Ковалева</t>
  </si>
  <si>
    <t>+7 629-137-1639</t>
  </si>
  <si>
    <t>Маслова Иванна Макаровна</t>
  </si>
  <si>
    <t>+380 119-291-6424</t>
  </si>
  <si>
    <t>Фёкла Натановна Дементьева</t>
  </si>
  <si>
    <t>+7 894-629-6946</t>
  </si>
  <si>
    <t>Гурьева Людмила Владимировна</t>
  </si>
  <si>
    <t>+380 249-840-3292</t>
  </si>
  <si>
    <t>Елизавета Яковлевна Лапина</t>
  </si>
  <si>
    <t>+998 583-835-9258</t>
  </si>
  <si>
    <t>Любомир Архипович Пономарев</t>
  </si>
  <si>
    <t>+7 052-743-8708</t>
  </si>
  <si>
    <t>Назарова Ия Ивановна</t>
  </si>
  <si>
    <t>+7 181-999-1398</t>
  </si>
  <si>
    <t>Вероника Геннадьевна Воронова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</si>
  <si>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</si>
  <si>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</si>
  <si>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</si>
  <si>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</si>
  <si>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</si>
  <si>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Юлия Геннадиевна Белякова</t>
  </si>
  <si>
    <t>+7 304-758-2488</t>
  </si>
  <si>
    <t>Мирон Давидович Горбачев</t>
  </si>
  <si>
    <t>+380 280-785-9631</t>
  </si>
  <si>
    <t>Лора Вадимовна Турова</t>
  </si>
  <si>
    <t>+992 028-876-8250</t>
  </si>
  <si>
    <t>Владимирова Алина Феликсовна</t>
  </si>
  <si>
    <t>+375 524-220-8374</t>
  </si>
  <si>
    <t>Матвей Адамович Богданов</t>
  </si>
  <si>
    <t>+380 728-449-1745</t>
  </si>
  <si>
    <t>Валерьян Федосеевич Цветков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</si>
  <si>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</si>
  <si>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</si>
  <si>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</si>
  <si>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</si>
  <si>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</si>
  <si>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</si>
  <si>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</si>
  <si>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Агап Валерьевич Логинов</t>
  </si>
  <si>
    <t>+7 685-361-2926</t>
  </si>
  <si>
    <t>Никита Виленович Степанов</t>
  </si>
  <si>
    <t>+7 379-140-2865</t>
  </si>
  <si>
    <t>Потап Егорович Лапин</t>
  </si>
  <si>
    <t>+7 945-211-9429</t>
  </si>
  <si>
    <t>Тимофеев Аполлинарий Фомич</t>
  </si>
  <si>
    <t>+7 421-153-6302</t>
  </si>
  <si>
    <t>Велимир Игоревич Макаров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</si>
  <si>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</si>
  <si>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</si>
  <si>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</si>
  <si>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</si>
  <si>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</si>
  <si>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Николай Гавриилович Савин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</si>
  <si>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</si>
  <si>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</si>
  <si>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</si>
  <si>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</si>
  <si>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</si>
  <si>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</si>
  <si>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</si>
  <si>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Вероника Руслановна Ефремова</t>
  </si>
  <si>
    <t>+380 286-003-5332</t>
  </si>
  <si>
    <t>Алевтина Архиповна Ефимова</t>
  </si>
  <si>
    <t>+7 456-978-0873</t>
  </si>
  <si>
    <t>Журавлева Александра Валентиновна</t>
  </si>
  <si>
    <t>+7 449-357-2065</t>
  </si>
  <si>
    <t>Никита Венедиктович Третьяков</t>
  </si>
  <si>
    <t>+375 299-252-6550</t>
  </si>
  <si>
    <t>Суханов Станислав Архипович</t>
  </si>
  <si>
    <t>+7 466-253-9021</t>
  </si>
  <si>
    <t>Юлия Кузьминична Капустина</t>
  </si>
  <si>
    <t>+998 697-530-0958</t>
  </si>
  <si>
    <t>Герман Арсеньевич Калинин</t>
  </si>
  <si>
    <t>+380 315-815-3268</t>
  </si>
  <si>
    <t>Ирина Анатольевна Васильева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</si>
  <si>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</si>
  <si>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</si>
  <si>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</si>
  <si>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</si>
  <si>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</si>
  <si>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</si>
  <si>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</si>
  <si>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Давыд Фёдорович Белоусов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</si>
  <si>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</si>
  <si>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</si>
  <si>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</si>
  <si>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</si>
  <si>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</si>
  <si>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</si>
  <si>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</si>
  <si>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</si>
  <si>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</si>
  <si>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Александр Архипович Гущин</t>
  </si>
  <si>
    <t>+7 319-073-7259</t>
  </si>
  <si>
    <t>Никанор Феодосьевич Воронов</t>
  </si>
  <si>
    <t>+7 778-043-0691</t>
  </si>
  <si>
    <t>Лукин Борис Власович</t>
  </si>
  <si>
    <t>+375 690-843-0501</t>
  </si>
  <si>
    <t>Ия Робертовна Белова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</si>
  <si>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</si>
  <si>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</si>
  <si>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</si>
  <si>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</si>
  <si>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</si>
  <si>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</si>
  <si>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</si>
  <si>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Автоном Терентьевич Филиппов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</si>
  <si>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</si>
  <si>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</si>
  <si>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</si>
  <si>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</si>
  <si>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</si>
  <si>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</si>
  <si>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</si>
  <si>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</si>
  <si>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</si>
  <si>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</si>
  <si>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</si>
  <si>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</si>
  <si>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</si>
  <si>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</si>
  <si>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</si>
  <si>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Иванна Захаровна Сергеева</t>
  </si>
  <si>
    <t>+992 672-498-6349</t>
  </si>
  <si>
    <t>Андрон Валерьевич Морозов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</si>
  <si>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</si>
  <si>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</si>
  <si>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</si>
  <si>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</si>
  <si>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</si>
  <si>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Елисей Игнатович Лобанов</t>
  </si>
  <si>
    <t>+998 766-764-4076</t>
  </si>
  <si>
    <t>Конон Валентинович Владимиров</t>
  </si>
  <si>
    <t>+7 616-701-4879</t>
  </si>
  <si>
    <t>Юрий Августович Исаков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</si>
  <si>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</si>
  <si>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</si>
  <si>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</si>
  <si>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</si>
  <si>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</si>
  <si>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Виктория Наумовна Никитина</t>
  </si>
  <si>
    <t>+998 643-985-0175</t>
  </si>
  <si>
    <t>Анжелика Валериевна Рожкова</t>
  </si>
  <si>
    <t>+7 984-361-4421</t>
  </si>
  <si>
    <t>Флорентин Демьянович Родионов</t>
  </si>
  <si>
    <t>+375 389-470-8585</t>
  </si>
  <si>
    <t>Маслова Агафья Юрьевна</t>
  </si>
  <si>
    <t>+375 285-458-8961</t>
  </si>
  <si>
    <t>Анжела Ивановна Григорьева</t>
  </si>
  <si>
    <t>+998 777-844-5783</t>
  </si>
  <si>
    <t>Максимова Евпраксия Ждановна</t>
  </si>
  <si>
    <t>+7 197-654-6044</t>
  </si>
  <si>
    <t>Алевтина Михайловна Зыкова</t>
  </si>
  <si>
    <t>+375 890-614-0667</t>
  </si>
  <si>
    <t>Спиридон Владленович Воронцов</t>
  </si>
  <si>
    <t>+992 587-542-2147</t>
  </si>
  <si>
    <t>Любовь Альбертовна Одинцова</t>
  </si>
  <si>
    <t>+7 535-345-7895</t>
  </si>
  <si>
    <t>Сорокина Феврония Геннадьевна</t>
  </si>
  <si>
    <t>+7 264-686-5607</t>
  </si>
  <si>
    <t>Валерия Семеновна Потапова</t>
  </si>
  <si>
    <t>+7 670-667-8381</t>
  </si>
  <si>
    <t>Миронов Аверкий Зиновьевич</t>
  </si>
  <si>
    <t>+7 613-538-5501</t>
  </si>
  <si>
    <t>Филимон Ефимьевич Беляков</t>
  </si>
  <si>
    <t>+380 403-818-2198</t>
  </si>
  <si>
    <t>Валерия Владимировна Медведева</t>
  </si>
  <si>
    <t>+992 644-743-9326</t>
  </si>
  <si>
    <t>Самойлова Жанна Семеновна</t>
  </si>
  <si>
    <t>+380 264-466-6372</t>
  </si>
  <si>
    <t>Таисия Богдановна Якушева</t>
  </si>
  <si>
    <t>+380 086-392-5406</t>
  </si>
  <si>
    <t>Марк Яковлевич Корнилов</t>
  </si>
  <si>
    <t>+998 608-979-4237</t>
  </si>
  <si>
    <t>Калинин Лев Феодосьевич</t>
  </si>
  <si>
    <t>+375 820-460-9487</t>
  </si>
  <si>
    <t>Любовь Романовна Данилова</t>
  </si>
  <si>
    <t>+7 977-556-0650</t>
  </si>
  <si>
    <t>Зуев Гостомысл Игоревич</t>
  </si>
  <si>
    <t>+992 906-130-4174</t>
  </si>
  <si>
    <t>Кир Васильевич Горбунов</t>
  </si>
  <si>
    <t>+375 226-003-8992</t>
  </si>
  <si>
    <t>Евфросиния Петровна Чернова</t>
  </si>
  <si>
    <t>+380 383-190-2360</t>
  </si>
  <si>
    <t>Федорова Жанна Вадимовна</t>
  </si>
  <si>
    <t>+998 197-437-6957</t>
  </si>
  <si>
    <t>тов. Степанова Синклитикия Александровна</t>
  </si>
  <si>
    <t>+992 891-393-2973</t>
  </si>
  <si>
    <t>Якушев Мина Гавриилович</t>
  </si>
  <si>
    <t>+998 914-522-1318</t>
  </si>
  <si>
    <t>Глафира Николаевна Мельникова</t>
  </si>
  <si>
    <t>+7 340-358-5907</t>
  </si>
  <si>
    <t>Русаков Лев Тимурович</t>
  </si>
  <si>
    <t>+7 326-132-7435</t>
  </si>
  <si>
    <t>Христофор Авдеевич Щукин</t>
  </si>
  <si>
    <t>+380 705-295-2201</t>
  </si>
  <si>
    <t>Анна Альбертовна Никифорова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</si>
  <si>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</si>
  <si>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</si>
  <si>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</si>
  <si>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</si>
  <si>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</si>
  <si>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</si>
  <si>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</si>
  <si>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Спиридон Чеславович Абрамов</t>
  </si>
  <si>
    <t>+992 750-248-5649</t>
  </si>
  <si>
    <t>Гущин Ипполит Яковлевич</t>
  </si>
  <si>
    <t>+998 265-405-9627</t>
  </si>
  <si>
    <t>г-н Савельев Федосий Феоктистович</t>
  </si>
  <si>
    <t>+992 292-122-7648</t>
  </si>
  <si>
    <t>Маслов Сократ Анатольевич</t>
  </si>
  <si>
    <t>+7 709-119-0759</t>
  </si>
  <si>
    <t>г-н Копылов Лаврентий Артемьевич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</si>
  <si>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</si>
  <si>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</si>
  <si>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</si>
  <si>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</si>
  <si>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</si>
  <si>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Василиса Леоновна Назарова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</si>
  <si>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</si>
  <si>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</si>
  <si>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</si>
  <si>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</si>
  <si>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</si>
  <si>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</si>
  <si>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</si>
  <si>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</si>
  <si>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</si>
  <si>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</si>
  <si>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</si>
  <si>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</si>
  <si>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</si>
  <si>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</si>
  <si>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</si>
  <si>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Арсений Вилорович Лобанов</t>
  </si>
  <si>
    <t>+992 862-124-2046</t>
  </si>
  <si>
    <t>Зайцев Ефрем Даниилович</t>
  </si>
  <si>
    <t>+380 833-248-7380</t>
  </si>
  <si>
    <t>Самуил Зиновьевич Фокин</t>
  </si>
  <si>
    <t>+7 038-725-7867</t>
  </si>
  <si>
    <t>Мария Кузьминична Борисова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</si>
  <si>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</si>
  <si>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</si>
  <si>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</si>
  <si>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</si>
  <si>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</si>
  <si>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Авдей Брониславович Владимиров</t>
  </si>
  <si>
    <t>+7 739-924-9444</t>
  </si>
  <si>
    <t>Маргарита Ждановна Зуева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</si>
  <si>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</si>
  <si>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</si>
  <si>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</si>
  <si>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</si>
  <si>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</si>
  <si>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Фёкла Феликсовна Харитонова</t>
  </si>
  <si>
    <t>+992 928-516-3980</t>
  </si>
  <si>
    <t>Раиса Станиславовна Чернова</t>
  </si>
  <si>
    <t>+998 583-780-6740</t>
  </si>
  <si>
    <t>Прокл Тимурович Александров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</si>
  <si>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</si>
  <si>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</si>
  <si>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</si>
  <si>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</si>
  <si>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</si>
  <si>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</si>
  <si>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</si>
  <si>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</si>
  <si>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</si>
  <si>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Анжела Филипповна Новикова</t>
  </si>
  <si>
    <t>+7 858-333-4042</t>
  </si>
  <si>
    <t>Ермаков Вадим Юлианович</t>
  </si>
  <si>
    <t>+380 667-385-3298</t>
  </si>
  <si>
    <t>Фрол Авдеевич Фадеев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</si>
  <si>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</si>
  <si>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</si>
  <si>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</si>
  <si>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</si>
  <si>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</si>
  <si>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</si>
  <si>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</si>
  <si>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</si>
  <si>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</si>
  <si>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</si>
  <si>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</si>
  <si>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</si>
  <si>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</si>
  <si>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</si>
  <si>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</si>
  <si>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Назар Августович Назаров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</si>
  <si>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</si>
  <si>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</si>
  <si>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</si>
  <si>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</si>
  <si>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</si>
  <si>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</si>
  <si>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</si>
  <si>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тов. Копылова Жанна Архиповна</t>
  </si>
  <si>
    <t>+998 880-147-7505</t>
  </si>
  <si>
    <t>Эмилия Олеговна Калинина</t>
  </si>
  <si>
    <t>+998 827-959-0308</t>
  </si>
  <si>
    <t>Александра Владиславовна Беляева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</si>
  <si>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</si>
  <si>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</si>
  <si>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</si>
  <si>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</si>
  <si>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</si>
  <si>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</si>
  <si>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</si>
  <si>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</si>
  <si>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</si>
  <si>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Леонид Арсенович Давыдов</t>
  </si>
  <si>
    <t>+380 369-038-6358</t>
  </si>
  <si>
    <t>Ефремов Епифан Ильич</t>
  </si>
  <si>
    <t>+7 833-884-1180</t>
  </si>
  <si>
    <t>Чеслав Бориславович Мамонтов</t>
  </si>
  <si>
    <t>+7 356-385-2881</t>
  </si>
  <si>
    <t>Абрамова Елизавета Эдуардовна</t>
  </si>
  <si>
    <t>+375 260-927-0999</t>
  </si>
  <si>
    <t>Виктор Марсович Игнатов</t>
  </si>
  <si>
    <t>+375 074-074-0170</t>
  </si>
  <si>
    <t>Татьяна Михайловна Новикова</t>
  </si>
  <si>
    <t>+7 093-201-9949</t>
  </si>
  <si>
    <t>Жуков Никифор Фомич</t>
  </si>
  <si>
    <t>+998 388-311-1484</t>
  </si>
  <si>
    <t>Ратибор Андреевич Маслов</t>
  </si>
  <si>
    <t>+998 016-556-9015</t>
  </si>
  <si>
    <t>Виктор Жанович Никифоров</t>
  </si>
  <si>
    <t>+992 326-136-2416</t>
  </si>
  <si>
    <t>Зоя Егоровна Третьякова</t>
  </si>
  <si>
    <t>+7 089-779-0837</t>
  </si>
  <si>
    <t>Силин Антип Ильясович</t>
  </si>
  <si>
    <t>+992 372-939-7775</t>
  </si>
  <si>
    <t>Регина Кирилловна Нестерова</t>
  </si>
  <si>
    <t>+7 288-468-9287</t>
  </si>
  <si>
    <t>Сидор Вячеславович Зиновьев</t>
  </si>
  <si>
    <t>+7 263-859-8875</t>
  </si>
  <si>
    <t>Эммануил Ааронович Кошелев</t>
  </si>
  <si>
    <t>+7 894-900-2879</t>
  </si>
  <si>
    <t>Ладимир Гурьевич Егоров</t>
  </si>
  <si>
    <t>+7 376-172-1887</t>
  </si>
  <si>
    <t>Владилен Иосифович Третьяков</t>
  </si>
  <si>
    <t>+7 915-487-8205</t>
  </si>
  <si>
    <t>Аггей Терентьевич Волков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</si>
  <si>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</si>
  <si>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</si>
  <si>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</si>
  <si>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</si>
  <si>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</si>
  <si>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</si>
  <si>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</si>
  <si>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Сократ Юльевич Афанасьев</t>
  </si>
  <si>
    <t>+7 322-351-7967</t>
  </si>
  <si>
    <t>Панфил Федотович Шаров</t>
  </si>
  <si>
    <t>+992 883-671-0611</t>
  </si>
  <si>
    <t>Галина Кирилловна Прохорова</t>
  </si>
  <si>
    <t>+375 523-528-4996</t>
  </si>
  <si>
    <t>Капитон Феликсович Кабанов</t>
  </si>
  <si>
    <t>+380 465-945-6481</t>
  </si>
  <si>
    <t>Капитон Харитонович Родионов</t>
  </si>
  <si>
    <t>+7 710-415-0428</t>
  </si>
  <si>
    <t>Иванна Наумовна Иванова</t>
  </si>
  <si>
    <t>+998 237-658-9236</t>
  </si>
  <si>
    <t>Бажен Дмитриевич Исаков</t>
  </si>
  <si>
    <t>+7 638-478-8735</t>
  </si>
  <si>
    <t>Регина Сергеевна Чернова</t>
  </si>
  <si>
    <t>+7 425-907-2619</t>
  </si>
  <si>
    <t>Регина Сергеевна Ефимова</t>
  </si>
  <si>
    <t>+380 616-238-3294</t>
  </si>
  <si>
    <t>Ипатий Устинович Зимин</t>
  </si>
  <si>
    <t>+992 129-804-1705</t>
  </si>
  <si>
    <t>Панова Евгения Викторовна</t>
  </si>
  <si>
    <t>+998 176-720-2162</t>
  </si>
  <si>
    <t>Агата Геннадьевна Колесникова</t>
  </si>
  <si>
    <t>+7 600-803-0627</t>
  </si>
  <si>
    <t>Алина Михайловна Шестакова</t>
  </si>
  <si>
    <t>+375 960-328-1316</t>
  </si>
  <si>
    <t>Эмилия Руслановна Шарапова</t>
  </si>
  <si>
    <t>+380 424-152-2316</t>
  </si>
  <si>
    <t>Горшкова Василиса Святославовна</t>
  </si>
  <si>
    <t>+7 963-508-8333</t>
  </si>
  <si>
    <t>Валентина Захаровна Боброва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</si>
  <si>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</si>
  <si>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</si>
  <si>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</si>
  <si>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</si>
  <si>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</si>
  <si>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Карп Афанасьевич Фомичев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</si>
  <si>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</si>
  <si>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</si>
  <si>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</si>
  <si>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</si>
  <si>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</si>
  <si>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</si>
  <si>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</si>
  <si>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Ия Никифоровна Лапина</t>
  </si>
  <si>
    <t>+992 248-066-2060</t>
  </si>
  <si>
    <t>Дементий Антипович Мухин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</si>
  <si>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</si>
  <si>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</si>
  <si>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</si>
  <si>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</si>
  <si>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</si>
  <si>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</si>
  <si>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</si>
  <si>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</si>
  <si>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</si>
  <si>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Лора Болеславовна Потапова</t>
  </si>
  <si>
    <t>+7 632-222-4524</t>
  </si>
  <si>
    <t>Сила Денисович Гурьев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</si>
  <si>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</si>
  <si>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</si>
  <si>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</si>
  <si>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</si>
  <si>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</si>
  <si>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Ратибор Арсеньевич Петров</t>
  </si>
  <si>
    <t>+998 488-220-8790</t>
  </si>
  <si>
    <t>Капустина Тамара Валериевна</t>
  </si>
  <si>
    <t>+7 747-678-7543</t>
  </si>
  <si>
    <t>Феофан Гурьевич Дорофеев</t>
  </si>
  <si>
    <t>+992 349-223-5769</t>
  </si>
  <si>
    <t>Алексеев Касьян Ефимович</t>
  </si>
  <si>
    <t>+998 752-893-8536</t>
  </si>
  <si>
    <t>Юлия Вячеславовна Журавлева</t>
  </si>
  <si>
    <t>+7 630-977-5834</t>
  </si>
  <si>
    <t>Элеонора Ивановна Королева</t>
  </si>
  <si>
    <t>+998 084-412-0746</t>
  </si>
  <si>
    <t>Полина Николаевна Евдокимова</t>
  </si>
  <si>
    <t>+7 899-265-0963</t>
  </si>
  <si>
    <t>Лукия Ефимовна Тимофеева</t>
  </si>
  <si>
    <t>+7 321-005-5110</t>
  </si>
  <si>
    <t>Майя Вадимовна Рябова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</si>
  <si>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</si>
  <si>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</si>
  <si>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</si>
  <si>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</si>
  <si>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</si>
  <si>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Чеслав Виленович Шестаков</t>
  </si>
  <si>
    <t>+998 222-956-9780</t>
  </si>
  <si>
    <t>Бирюков Олимпий Иосифович</t>
  </si>
  <si>
    <t>+375 226-887-4565</t>
  </si>
  <si>
    <t>г-н Рыбаков Автоном Антонович</t>
  </si>
  <si>
    <t>+7 109-995-2846</t>
  </si>
  <si>
    <t>Нинель Натановна Лазарева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</si>
  <si>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</si>
  <si>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</si>
  <si>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</si>
  <si>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</si>
  <si>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</si>
  <si>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</si>
  <si>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</si>
  <si>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Вероника Евгеньевна Федосеева</t>
  </si>
  <si>
    <t>+380 835-708-4433</t>
  </si>
  <si>
    <t>Кудрявцев Демид Ерофеевич</t>
  </si>
  <si>
    <t>+7 454-941-1729</t>
  </si>
  <si>
    <t>Филимон Федотович Иванов</t>
  </si>
  <si>
    <t>+7 297-169-3756</t>
  </si>
  <si>
    <t>Лонгин Арсенович Никонов</t>
  </si>
  <si>
    <t>+998 498-706-1394</t>
  </si>
  <si>
    <t>Юлия Леоновна Наумова</t>
  </si>
  <si>
    <t>+375 435-951-1995</t>
  </si>
  <si>
    <t>Агата Юрьевна Галкина</t>
  </si>
  <si>
    <t>+998 350-816-0031</t>
  </si>
  <si>
    <t>Гурьев Влас Юлианович</t>
  </si>
  <si>
    <t>+992 863-895-4307</t>
  </si>
  <si>
    <t>Мефодий Филиппович Воробьев</t>
  </si>
  <si>
    <t>+998 006-788-9211</t>
  </si>
  <si>
    <t>Август Вячеславович Брагин</t>
  </si>
  <si>
    <t>+7 063-931-5918</t>
  </si>
  <si>
    <t>Любовь Георгиевна Мамонтова</t>
  </si>
  <si>
    <t>+380 545-746-8707</t>
  </si>
  <si>
    <t>Осипов Светозар Ефремович</t>
  </si>
  <si>
    <t>+998 353-736-8172</t>
  </si>
  <si>
    <t>Зоя Кирилловна Брагина</t>
  </si>
  <si>
    <t>+998 591-865-8342</t>
  </si>
  <si>
    <t>Калинина Ирина Филипповна</t>
  </si>
  <si>
    <t>+380 622-144-1703</t>
  </si>
  <si>
    <t>Александра Матвеевна Артемьева</t>
  </si>
  <si>
    <t>+380 669-437-2066</t>
  </si>
  <si>
    <t>Носкова Вера Федоровна</t>
  </si>
  <si>
    <t>+7 753-596-5037</t>
  </si>
  <si>
    <t>Никодим Игоревич Бобров</t>
  </si>
  <si>
    <t>+375 682-373-1802</t>
  </si>
  <si>
    <t>Вера Георгиевна Некрасова</t>
  </si>
  <si>
    <t>+375 796-304-7865</t>
  </si>
  <si>
    <t>Фадей Ефимович Калинин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</si>
  <si>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</si>
  <si>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</si>
  <si>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</si>
  <si>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</si>
  <si>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</si>
  <si>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</si>
  <si>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</si>
  <si>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</si>
  <si>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</si>
  <si>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</si>
  <si>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</si>
  <si>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</si>
  <si>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</si>
  <si>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</si>
  <si>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</si>
  <si>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</si>
  <si>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</si>
  <si>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</si>
  <si>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</si>
  <si>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</si>
  <si>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</si>
  <si>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</si>
  <si>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</si>
  <si>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</si>
  <si>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</si>
  <si>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</si>
  <si>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</si>
  <si>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>Кол-во дней с момента регистрациидо покупки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</si>
  <si>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</si>
  <si>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</si>
  <si>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</si>
  <si>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</si>
  <si>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</si>
  <si>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</si>
  <si>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Исследование выполнил: Линник Сергей</t>
  </si>
  <si>
    <t>Названия строк</t>
  </si>
  <si>
    <t>Общий итог</t>
  </si>
  <si>
    <t>2023</t>
  </si>
  <si>
    <t>2024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</si>
  <si>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</si>
  <si>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</si>
  <si>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</si>
  <si>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</si>
  <si>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</si>
  <si>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</si>
  <si>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</si>
  <si>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</si>
  <si>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</si>
  <si>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</si>
  <si>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</si>
  <si>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</si>
  <si>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 по полю сумма чека</t>
  </si>
  <si>
    <t>Категория товара</t>
  </si>
  <si>
    <t>Поставщик</t>
  </si>
  <si>
    <t>Поставщик товара</t>
  </si>
  <si>
    <t>Средняя цена в категории за шт</t>
  </si>
  <si>
    <t>Выгода для клиента</t>
  </si>
  <si>
    <t>Среднее по полю Выгода для клиента</t>
  </si>
  <si>
    <t>Продуктовая сеть</t>
  </si>
  <si>
    <t>GMV</t>
  </si>
  <si>
    <t>Средняя стоимость в категории по поставщику</t>
  </si>
  <si>
    <t>Коды стран</t>
  </si>
  <si>
    <t>Страна клиента</t>
  </si>
  <si>
    <t>Количество по полю id клиента</t>
  </si>
  <si>
    <t>количество дней с момента регистрации</t>
  </si>
  <si>
    <t>Текущая дата</t>
  </si>
  <si>
    <t>Дни</t>
  </si>
  <si>
    <t>Лайфтайм (мес)</t>
  </si>
  <si>
    <t>Имя</t>
  </si>
  <si>
    <t>Страны</t>
  </si>
  <si>
    <t>Наибольшее количество клиентов приходится на Россия, наименьшее на Беларусь</t>
  </si>
  <si>
    <t>Наибольшее часто встречающееся значение количества дней с момента регистрации приходится на диапазон 442-504 дня</t>
  </si>
  <si>
    <t>Наиболее платежеспособное население приходится на Россию, наименее платежеспособное на Беларусь</t>
  </si>
  <si>
    <t>Наиболее привлекательным магазином для клиентов является Пятерочка, наименее привлекательным - Лента</t>
  </si>
  <si>
    <t>Динамика продаж по магазинам зависит от ассортимента магазина и времени года. По всем магазинам наибольшее снижение продаж приходится на октябрь, максимальные приходятся на март и август. По магазину Бристоль максимальные продажи приходятся на июль, минимальные на октябрь. По магазину Мираторг максимальные продажи приходятся на март и май, минимальные на январь и ноябрь.</t>
  </si>
  <si>
    <t xml:space="preserve">Крупнейшим магазином по показателю GMV является О`Кей, наименьшим Билла. </t>
  </si>
  <si>
    <t>Крупнейшим поставщиком является Паста Зара, наимеьшим - Микоян</t>
  </si>
  <si>
    <t>Среднее по полю кол-во штук в чеке</t>
  </si>
  <si>
    <t>Наиболее доходная категория макароны, наименее доходная колбаса</t>
  </si>
  <si>
    <t>Среднее количество по категориям (что покупают чаще)</t>
  </si>
  <si>
    <t xml:space="preserve">Наибольшее значение количества единиц в чеке приходится на молоко, наименьшее на сыр </t>
  </si>
  <si>
    <t>Выгода для магазина</t>
  </si>
  <si>
    <t>Наиболее часто встречающееся значение количества месяцев, которое люди являются клиентами сотавляет 42--44 месяца</t>
  </si>
  <si>
    <t>Август</t>
  </si>
  <si>
    <t>Авдей</t>
  </si>
  <si>
    <t>Аверкий</t>
  </si>
  <si>
    <t>Аверьян</t>
  </si>
  <si>
    <t>Автоном</t>
  </si>
  <si>
    <t>Агап</t>
  </si>
  <si>
    <t>Агата</t>
  </si>
  <si>
    <t>Агафья</t>
  </si>
  <si>
    <t>Аггей</t>
  </si>
  <si>
    <t>Адриан</t>
  </si>
  <si>
    <t>Акулина</t>
  </si>
  <si>
    <t>Алевтина</t>
  </si>
  <si>
    <t>Александр</t>
  </si>
  <si>
    <t>Александра</t>
  </si>
  <si>
    <t>Алексей</t>
  </si>
  <si>
    <t>Алина</t>
  </si>
  <si>
    <t>Алла</t>
  </si>
  <si>
    <t>Амвросий</t>
  </si>
  <si>
    <t>Амос</t>
  </si>
  <si>
    <t>Анастасия</t>
  </si>
  <si>
    <t>Ангелина</t>
  </si>
  <si>
    <t>Андрон</t>
  </si>
  <si>
    <t>Андроник</t>
  </si>
  <si>
    <t>Анжела</t>
  </si>
  <si>
    <t>Анжелика</t>
  </si>
  <si>
    <t>Аникей</t>
  </si>
  <si>
    <t>Анисим</t>
  </si>
  <si>
    <t>Анна</t>
  </si>
  <si>
    <t>Антип</t>
  </si>
  <si>
    <t>Антонина</t>
  </si>
  <si>
    <t>Аполлинарий</t>
  </si>
  <si>
    <t>Арефий</t>
  </si>
  <si>
    <t>Аристарх</t>
  </si>
  <si>
    <t>Арсений</t>
  </si>
  <si>
    <t>Бажен</t>
  </si>
  <si>
    <t>Богдан</t>
  </si>
  <si>
    <t>Борис</t>
  </si>
  <si>
    <t>Борислав</t>
  </si>
  <si>
    <t>Боян</t>
  </si>
  <si>
    <t>Вадим</t>
  </si>
  <si>
    <t>Валентина</t>
  </si>
  <si>
    <t>Валерия</t>
  </si>
  <si>
    <t>Валерьян</t>
  </si>
  <si>
    <t>Василиса</t>
  </si>
  <si>
    <t>Велимир</t>
  </si>
  <si>
    <t>Вера</t>
  </si>
  <si>
    <t>Вероника</t>
  </si>
  <si>
    <t>Викентий</t>
  </si>
  <si>
    <t>Виктор</t>
  </si>
  <si>
    <t>Виктория</t>
  </si>
  <si>
    <t>Владилен</t>
  </si>
  <si>
    <t>Влас</t>
  </si>
  <si>
    <t>Воробьева</t>
  </si>
  <si>
    <t>Всеслав</t>
  </si>
  <si>
    <t>Галактион</t>
  </si>
  <si>
    <t>Галина</t>
  </si>
  <si>
    <t>Геннадий</t>
  </si>
  <si>
    <t>Герман</t>
  </si>
  <si>
    <t>Глафира</t>
  </si>
  <si>
    <t>Глеб</t>
  </si>
  <si>
    <t>Гордей</t>
  </si>
  <si>
    <t>Гостомысл</t>
  </si>
  <si>
    <t>Давыд</t>
  </si>
  <si>
    <t>Дарья</t>
  </si>
  <si>
    <t>Дементий</t>
  </si>
  <si>
    <t>Демид</t>
  </si>
  <si>
    <t>Дмитрий</t>
  </si>
  <si>
    <t>Евгения</t>
  </si>
  <si>
    <t>Евграф</t>
  </si>
  <si>
    <t>Евдокия</t>
  </si>
  <si>
    <t>Евпраксия</t>
  </si>
  <si>
    <t>Евсей</t>
  </si>
  <si>
    <t>Евстафий</t>
  </si>
  <si>
    <t>Евфросиния</t>
  </si>
  <si>
    <t>Екатерина</t>
  </si>
  <si>
    <t>Елена</t>
  </si>
  <si>
    <t>Елизавета</t>
  </si>
  <si>
    <t>Елизар</t>
  </si>
  <si>
    <t>Елисей</t>
  </si>
  <si>
    <t>Епифан</t>
  </si>
  <si>
    <t>Еремей</t>
  </si>
  <si>
    <t>Ефимова</t>
  </si>
  <si>
    <t>Ефрем</t>
  </si>
  <si>
    <t>Жанна</t>
  </si>
  <si>
    <t>Захар</t>
  </si>
  <si>
    <t>Зинаида</t>
  </si>
  <si>
    <t>Зосима</t>
  </si>
  <si>
    <t>Зоя</t>
  </si>
  <si>
    <t>Зуев</t>
  </si>
  <si>
    <t>Иванна</t>
  </si>
  <si>
    <t>Игорь</t>
  </si>
  <si>
    <t>Измаил</t>
  </si>
  <si>
    <t>Ипат</t>
  </si>
  <si>
    <t>Ипатий</t>
  </si>
  <si>
    <t>Ипполит</t>
  </si>
  <si>
    <t>Ираида</t>
  </si>
  <si>
    <t>Ираклий</t>
  </si>
  <si>
    <t>Ирина</t>
  </si>
  <si>
    <t>Ия</t>
  </si>
  <si>
    <t>Капитон</t>
  </si>
  <si>
    <t>Карл</t>
  </si>
  <si>
    <t>Карп</t>
  </si>
  <si>
    <t>Касьян</t>
  </si>
  <si>
    <t>Кир</t>
  </si>
  <si>
    <t>Кира</t>
  </si>
  <si>
    <t>Клавдия</t>
  </si>
  <si>
    <t>Климент</t>
  </si>
  <si>
    <t>Конон</t>
  </si>
  <si>
    <t>Константин</t>
  </si>
  <si>
    <t>Копылов</t>
  </si>
  <si>
    <t>Копылова</t>
  </si>
  <si>
    <t>Корнил</t>
  </si>
  <si>
    <t>Ксения</t>
  </si>
  <si>
    <t>Кузьма</t>
  </si>
  <si>
    <t>Лавр</t>
  </si>
  <si>
    <t>Ладимир</t>
  </si>
  <si>
    <t>Лариса</t>
  </si>
  <si>
    <t>Лев</t>
  </si>
  <si>
    <t>Леон</t>
  </si>
  <si>
    <t>Леонид</t>
  </si>
  <si>
    <t>Лидия</t>
  </si>
  <si>
    <t>Лонгин</t>
  </si>
  <si>
    <t>Лора</t>
  </si>
  <si>
    <t>Лука</t>
  </si>
  <si>
    <t>Лукия</t>
  </si>
  <si>
    <t>Любим</t>
  </si>
  <si>
    <t>Любовь</t>
  </si>
  <si>
    <t>Любомир</t>
  </si>
  <si>
    <t>Любосмысл</t>
  </si>
  <si>
    <t>Людмила</t>
  </si>
  <si>
    <t>Майя</t>
  </si>
  <si>
    <t>Максим</t>
  </si>
  <si>
    <t>Маргарита</t>
  </si>
  <si>
    <t>Марина</t>
  </si>
  <si>
    <t>Мария</t>
  </si>
  <si>
    <t>Марк</t>
  </si>
  <si>
    <t>Мартын</t>
  </si>
  <si>
    <t>Мартьян</t>
  </si>
  <si>
    <t>Марфа</t>
  </si>
  <si>
    <t>Матвей</t>
  </si>
  <si>
    <t>Мефодий</t>
  </si>
  <si>
    <t>Милан</t>
  </si>
  <si>
    <t>Милица</t>
  </si>
  <si>
    <t>Милован</t>
  </si>
  <si>
    <t>Мина</t>
  </si>
  <si>
    <t>Мирон</t>
  </si>
  <si>
    <t>Миронова</t>
  </si>
  <si>
    <t>Михей</t>
  </si>
  <si>
    <t>Модест</t>
  </si>
  <si>
    <t>Назар</t>
  </si>
  <si>
    <t>Наина</t>
  </si>
  <si>
    <t>Наталья</t>
  </si>
  <si>
    <t>Натан</t>
  </si>
  <si>
    <t>Никанор</t>
  </si>
  <si>
    <t>Никита</t>
  </si>
  <si>
    <t>Никифор</t>
  </si>
  <si>
    <t>Никодим</t>
  </si>
  <si>
    <t>Николай</t>
  </si>
  <si>
    <t>Нина</t>
  </si>
  <si>
    <t>Нинель</t>
  </si>
  <si>
    <t>Оксана</t>
  </si>
  <si>
    <t>Октябрина</t>
  </si>
  <si>
    <t>Олимпиада</t>
  </si>
  <si>
    <t>Олимпий</t>
  </si>
  <si>
    <t>Ольга</t>
  </si>
  <si>
    <t>Орест</t>
  </si>
  <si>
    <t>Павел</t>
  </si>
  <si>
    <t>Панкратий</t>
  </si>
  <si>
    <t>Пантелеймон</t>
  </si>
  <si>
    <t>Панфил</t>
  </si>
  <si>
    <t>Пахом</t>
  </si>
  <si>
    <t>Пелагея</t>
  </si>
  <si>
    <t>Платон</t>
  </si>
  <si>
    <t>Полина</t>
  </si>
  <si>
    <t>Потап</t>
  </si>
  <si>
    <t>Прасковья</t>
  </si>
  <si>
    <t>Прокл</t>
  </si>
  <si>
    <t>Радислав</t>
  </si>
  <si>
    <t>Раиса</t>
  </si>
  <si>
    <t>Ратибор</t>
  </si>
  <si>
    <t>Ратмир</t>
  </si>
  <si>
    <t>Регина</t>
  </si>
  <si>
    <t>Родион</t>
  </si>
  <si>
    <t>Ростислав</t>
  </si>
  <si>
    <t>Рубен</t>
  </si>
  <si>
    <t>Рыбаков</t>
  </si>
  <si>
    <t>Савватий</t>
  </si>
  <si>
    <t>Савельев</t>
  </si>
  <si>
    <t>Самуил</t>
  </si>
  <si>
    <t>Светлана</t>
  </si>
  <si>
    <t>Светозар</t>
  </si>
  <si>
    <t>Севастьян</t>
  </si>
  <si>
    <t>Серафим</t>
  </si>
  <si>
    <t>Сидор</t>
  </si>
  <si>
    <t>Сила</t>
  </si>
  <si>
    <t>Силантий</t>
  </si>
  <si>
    <t>Симон</t>
  </si>
  <si>
    <t>Синклитикия</t>
  </si>
  <si>
    <t>Сократ</t>
  </si>
  <si>
    <t>София</t>
  </si>
  <si>
    <t>Софон</t>
  </si>
  <si>
    <t>Спиридон</t>
  </si>
  <si>
    <t>Станислав</t>
  </si>
  <si>
    <t>Степан</t>
  </si>
  <si>
    <t>Степанова</t>
  </si>
  <si>
    <t>Таисия</t>
  </si>
  <si>
    <t>Тамара</t>
  </si>
  <si>
    <t>Татьяна</t>
  </si>
  <si>
    <t>Творимир</t>
  </si>
  <si>
    <t>Тимур</t>
  </si>
  <si>
    <t>Ульяна</t>
  </si>
  <si>
    <t>Фадей</t>
  </si>
  <si>
    <t>Фаина</t>
  </si>
  <si>
    <t>Феврония</t>
  </si>
  <si>
    <t>Фёкла</t>
  </si>
  <si>
    <t>Феликс</t>
  </si>
  <si>
    <t>Феофан</t>
  </si>
  <si>
    <t>Филимон</t>
  </si>
  <si>
    <t>Филипп</t>
  </si>
  <si>
    <t>Флорентин</t>
  </si>
  <si>
    <t>Фома</t>
  </si>
  <si>
    <t>Фрол</t>
  </si>
  <si>
    <t>Харлампий</t>
  </si>
  <si>
    <t>Христофор</t>
  </si>
  <si>
    <t>Чеслав</t>
  </si>
  <si>
    <t>Эдуард</t>
  </si>
  <si>
    <t>Элеонора</t>
  </si>
  <si>
    <t>Эмилия</t>
  </si>
  <si>
    <t>Эммануил</t>
  </si>
  <si>
    <t>Эраст</t>
  </si>
  <si>
    <t>Эрнест</t>
  </si>
  <si>
    <t>Юлия</t>
  </si>
  <si>
    <t>Юрий</t>
  </si>
  <si>
    <t>Якуб</t>
  </si>
  <si>
    <t>Януарий</t>
  </si>
  <si>
    <t>Ярослав</t>
  </si>
  <si>
    <t>Количество по полю Имя</t>
  </si>
  <si>
    <t>Чаще всего стречаются имена Алевтина, Феврония, Василиса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</si>
</sst>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"/>
    <numFmt numFmtId="165" formatCode="0.0"/>
    <numFmt numFmtId="166" formatCode="_-* #,##0\ [$₽-419]_-;\-* #,##0\ [$₽-419]_-;_-* &quot;-&quot;??\ [$₽-419]_-;_-@_-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4" fillId="0" borderId="2" xfId="1" applyFont="1" applyBorder="1"/>
    <xf numFmtId="0" fontId="4" fillId="0" borderId="0" xfId="1" applyFont="1"/>
    <xf numFmtId="0" fontId="1" fillId="0" borderId="3" xfId="1" applyBorder="1"/>
    <xf numFmtId="0" fontId="1" fillId="0" borderId="4" xfId="1" applyBorder="1"/>
    <xf numFmtId="0" fontId="1" fillId="0" borderId="0" xfId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4" fillId="0" borderId="8" xfId="1" applyFont="1" applyBorder="1"/>
    <xf numFmtId="0" fontId="1" fillId="0" borderId="5" xfId="1" applyBorder="1"/>
    <xf numFmtId="0" fontId="4" fillId="0" borderId="10" xfId="1" applyFont="1" applyBorder="1"/>
    <xf numFmtId="0" fontId="5" fillId="0" borderId="9" xfId="1" applyFont="1" applyBorder="1"/>
    <xf numFmtId="0" fontId="6" fillId="0" borderId="0" xfId="1" applyFont="1"/>
    <xf numFmtId="0" fontId="2" fillId="0" borderId="1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2" xfId="0" applyFont="1" applyBorder="1" applyAlignment="1">
      <alignment horizontal="center" vertical="top"/>
    </xf>
    <xf numFmtId="2" fontId="2" fillId="0" borderId="12" xfId="0" applyNumberFormat="1" applyFont="1" applyBorder="1" applyAlignment="1">
      <alignment horizontal="center" vertical="top"/>
    </xf>
    <xf numFmtId="2" fontId="0" fillId="0" borderId="0" xfId="0" applyNumberFormat="1"/>
    <xf numFmtId="165" fontId="0" fillId="0" borderId="0" xfId="0" applyNumberFormat="1"/>
    <xf numFmtId="9" fontId="2" fillId="0" borderId="12" xfId="3" applyFont="1" applyBorder="1" applyAlignment="1">
      <alignment horizontal="center" vertical="top"/>
    </xf>
    <xf numFmtId="9" fontId="0" fillId="0" borderId="0" xfId="3" applyFont="1"/>
    <xf numFmtId="9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67" fontId="2" fillId="0" borderId="12" xfId="2" applyNumberFormat="1" applyFont="1" applyBorder="1" applyAlignment="1">
      <alignment horizontal="center" vertical="top"/>
    </xf>
    <xf numFmtId="167" fontId="0" fillId="0" borderId="0" xfId="2" applyNumberFormat="1" applyFont="1"/>
    <xf numFmtId="49" fontId="0" fillId="0" borderId="0" xfId="0" applyNumberFormat="1"/>
    <xf numFmtId="14" fontId="2" fillId="0" borderId="12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1" xfId="1" applyBorder="1" applyAlignment="1">
      <alignment vertical="top" wrapText="1"/>
    </xf>
    <xf numFmtId="0" fontId="1" fillId="0" borderId="5" xfId="1" applyBorder="1" applyAlignment="1">
      <alignment vertical="top"/>
    </xf>
    <xf numFmtId="0" fontId="1" fillId="0" borderId="6" xfId="1" applyBorder="1" applyAlignment="1">
      <alignment vertical="top"/>
    </xf>
    <xf numFmtId="0" fontId="1" fillId="0" borderId="7" xfId="1" applyBorder="1" applyAlignment="1">
      <alignment vertical="top"/>
    </xf>
    <xf numFmtId="0" fontId="9" fillId="3" borderId="1" xfId="0" applyFont="1" applyFill="1" applyBorder="1" applyAlignment="1">
      <alignment horizontal="center" vertical="top"/>
    </xf>
    <xf numFmtId="0" fontId="0" fillId="4" borderId="13" xfId="0" applyFill="1" applyBorder="1"/>
    <xf numFmtId="0" fontId="0" fillId="2" borderId="13" xfId="0" applyFill="1" applyBorder="1"/>
    <xf numFmtId="0" fontId="0" fillId="2" borderId="14" xfId="0" applyFill="1" applyBorder="1"/>
    <xf numFmtId="0" fontId="1" fillId="0" borderId="0" xfId="1" applyAlignment="1">
      <alignment horizontal="center"/>
    </xf>
  </cellXfs>
  <cellStyles count="4">
    <cellStyle name="Обычный" xfId="0" builtinId="0"/>
    <cellStyle name="Обычный 2" xfId="1" xr:uid="{D158504E-E19E-2F44-9F33-CFD7D832B8EE}"/>
    <cellStyle name="Процентный" xfId="3" builtinId="5"/>
    <cellStyle name="Финансовый" xfId="2" builtinId="3"/>
  </cellStyles>
  <dxfs count="30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_-* #,##0\ [$₽-419]_-;\-* #,##0\ [$₽-419]_-;_-* &quot;-&quot;??\ [$₽-419]_-;_-@_-"/>
    </dxf>
    <dxf>
      <numFmt numFmtId="166" formatCode="_-* #,##0\ [$₽-419]_-;\-* #,##0\ [$₽-419]_-;_-* &quot;-&quot;??\ [$₽-419]_-;_-@_-"/>
    </dxf>
    <dxf>
      <alignment wrapText="1"/>
    </dxf>
    <dxf>
      <numFmt numFmtId="0" formatCode="General"/>
    </dxf>
    <dxf>
      <numFmt numFmtId="0" formatCode="General"/>
    </dxf>
    <dxf>
      <numFmt numFmtId="19" formatCode="dd/mm/yyyy"/>
    </dxf>
    <dxf>
      <numFmt numFmtId="167" formatCode="_-* #,##0.0_-;\-* #,##0.0_-;_-* &quot;-&quot;??_-;_-@_-"/>
    </dxf>
    <dxf>
      <numFmt numFmtId="168" formatCode="_-* #,##0.0\ _₽_-;\-* #,##0.0\ _₽_-;_-* &quot;-&quot;?\ _₽_-;_-@_-"/>
    </dxf>
    <dxf>
      <numFmt numFmtId="0" formatCode="General"/>
    </dxf>
    <dxf>
      <numFmt numFmtId="165" formatCode="0.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сетей.xlsx]Продажи товаров!Сводная таблица1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товаров'!$B$3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товаров'!$A$4:$A$22</c:f>
              <c:multiLvlStrCache>
                <c:ptCount val="16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товаров'!$B$4:$B$22</c:f>
              <c:numCache>
                <c:formatCode>General</c:formatCode>
                <c:ptCount val="16"/>
                <c:pt idx="0">
                  <c:v>88</c:v>
                </c:pt>
                <c:pt idx="1">
                  <c:v>534</c:v>
                </c:pt>
                <c:pt idx="2">
                  <c:v>6221</c:v>
                </c:pt>
                <c:pt idx="3">
                  <c:v>1240</c:v>
                </c:pt>
                <c:pt idx="4">
                  <c:v>5511</c:v>
                </c:pt>
                <c:pt idx="5">
                  <c:v>3074</c:v>
                </c:pt>
                <c:pt idx="6">
                  <c:v>1946</c:v>
                </c:pt>
                <c:pt idx="7">
                  <c:v>1310</c:v>
                </c:pt>
                <c:pt idx="8">
                  <c:v>934</c:v>
                </c:pt>
                <c:pt idx="9">
                  <c:v>4577</c:v>
                </c:pt>
                <c:pt idx="10">
                  <c:v>183</c:v>
                </c:pt>
                <c:pt idx="11">
                  <c:v>1944</c:v>
                </c:pt>
                <c:pt idx="12">
                  <c:v>2362</c:v>
                </c:pt>
                <c:pt idx="13">
                  <c:v>4272</c:v>
                </c:pt>
                <c:pt idx="14">
                  <c:v>3576</c:v>
                </c:pt>
                <c:pt idx="15">
                  <c:v>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C-401E-97CE-043849E2FB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7098447"/>
        <c:axId val="493568191"/>
      </c:lineChart>
      <c:catAx>
        <c:axId val="4870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568191"/>
        <c:crosses val="autoZero"/>
        <c:auto val="1"/>
        <c:lblAlgn val="ctr"/>
        <c:lblOffset val="100"/>
        <c:noMultiLvlLbl val="0"/>
      </c:catAx>
      <c:valAx>
        <c:axId val="49356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9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сетей.xlsx]Выгода клиентам!Сводная таблица2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2-4907-9EF1-8E8985023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966911"/>
        <c:axId val="399967391"/>
      </c:barChart>
      <c:catAx>
        <c:axId val="39996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967391"/>
        <c:crosses val="autoZero"/>
        <c:auto val="1"/>
        <c:lblAlgn val="ctr"/>
        <c:lblOffset val="100"/>
        <c:noMultiLvlLbl val="0"/>
      </c:catAx>
      <c:valAx>
        <c:axId val="3999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966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сетей.xlsx]Суммарные продажи по магазинам!Сводная таблица3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en-US" baseline="0"/>
              <a:t> </a:t>
            </a:r>
            <a:r>
              <a:rPr lang="ru-RU" baseline="0"/>
              <a:t>по продуктовым сетям</a:t>
            </a:r>
          </a:p>
        </c:rich>
      </c:tx>
      <c:layout>
        <c:manualLayout>
          <c:xMode val="edge"/>
          <c:yMode val="edge"/>
          <c:x val="0.47725305309990607"/>
          <c:y val="8.18397700287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_-* #\ ##0\ [$₽-419]_-;\-* #\ ##0\ [$₽-419]_-;_-* "-"??\ [$₽-419]_-;_-@_-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190-BAF3-CF0C05C5B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883855"/>
        <c:axId val="658885775"/>
      </c:barChart>
      <c:catAx>
        <c:axId val="65888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885775"/>
        <c:crosses val="autoZero"/>
        <c:auto val="1"/>
        <c:lblAlgn val="ctr"/>
        <c:lblOffset val="100"/>
        <c:noMultiLvlLbl val="0"/>
      </c:catAx>
      <c:valAx>
        <c:axId val="658885775"/>
        <c:scaling>
          <c:orientation val="minMax"/>
        </c:scaling>
        <c:delete val="0"/>
        <c:axPos val="l"/>
        <c:numFmt formatCode="_-* #\ ##0\ [$₽-419]_-;\-* #\ ##0\ [$₽-419]_-;_-* &quot;-&quot;??\ [$₽-419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88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сетей.xlsx]Суммарные продажи по категориям!Сводная таблица5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Топ-категории по выручке</a:t>
            </a:r>
            <a:endParaRPr lang="ru-RU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Соль</c:v>
                </c:pt>
                <c:pt idx="6">
                  <c:v>Сыр</c:v>
                </c:pt>
                <c:pt idx="7">
                  <c:v>Сахар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66945</c:v>
                </c:pt>
                <c:pt idx="1">
                  <c:v>48797</c:v>
                </c:pt>
                <c:pt idx="2">
                  <c:v>47223</c:v>
                </c:pt>
                <c:pt idx="3">
                  <c:v>45862</c:v>
                </c:pt>
                <c:pt idx="4">
                  <c:v>44539</c:v>
                </c:pt>
                <c:pt idx="5">
                  <c:v>44468</c:v>
                </c:pt>
                <c:pt idx="6">
                  <c:v>44265</c:v>
                </c:pt>
                <c:pt idx="7">
                  <c:v>44151</c:v>
                </c:pt>
                <c:pt idx="8">
                  <c:v>43626</c:v>
                </c:pt>
                <c:pt idx="9">
                  <c:v>42352</c:v>
                </c:pt>
                <c:pt idx="10">
                  <c:v>42165</c:v>
                </c:pt>
                <c:pt idx="11">
                  <c:v>41745</c:v>
                </c:pt>
                <c:pt idx="12">
                  <c:v>39632</c:v>
                </c:pt>
                <c:pt idx="13">
                  <c:v>33802</c:v>
                </c:pt>
                <c:pt idx="14">
                  <c:v>32430</c:v>
                </c:pt>
                <c:pt idx="15">
                  <c:v>31147</c:v>
                </c:pt>
                <c:pt idx="16">
                  <c:v>30543</c:v>
                </c:pt>
                <c:pt idx="17">
                  <c:v>28053</c:v>
                </c:pt>
                <c:pt idx="18">
                  <c:v>27375</c:v>
                </c:pt>
                <c:pt idx="19">
                  <c:v>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D-4AD8-8250-F79DEACF8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509888"/>
        <c:axId val="1322880432"/>
      </c:barChart>
      <c:catAx>
        <c:axId val="13225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80432"/>
        <c:crosses val="autoZero"/>
        <c:auto val="1"/>
        <c:lblAlgn val="ctr"/>
        <c:lblOffset val="100"/>
        <c:noMultiLvlLbl val="0"/>
      </c:catAx>
      <c:valAx>
        <c:axId val="13228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5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сетей.xlsx]Среднее количесво по категориям!Сводная таблица4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Топ категорий по частоте покупок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'Среднее количесво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'Среднее количесво по категориям'!$A$4:$A$24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'Среднее количесво по категориям'!$B$4:$B$24</c:f>
              <c:numCache>
                <c:formatCode>0.00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C-418C-BA72-6CF798376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791696"/>
        <c:axId val="1322792176"/>
      </c:barChart>
      <c:catAx>
        <c:axId val="13227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792176"/>
        <c:crosses val="autoZero"/>
        <c:auto val="1"/>
        <c:lblAlgn val="ctr"/>
        <c:lblOffset val="100"/>
        <c:noMultiLvlLbl val="0"/>
      </c:catAx>
      <c:valAx>
        <c:axId val="13227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79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сетей.xlsx]Частотность имен!Сводная таблица14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Частотность имен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'Частотность имен'!$A$4:$A$240</c:f>
              <c:strCache>
                <c:ptCount val="236"/>
                <c:pt idx="0">
                  <c:v>Алевтина</c:v>
                </c:pt>
                <c:pt idx="1">
                  <c:v>Феврония</c:v>
                </c:pt>
                <c:pt idx="2">
                  <c:v>Василиса</c:v>
                </c:pt>
                <c:pt idx="3">
                  <c:v>Любовь</c:v>
                </c:pt>
                <c:pt idx="4">
                  <c:v>Эмилия</c:v>
                </c:pt>
                <c:pt idx="5">
                  <c:v>Юлия</c:v>
                </c:pt>
                <c:pt idx="6">
                  <c:v>Марфа</c:v>
                </c:pt>
                <c:pt idx="7">
                  <c:v>Вера</c:v>
                </c:pt>
                <c:pt idx="8">
                  <c:v>Жанна</c:v>
                </c:pt>
                <c:pt idx="9">
                  <c:v>Лора</c:v>
                </c:pt>
                <c:pt idx="10">
                  <c:v>Татьяна</c:v>
                </c:pt>
                <c:pt idx="11">
                  <c:v>Любомир</c:v>
                </c:pt>
                <c:pt idx="12">
                  <c:v>Анастасия</c:v>
                </c:pt>
                <c:pt idx="13">
                  <c:v>Валентина</c:v>
                </c:pt>
                <c:pt idx="14">
                  <c:v>Зоя</c:v>
                </c:pt>
                <c:pt idx="15">
                  <c:v>Александра</c:v>
                </c:pt>
                <c:pt idx="16">
                  <c:v>Ираида</c:v>
                </c:pt>
                <c:pt idx="17">
                  <c:v>Алла</c:v>
                </c:pt>
                <c:pt idx="18">
                  <c:v>Элеонора</c:v>
                </c:pt>
                <c:pt idx="19">
                  <c:v>Вероника</c:v>
                </c:pt>
                <c:pt idx="20">
                  <c:v>Анжела</c:v>
                </c:pt>
                <c:pt idx="21">
                  <c:v>Ия</c:v>
                </c:pt>
                <c:pt idx="22">
                  <c:v>Прасковья</c:v>
                </c:pt>
                <c:pt idx="23">
                  <c:v>Амвросий</c:v>
                </c:pt>
                <c:pt idx="24">
                  <c:v>Светлана</c:v>
                </c:pt>
                <c:pt idx="25">
                  <c:v>Евгения</c:v>
                </c:pt>
                <c:pt idx="26">
                  <c:v>Никодим</c:v>
                </c:pt>
                <c:pt idx="27">
                  <c:v>Евдокия</c:v>
                </c:pt>
                <c:pt idx="28">
                  <c:v>Регина</c:v>
                </c:pt>
                <c:pt idx="29">
                  <c:v>Евпраксия</c:v>
                </c:pt>
                <c:pt idx="30">
                  <c:v>Таисия</c:v>
                </c:pt>
                <c:pt idx="31">
                  <c:v>Евфросиния</c:v>
                </c:pt>
                <c:pt idx="32">
                  <c:v>Чеслав</c:v>
                </c:pt>
                <c:pt idx="33">
                  <c:v>Лука</c:v>
                </c:pt>
                <c:pt idx="34">
                  <c:v>Полина</c:v>
                </c:pt>
                <c:pt idx="35">
                  <c:v>Елизавета</c:v>
                </c:pt>
                <c:pt idx="36">
                  <c:v>Раиса</c:v>
                </c:pt>
                <c:pt idx="37">
                  <c:v>Алина</c:v>
                </c:pt>
                <c:pt idx="38">
                  <c:v>Родион</c:v>
                </c:pt>
                <c:pt idx="39">
                  <c:v>Людмила</c:v>
                </c:pt>
                <c:pt idx="40">
                  <c:v>Сократ</c:v>
                </c:pt>
                <c:pt idx="41">
                  <c:v>Майя</c:v>
                </c:pt>
                <c:pt idx="42">
                  <c:v>Иванна</c:v>
                </c:pt>
                <c:pt idx="43">
                  <c:v>Маргарита</c:v>
                </c:pt>
                <c:pt idx="44">
                  <c:v>Фома</c:v>
                </c:pt>
                <c:pt idx="45">
                  <c:v>Агата</c:v>
                </c:pt>
                <c:pt idx="46">
                  <c:v>Ирина</c:v>
                </c:pt>
                <c:pt idx="47">
                  <c:v>Никита</c:v>
                </c:pt>
                <c:pt idx="48">
                  <c:v>Эммануил</c:v>
                </c:pt>
                <c:pt idx="49">
                  <c:v>Кира</c:v>
                </c:pt>
                <c:pt idx="50">
                  <c:v>Клавдия</c:v>
                </c:pt>
                <c:pt idx="51">
                  <c:v>Ксения</c:v>
                </c:pt>
                <c:pt idx="52">
                  <c:v>Радислав</c:v>
                </c:pt>
                <c:pt idx="53">
                  <c:v>Вадим</c:v>
                </c:pt>
                <c:pt idx="54">
                  <c:v>Еремей</c:v>
                </c:pt>
                <c:pt idx="55">
                  <c:v>Адриан</c:v>
                </c:pt>
                <c:pt idx="56">
                  <c:v>Ипполит</c:v>
                </c:pt>
                <c:pt idx="57">
                  <c:v>Агафья</c:v>
                </c:pt>
                <c:pt idx="58">
                  <c:v>Арсений</c:v>
                </c:pt>
                <c:pt idx="59">
                  <c:v>Ярослав</c:v>
                </c:pt>
                <c:pt idx="60">
                  <c:v>Боян</c:v>
                </c:pt>
                <c:pt idx="61">
                  <c:v>Лариса</c:v>
                </c:pt>
                <c:pt idx="62">
                  <c:v>Аггей</c:v>
                </c:pt>
                <c:pt idx="63">
                  <c:v>Леон</c:v>
                </c:pt>
                <c:pt idx="64">
                  <c:v>Капитон</c:v>
                </c:pt>
                <c:pt idx="65">
                  <c:v>Лидия</c:v>
                </c:pt>
                <c:pt idx="66">
                  <c:v>Ратибор</c:v>
                </c:pt>
                <c:pt idx="67">
                  <c:v>Виктор</c:v>
                </c:pt>
                <c:pt idx="68">
                  <c:v>Светозар</c:v>
                </c:pt>
                <c:pt idx="69">
                  <c:v>Виктория</c:v>
                </c:pt>
                <c:pt idx="70">
                  <c:v>Спиридон</c:v>
                </c:pt>
                <c:pt idx="71">
                  <c:v>Влас</c:v>
                </c:pt>
                <c:pt idx="72">
                  <c:v>Творимир</c:v>
                </c:pt>
                <c:pt idx="73">
                  <c:v>Галина</c:v>
                </c:pt>
                <c:pt idx="74">
                  <c:v>Феофан</c:v>
                </c:pt>
                <c:pt idx="75">
                  <c:v>Гостомысл</c:v>
                </c:pt>
                <c:pt idx="76">
                  <c:v>Христофор</c:v>
                </c:pt>
                <c:pt idx="77">
                  <c:v>Давыд</c:v>
                </c:pt>
                <c:pt idx="78">
                  <c:v>Валерьян</c:v>
                </c:pt>
                <c:pt idx="79">
                  <c:v>Дарья</c:v>
                </c:pt>
                <c:pt idx="80">
                  <c:v>Антонина</c:v>
                </c:pt>
                <c:pt idx="81">
                  <c:v>Марина</c:v>
                </c:pt>
                <c:pt idx="82">
                  <c:v>Екатерина</c:v>
                </c:pt>
                <c:pt idx="83">
                  <c:v>Мария</c:v>
                </c:pt>
                <c:pt idx="84">
                  <c:v>Елена</c:v>
                </c:pt>
                <c:pt idx="85">
                  <c:v>Демид</c:v>
                </c:pt>
                <c:pt idx="86">
                  <c:v>Елизар</c:v>
                </c:pt>
                <c:pt idx="87">
                  <c:v>Матвей</c:v>
                </c:pt>
                <c:pt idx="88">
                  <c:v>Сила</c:v>
                </c:pt>
                <c:pt idx="89">
                  <c:v>Милован</c:v>
                </c:pt>
                <c:pt idx="90">
                  <c:v>Софон</c:v>
                </c:pt>
                <c:pt idx="91">
                  <c:v>Наина</c:v>
                </c:pt>
                <c:pt idx="92">
                  <c:v>Станислав</c:v>
                </c:pt>
                <c:pt idx="93">
                  <c:v>Анжелика</c:v>
                </c:pt>
                <c:pt idx="94">
                  <c:v>Захар</c:v>
                </c:pt>
                <c:pt idx="95">
                  <c:v>Анна</c:v>
                </c:pt>
                <c:pt idx="96">
                  <c:v>Ульяна</c:v>
                </c:pt>
                <c:pt idx="97">
                  <c:v>Николай</c:v>
                </c:pt>
                <c:pt idx="98">
                  <c:v>Фёкла</c:v>
                </c:pt>
                <c:pt idx="99">
                  <c:v>Нинель</c:v>
                </c:pt>
                <c:pt idx="100">
                  <c:v>Филимон</c:v>
                </c:pt>
                <c:pt idx="101">
                  <c:v>Олимпий</c:v>
                </c:pt>
                <c:pt idx="102">
                  <c:v>Харлампий</c:v>
                </c:pt>
                <c:pt idx="103">
                  <c:v>Ольга</c:v>
                </c:pt>
                <c:pt idx="104">
                  <c:v>Измаил</c:v>
                </c:pt>
                <c:pt idx="105">
                  <c:v>Орест</c:v>
                </c:pt>
                <c:pt idx="106">
                  <c:v>Валерия</c:v>
                </c:pt>
                <c:pt idx="107">
                  <c:v>Павел</c:v>
                </c:pt>
                <c:pt idx="108">
                  <c:v>Амос</c:v>
                </c:pt>
                <c:pt idx="109">
                  <c:v>Пелагея</c:v>
                </c:pt>
                <c:pt idx="110">
                  <c:v>Антип</c:v>
                </c:pt>
                <c:pt idx="111">
                  <c:v>Лев</c:v>
                </c:pt>
                <c:pt idx="112">
                  <c:v>Ефрем</c:v>
                </c:pt>
                <c:pt idx="113">
                  <c:v>Ираклий</c:v>
                </c:pt>
                <c:pt idx="114">
                  <c:v>Севастьян</c:v>
                </c:pt>
                <c:pt idx="115">
                  <c:v>Кузьма</c:v>
                </c:pt>
                <c:pt idx="116">
                  <c:v>Галактион</c:v>
                </c:pt>
                <c:pt idx="117">
                  <c:v>Лавр</c:v>
                </c:pt>
                <c:pt idx="118">
                  <c:v>Ростислав</c:v>
                </c:pt>
                <c:pt idx="119">
                  <c:v>Ладимир</c:v>
                </c:pt>
                <c:pt idx="120">
                  <c:v>София</c:v>
                </c:pt>
                <c:pt idx="121">
                  <c:v>Геннадий</c:v>
                </c:pt>
                <c:pt idx="122">
                  <c:v>Феликс</c:v>
                </c:pt>
                <c:pt idx="123">
                  <c:v>Август</c:v>
                </c:pt>
                <c:pt idx="124">
                  <c:v>Копылова</c:v>
                </c:pt>
                <c:pt idx="125">
                  <c:v>Герман</c:v>
                </c:pt>
                <c:pt idx="126">
                  <c:v>Зинаида</c:v>
                </c:pt>
                <c:pt idx="127">
                  <c:v>Леонид</c:v>
                </c:pt>
                <c:pt idx="128">
                  <c:v>Савельев</c:v>
                </c:pt>
                <c:pt idx="129">
                  <c:v>Глафира</c:v>
                </c:pt>
                <c:pt idx="130">
                  <c:v>Силантий</c:v>
                </c:pt>
                <c:pt idx="131">
                  <c:v>Лонгин</c:v>
                </c:pt>
                <c:pt idx="132">
                  <c:v>Степан</c:v>
                </c:pt>
                <c:pt idx="133">
                  <c:v>Глеб</c:v>
                </c:pt>
                <c:pt idx="134">
                  <c:v>Фадей</c:v>
                </c:pt>
                <c:pt idx="135">
                  <c:v>Гордей</c:v>
                </c:pt>
                <c:pt idx="136">
                  <c:v>Флорентин</c:v>
                </c:pt>
                <c:pt idx="137">
                  <c:v>Лукия</c:v>
                </c:pt>
                <c:pt idx="138">
                  <c:v>Константин</c:v>
                </c:pt>
                <c:pt idx="139">
                  <c:v>Любим</c:v>
                </c:pt>
                <c:pt idx="140">
                  <c:v>Корнил</c:v>
                </c:pt>
                <c:pt idx="141">
                  <c:v>Аполлинарий</c:v>
                </c:pt>
                <c:pt idx="142">
                  <c:v>Александр</c:v>
                </c:pt>
                <c:pt idx="143">
                  <c:v>Арефий</c:v>
                </c:pt>
                <c:pt idx="144">
                  <c:v>Зосима</c:v>
                </c:pt>
                <c:pt idx="145">
                  <c:v>Любосмысл</c:v>
                </c:pt>
                <c:pt idx="146">
                  <c:v>Рыбаков</c:v>
                </c:pt>
                <c:pt idx="147">
                  <c:v>Аристарх</c:v>
                </c:pt>
                <c:pt idx="148">
                  <c:v>Зуев</c:v>
                </c:pt>
                <c:pt idx="149">
                  <c:v>Дементий</c:v>
                </c:pt>
                <c:pt idx="150">
                  <c:v>Сидор</c:v>
                </c:pt>
                <c:pt idx="151">
                  <c:v>Максим</c:v>
                </c:pt>
                <c:pt idx="152">
                  <c:v>Синклитикия</c:v>
                </c:pt>
                <c:pt idx="153">
                  <c:v>Автоном</c:v>
                </c:pt>
                <c:pt idx="154">
                  <c:v>Ипатий</c:v>
                </c:pt>
                <c:pt idx="155">
                  <c:v>Дмитрий</c:v>
                </c:pt>
                <c:pt idx="156">
                  <c:v>Алексей</c:v>
                </c:pt>
                <c:pt idx="157">
                  <c:v>Бажен</c:v>
                </c:pt>
                <c:pt idx="158">
                  <c:v>Тимур</c:v>
                </c:pt>
                <c:pt idx="159">
                  <c:v>Марк</c:v>
                </c:pt>
                <c:pt idx="160">
                  <c:v>Воробьева</c:v>
                </c:pt>
                <c:pt idx="161">
                  <c:v>Мартын</c:v>
                </c:pt>
                <c:pt idx="162">
                  <c:v>Касьян</c:v>
                </c:pt>
                <c:pt idx="163">
                  <c:v>Мартьян</c:v>
                </c:pt>
                <c:pt idx="164">
                  <c:v>Фрол</c:v>
                </c:pt>
                <c:pt idx="165">
                  <c:v>Евграф</c:v>
                </c:pt>
                <c:pt idx="166">
                  <c:v>Эдуард</c:v>
                </c:pt>
                <c:pt idx="167">
                  <c:v>Богдан</c:v>
                </c:pt>
                <c:pt idx="168">
                  <c:v>Эраст</c:v>
                </c:pt>
                <c:pt idx="169">
                  <c:v>Мефодий</c:v>
                </c:pt>
                <c:pt idx="170">
                  <c:v>Якуб</c:v>
                </c:pt>
                <c:pt idx="171">
                  <c:v>Милан</c:v>
                </c:pt>
                <c:pt idx="172">
                  <c:v>Потап</c:v>
                </c:pt>
                <c:pt idx="173">
                  <c:v>Милица</c:v>
                </c:pt>
                <c:pt idx="174">
                  <c:v>Прокл</c:v>
                </c:pt>
                <c:pt idx="175">
                  <c:v>Борис</c:v>
                </c:pt>
                <c:pt idx="176">
                  <c:v>Велимир</c:v>
                </c:pt>
                <c:pt idx="177">
                  <c:v>Мина</c:v>
                </c:pt>
                <c:pt idx="178">
                  <c:v>Ратмир</c:v>
                </c:pt>
                <c:pt idx="179">
                  <c:v>Мирон</c:v>
                </c:pt>
                <c:pt idx="180">
                  <c:v>Авдей</c:v>
                </c:pt>
                <c:pt idx="181">
                  <c:v>Миронова</c:v>
                </c:pt>
                <c:pt idx="182">
                  <c:v>Рубен</c:v>
                </c:pt>
                <c:pt idx="183">
                  <c:v>Михей</c:v>
                </c:pt>
                <c:pt idx="184">
                  <c:v>Савватий</c:v>
                </c:pt>
                <c:pt idx="185">
                  <c:v>Модест</c:v>
                </c:pt>
                <c:pt idx="186">
                  <c:v>Самуил</c:v>
                </c:pt>
                <c:pt idx="187">
                  <c:v>Назар</c:v>
                </c:pt>
                <c:pt idx="188">
                  <c:v>Аникей</c:v>
                </c:pt>
                <c:pt idx="189">
                  <c:v>Евсей</c:v>
                </c:pt>
                <c:pt idx="190">
                  <c:v>Серафим</c:v>
                </c:pt>
                <c:pt idx="191">
                  <c:v>Наталья</c:v>
                </c:pt>
                <c:pt idx="192">
                  <c:v>Игорь</c:v>
                </c:pt>
                <c:pt idx="193">
                  <c:v>Натан</c:v>
                </c:pt>
                <c:pt idx="194">
                  <c:v>Симон</c:v>
                </c:pt>
                <c:pt idx="195">
                  <c:v>Никанор</c:v>
                </c:pt>
                <c:pt idx="196">
                  <c:v>Викентий</c:v>
                </c:pt>
                <c:pt idx="197">
                  <c:v>Евстафий</c:v>
                </c:pt>
                <c:pt idx="198">
                  <c:v>Ипат</c:v>
                </c:pt>
                <c:pt idx="199">
                  <c:v>Никифор</c:v>
                </c:pt>
                <c:pt idx="200">
                  <c:v>Анисим</c:v>
                </c:pt>
                <c:pt idx="201">
                  <c:v>Борислав</c:v>
                </c:pt>
                <c:pt idx="202">
                  <c:v>Степанова</c:v>
                </c:pt>
                <c:pt idx="203">
                  <c:v>Акулина</c:v>
                </c:pt>
                <c:pt idx="204">
                  <c:v>Тамара</c:v>
                </c:pt>
                <c:pt idx="205">
                  <c:v>Нина</c:v>
                </c:pt>
                <c:pt idx="206">
                  <c:v>Владилен</c:v>
                </c:pt>
                <c:pt idx="207">
                  <c:v>Агап</c:v>
                </c:pt>
                <c:pt idx="208">
                  <c:v>Аверкий</c:v>
                </c:pt>
                <c:pt idx="209">
                  <c:v>Оксана</c:v>
                </c:pt>
                <c:pt idx="210">
                  <c:v>Фаина</c:v>
                </c:pt>
                <c:pt idx="211">
                  <c:v>Октябрина</c:v>
                </c:pt>
                <c:pt idx="212">
                  <c:v>Карл</c:v>
                </c:pt>
                <c:pt idx="213">
                  <c:v>Олимпиада</c:v>
                </c:pt>
                <c:pt idx="214">
                  <c:v>Карп</c:v>
                </c:pt>
                <c:pt idx="215">
                  <c:v>Ангелина</c:v>
                </c:pt>
                <c:pt idx="216">
                  <c:v>Филипп</c:v>
                </c:pt>
                <c:pt idx="217">
                  <c:v>Андрон</c:v>
                </c:pt>
                <c:pt idx="218">
                  <c:v>Кир</c:v>
                </c:pt>
                <c:pt idx="219">
                  <c:v>Елисей</c:v>
                </c:pt>
                <c:pt idx="220">
                  <c:v>Всеслав</c:v>
                </c:pt>
                <c:pt idx="221">
                  <c:v>Епифан</c:v>
                </c:pt>
                <c:pt idx="222">
                  <c:v>Климент</c:v>
                </c:pt>
                <c:pt idx="223">
                  <c:v>Панкратий</c:v>
                </c:pt>
                <c:pt idx="224">
                  <c:v>Конон</c:v>
                </c:pt>
                <c:pt idx="225">
                  <c:v>Пантелеймон</c:v>
                </c:pt>
                <c:pt idx="226">
                  <c:v>Копылов</c:v>
                </c:pt>
                <c:pt idx="227">
                  <c:v>Панфил</c:v>
                </c:pt>
                <c:pt idx="228">
                  <c:v>Эрнест</c:v>
                </c:pt>
                <c:pt idx="229">
                  <c:v>Пахом</c:v>
                </c:pt>
                <c:pt idx="230">
                  <c:v>Юрий</c:v>
                </c:pt>
                <c:pt idx="231">
                  <c:v>Андроник</c:v>
                </c:pt>
                <c:pt idx="232">
                  <c:v>Януарий</c:v>
                </c:pt>
                <c:pt idx="233">
                  <c:v>Платон</c:v>
                </c:pt>
                <c:pt idx="234">
                  <c:v>Аверьян</c:v>
                </c:pt>
                <c:pt idx="235">
                  <c:v>Ефимова</c:v>
                </c:pt>
              </c:strCache>
            </c:strRef>
          </c:cat>
          <c:val>
            <c:numRef>
              <c:f>'Частотность имен'!$B$4:$B$240</c:f>
              <c:numCache>
                <c:formatCode>General</c:formatCode>
                <c:ptCount val="23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B-4550-93F4-7F411C24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414560"/>
        <c:axId val="1382413120"/>
      </c:barChart>
      <c:catAx>
        <c:axId val="138241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413120"/>
        <c:crosses val="autoZero"/>
        <c:auto val="1"/>
        <c:lblAlgn val="ctr"/>
        <c:lblOffset val="100"/>
        <c:noMultiLvlLbl val="0"/>
      </c:catAx>
      <c:valAx>
        <c:axId val="13824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41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сетей.xlsx]Суммарные продажи по поставщика!Сводная таблица4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General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F-464A-90AD-629FE224D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628031"/>
        <c:axId val="606627071"/>
      </c:barChart>
      <c:catAx>
        <c:axId val="60662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627071"/>
        <c:crosses val="autoZero"/>
        <c:auto val="1"/>
        <c:lblAlgn val="ctr"/>
        <c:lblOffset val="100"/>
        <c:noMultiLvlLbl val="0"/>
      </c:catAx>
      <c:valAx>
        <c:axId val="6066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62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сетей.xlsx]Среднее количесво по категориям!Сводная таблица4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'Среднее количесво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'Среднее количесво по категориям'!$A$4:$A$24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'Среднее количесво по категориям'!$B$4:$B$24</c:f>
              <c:numCache>
                <c:formatCode>0.00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A-4109-8C04-16D818D13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791696"/>
        <c:axId val="1322792176"/>
      </c:barChart>
      <c:catAx>
        <c:axId val="13227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792176"/>
        <c:crosses val="autoZero"/>
        <c:auto val="1"/>
        <c:lblAlgn val="ctr"/>
        <c:lblOffset val="100"/>
        <c:noMultiLvlLbl val="0"/>
      </c:catAx>
      <c:valAx>
        <c:axId val="13227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7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сетей.xlsx]Суммарные продажи по категориям!Сводная таблица5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Соль</c:v>
                </c:pt>
                <c:pt idx="6">
                  <c:v>Сыр</c:v>
                </c:pt>
                <c:pt idx="7">
                  <c:v>Сахар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General</c:formatCode>
                <c:ptCount val="20"/>
                <c:pt idx="0">
                  <c:v>66945</c:v>
                </c:pt>
                <c:pt idx="1">
                  <c:v>48797</c:v>
                </c:pt>
                <c:pt idx="2">
                  <c:v>47223</c:v>
                </c:pt>
                <c:pt idx="3">
                  <c:v>45862</c:v>
                </c:pt>
                <c:pt idx="4">
                  <c:v>44539</c:v>
                </c:pt>
                <c:pt idx="5">
                  <c:v>44468</c:v>
                </c:pt>
                <c:pt idx="6">
                  <c:v>44265</c:v>
                </c:pt>
                <c:pt idx="7">
                  <c:v>44151</c:v>
                </c:pt>
                <c:pt idx="8">
                  <c:v>43626</c:v>
                </c:pt>
                <c:pt idx="9">
                  <c:v>42352</c:v>
                </c:pt>
                <c:pt idx="10">
                  <c:v>42165</c:v>
                </c:pt>
                <c:pt idx="11">
                  <c:v>41745</c:v>
                </c:pt>
                <c:pt idx="12">
                  <c:v>39632</c:v>
                </c:pt>
                <c:pt idx="13">
                  <c:v>33802</c:v>
                </c:pt>
                <c:pt idx="14">
                  <c:v>32430</c:v>
                </c:pt>
                <c:pt idx="15">
                  <c:v>31147</c:v>
                </c:pt>
                <c:pt idx="16">
                  <c:v>30543</c:v>
                </c:pt>
                <c:pt idx="17">
                  <c:v>28053</c:v>
                </c:pt>
                <c:pt idx="18">
                  <c:v>27375</c:v>
                </c:pt>
                <c:pt idx="19">
                  <c:v>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2-442A-85DD-7E377735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509888"/>
        <c:axId val="1322880432"/>
      </c:barChart>
      <c:catAx>
        <c:axId val="13225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80432"/>
        <c:crosses val="autoZero"/>
        <c:auto val="1"/>
        <c:lblAlgn val="ctr"/>
        <c:lblOffset val="100"/>
        <c:noMultiLvlLbl val="0"/>
      </c:catAx>
      <c:valAx>
        <c:axId val="13228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5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сетей.xlsx]География клиентов!Сводная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2-41FA-A19C-04728374B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560543"/>
        <c:axId val="2055561503"/>
      </c:barChart>
      <c:catAx>
        <c:axId val="20555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561503"/>
        <c:crosses val="autoZero"/>
        <c:auto val="1"/>
        <c:lblAlgn val="ctr"/>
        <c:lblOffset val="100"/>
        <c:noMultiLvlLbl val="0"/>
      </c:catAx>
      <c:valAx>
        <c:axId val="205556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56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сетей.xlsx]Продажи товаров!Сводная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товаров'!$B$3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товаров'!$A$4:$A$22</c:f>
              <c:multiLvlStrCache>
                <c:ptCount val="16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товаров'!$B$4:$B$22</c:f>
              <c:numCache>
                <c:formatCode>General</c:formatCode>
                <c:ptCount val="16"/>
                <c:pt idx="0">
                  <c:v>88</c:v>
                </c:pt>
                <c:pt idx="1">
                  <c:v>534</c:v>
                </c:pt>
                <c:pt idx="2">
                  <c:v>6221</c:v>
                </c:pt>
                <c:pt idx="3">
                  <c:v>1240</c:v>
                </c:pt>
                <c:pt idx="4">
                  <c:v>5511</c:v>
                </c:pt>
                <c:pt idx="5">
                  <c:v>3074</c:v>
                </c:pt>
                <c:pt idx="6">
                  <c:v>1946</c:v>
                </c:pt>
                <c:pt idx="7">
                  <c:v>1310</c:v>
                </c:pt>
                <c:pt idx="8">
                  <c:v>934</c:v>
                </c:pt>
                <c:pt idx="9">
                  <c:v>4577</c:v>
                </c:pt>
                <c:pt idx="10">
                  <c:v>183</c:v>
                </c:pt>
                <c:pt idx="11">
                  <c:v>1944</c:v>
                </c:pt>
                <c:pt idx="12">
                  <c:v>2362</c:v>
                </c:pt>
                <c:pt idx="13">
                  <c:v>4272</c:v>
                </c:pt>
                <c:pt idx="14">
                  <c:v>3576</c:v>
                </c:pt>
                <c:pt idx="15">
                  <c:v>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3-47F2-A375-3DF45FA10D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7098447"/>
        <c:axId val="493568191"/>
      </c:lineChart>
      <c:catAx>
        <c:axId val="4870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568191"/>
        <c:crosses val="autoZero"/>
        <c:auto val="1"/>
        <c:lblAlgn val="ctr"/>
        <c:lblOffset val="100"/>
        <c:noMultiLvlLbl val="0"/>
      </c:catAx>
      <c:valAx>
        <c:axId val="49356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9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сетей.xlsx]Выгода клиентам!Сводная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7E2-8B3D-2F0114F54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966911"/>
        <c:axId val="399967391"/>
      </c:barChart>
      <c:catAx>
        <c:axId val="39996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967391"/>
        <c:crosses val="autoZero"/>
        <c:auto val="1"/>
        <c:lblAlgn val="ctr"/>
        <c:lblOffset val="100"/>
        <c:noMultiLvlLbl val="0"/>
      </c:catAx>
      <c:valAx>
        <c:axId val="3999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966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сетей.xlsx]Суммарные продажи по магазинам!Сводная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en-US" baseline="0"/>
              <a:t> </a:t>
            </a:r>
            <a:r>
              <a:rPr lang="ru-RU" baseline="0"/>
              <a:t>по продуктовым сетям</a:t>
            </a:r>
          </a:p>
        </c:rich>
      </c:tx>
      <c:layout>
        <c:manualLayout>
          <c:xMode val="edge"/>
          <c:yMode val="edge"/>
          <c:x val="0.47725305309990607"/>
          <c:y val="8.18397700287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_-* #\ ##0\ [$₽-419]_-;\-* #\ ##0\ [$₽-419]_-;_-* "-"??\ [$₽-419]_-;_-@_-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D-4BD9-B17B-BCEA3BCEC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883855"/>
        <c:axId val="658885775"/>
      </c:barChart>
      <c:catAx>
        <c:axId val="65888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885775"/>
        <c:crosses val="autoZero"/>
        <c:auto val="1"/>
        <c:lblAlgn val="ctr"/>
        <c:lblOffset val="100"/>
        <c:noMultiLvlLbl val="0"/>
      </c:catAx>
      <c:valAx>
        <c:axId val="658885775"/>
        <c:scaling>
          <c:orientation val="minMax"/>
        </c:scaling>
        <c:delete val="0"/>
        <c:axPos val="l"/>
        <c:numFmt formatCode="_-* #\ ##0\ [$₽-419]_-;\-* #\ ##0\ [$₽-419]_-;_-* &quot;-&quot;??\ [$₽-419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88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[Исследование продуктовых сетей.xlsx]Платежеспособность!Сводная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Платежеспособность</a:t>
            </a:r>
            <a:r>
              <a:rPr lang="ru-RU" baseline="0"/>
              <a:t>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Платежеспособность!$B$3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Платежеспособность!$A$4:$A$8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Платежеспособность!$B$4:$B$8</c:f>
              <c:numCache>
                <c:formatCode>General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6-4243-A391-0EA87E27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776032"/>
        <c:axId val="543778432"/>
      </c:barChart>
      <c:catAx>
        <c:axId val="5437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778432"/>
        <c:crosses val="autoZero"/>
        <c:auto val="1"/>
        <c:lblAlgn val="ctr"/>
        <c:lblOffset val="100"/>
        <c:noMultiLvlLbl val="0"/>
      </c:catAx>
      <c:valAx>
        <c:axId val="5437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77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Дней с момента регистрации</a:t>
          </a:r>
        </a:p>
      </cx:txPr>
    </cx:title>
    <cx:plotArea>
      <cx:plotAreaRegion>
        <cx:series layoutId="clusteredColumn" uniqueId="{3231ED69-1F32-4CE2-A076-6791708831F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units unit="thousands"/>
        <cx:majorGridlines/>
        <cx:tickLabels/>
        <cx:numFmt formatCode="_-* # ##0 [$₽-ru-RU]_-;-* # ##0 [$₽-ru-RU]_-;_-* &quot;-&quot;?? [$₽-ru-RU]_-;_-@_-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Лайфтайм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Лайфтайм</a:t>
          </a:r>
        </a:p>
      </cx:txPr>
    </cx:title>
    <cx:plotArea>
      <cx:plotAreaRegion>
        <cx:series layoutId="clusteredColumn" uniqueId="{1C2ED427-000A-43D4-9BAB-423310B0D3B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Лайфтайм клиентов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Лайфтайм клиентов</a:t>
          </a:r>
        </a:p>
      </cx:txPr>
    </cx:title>
    <cx:plotArea>
      <cx:plotAreaRegion>
        <cx:series layoutId="clusteredColumn" uniqueId="{A92B0BF8-93FD-410E-AC21-C630C2D2FB98}">
          <cx:tx>
            <cx:txData>
              <cx:f>_xlchart.v1.2</cx:f>
              <cx:v>Лайфтайм (мес)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Дней с момента регистрации</a:t>
          </a:r>
        </a:p>
      </cx:txPr>
    </cx:title>
    <cx:plotArea>
      <cx:plotAreaRegion>
        <cx:series layoutId="clusteredColumn" uniqueId="{3231ED69-1F32-4CE2-A076-6791708831F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units unit="thousands"/>
        <cx:majorGridlines/>
        <cx:tickLabels/>
        <cx:numFmt formatCode="_-* # ##0 [$₽-ru-RU]_-;-* # ##0 [$₽-ru-RU]_-;_-* &quot;-&quot;?? [$₽-ru-RU]_-;_-@_-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7620</xdr:colOff>
      <xdr:row>15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3E4126-9517-4DF6-86D6-2378EFC9A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167640</xdr:rowOff>
    </xdr:from>
    <xdr:to>
      <xdr:col>14</xdr:col>
      <xdr:colOff>22860</xdr:colOff>
      <xdr:row>29</xdr:row>
      <xdr:rowOff>22860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0ADC889-7C32-4101-BA3E-6B22486B5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29</xdr:row>
      <xdr:rowOff>7620</xdr:rowOff>
    </xdr:from>
    <xdr:to>
      <xdr:col>14</xdr:col>
      <xdr:colOff>38100</xdr:colOff>
      <xdr:row>47</xdr:row>
      <xdr:rowOff>68580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0795731-FE40-487A-BF48-9BBBC2560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26</xdr:col>
      <xdr:colOff>15240</xdr:colOff>
      <xdr:row>14</xdr:row>
      <xdr:rowOff>160020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77AB1A0-8D5B-4062-AEDF-D65FAF6DE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15</xdr:row>
      <xdr:rowOff>0</xdr:rowOff>
    </xdr:from>
    <xdr:to>
      <xdr:col>26</xdr:col>
      <xdr:colOff>30480</xdr:colOff>
      <xdr:row>29</xdr:row>
      <xdr:rowOff>15240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3E24707-5C50-4D99-9A21-E1A91613B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26</xdr:col>
      <xdr:colOff>7620</xdr:colOff>
      <xdr:row>47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0D0C1B3D-3CE6-4156-B32D-CA648FAEE4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5303520"/>
              <a:ext cx="7322820" cy="3383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7</xdr:row>
      <xdr:rowOff>175260</xdr:rowOff>
    </xdr:from>
    <xdr:to>
      <xdr:col>18</xdr:col>
      <xdr:colOff>106680</xdr:colOff>
      <xdr:row>35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1922D50-A375-2D3C-9D83-8AB826BBA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</xdr:row>
      <xdr:rowOff>0</xdr:rowOff>
    </xdr:from>
    <xdr:to>
      <xdr:col>39</xdr:col>
      <xdr:colOff>251460</xdr:colOff>
      <xdr:row>19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DBE53137-75E2-44C8-A8AD-2A9882B64C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8740" y="182880"/>
              <a:ext cx="5669280" cy="3387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541020</xdr:colOff>
      <xdr:row>409</xdr:row>
      <xdr:rowOff>110490</xdr:rowOff>
    </xdr:from>
    <xdr:to>
      <xdr:col>26</xdr:col>
      <xdr:colOff>38100</xdr:colOff>
      <xdr:row>429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3093DD24-F9A8-1C74-B55A-B22A93C63C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28080" y="74908410"/>
              <a:ext cx="6720840" cy="3608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2</xdr:row>
      <xdr:rowOff>152400</xdr:rowOff>
    </xdr:from>
    <xdr:to>
      <xdr:col>52</xdr:col>
      <xdr:colOff>335280</xdr:colOff>
      <xdr:row>23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6C28DF-E6B5-30F8-3DB4-DECA76362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106680</xdr:rowOff>
    </xdr:from>
    <xdr:to>
      <xdr:col>16</xdr:col>
      <xdr:colOff>220980</xdr:colOff>
      <xdr:row>25</xdr:row>
      <xdr:rowOff>106680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833049-1CA4-524E-170F-B124D65BE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175260</xdr:rowOff>
    </xdr:from>
    <xdr:to>
      <xdr:col>17</xdr:col>
      <xdr:colOff>266700</xdr:colOff>
      <xdr:row>23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0C81E5-23BC-32A3-C361-77E30CE98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556260</xdr:colOff>
      <xdr:row>3</xdr:row>
      <xdr:rowOff>7620</xdr:rowOff>
    </xdr:from>
    <xdr:to>
      <xdr:col>30</xdr:col>
      <xdr:colOff>521970</xdr:colOff>
      <xdr:row>24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ABFB1FB9-E193-4021-88AB-D3B10A501D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85340" y="556260"/>
              <a:ext cx="5985510" cy="3874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13</xdr:col>
      <xdr:colOff>7620</xdr:colOff>
      <xdr:row>22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757730-70A6-CECB-B518-843A86476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14</xdr:col>
      <xdr:colOff>7620</xdr:colOff>
      <xdr:row>22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F1D7C3C-59B7-C03A-1324-A0F7976A2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179070</xdr:rowOff>
    </xdr:from>
    <xdr:to>
      <xdr:col>38</xdr:col>
      <xdr:colOff>312420</xdr:colOff>
      <xdr:row>22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917148E-781A-FF3F-EBE5-A1BED3C3D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15240</xdr:rowOff>
    </xdr:from>
    <xdr:to>
      <xdr:col>15</xdr:col>
      <xdr:colOff>617220</xdr:colOff>
      <xdr:row>23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C0459D-16F6-B681-3F62-E9EEF0ABA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35</xdr:col>
      <xdr:colOff>0</xdr:colOff>
      <xdr:row>19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407425-4B78-CDF1-FAE1-C66FA77C6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" refreshedDate="45890.669226967591" createdVersion="8" refreshedVersion="8" minRefreshableVersion="3" recordCount="434" xr:uid="{C153DADA-5642-4392-A232-6A4366A1E050}">
  <cacheSource type="worksheet">
    <worksheetSource name="Таблица3"/>
  </cacheSource>
  <cacheFields count="7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/>
    </cacheField>
    <cacheField name="Дата регистрации клиента" numFmtId="164">
      <sharedItems containsSemiMixedTypes="0" containsNonDate="0" containsDate="1" containsString="0" minDate="2022-01-01T00:00:00" maxDate="2022-12-30T00:00:00"/>
    </cacheField>
    <cacheField name="Коды стран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" refreshedDate="45996.623333796299" createdVersion="8" refreshedVersion="8" minRefreshableVersion="3" recordCount="1000" xr:uid="{639B4C47-1315-43CC-8ADC-3ACBEBA29EC3}">
  <cacheSource type="worksheet">
    <worksheetSource name="Продажи"/>
  </cacheSource>
  <cacheFields count="21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/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20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5">
      <sharedItems containsSemiMixedTypes="0" containsString="0" containsNumber="1" minValue="249.02380952380952" maxValue="300.31818181818181"/>
    </cacheField>
    <cacheField name="Выгода для клиента" numFmtId="9">
      <sharedItems containsSemiMixedTypes="0" containsString="0" containsNumber="1" minValue="-0.81562185719074753" maxValue="1.0078401376804664"/>
    </cacheField>
    <cacheField name="Поставщик товара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толбец1" numFmtId="9">
      <sharedItems containsSemiMixedTypes="0" containsString="0" containsNumber="1" minValue="-0.81438202247191005" maxValue="1.2930983847283408"/>
    </cacheField>
    <cacheField name="Выгода для магазина" numFmtId="9">
      <sharedItems containsSemiMixedTypes="0" containsString="0" containsNumber="1" minValue="-0.81438202247191005" maxValue="1.2930983847283408"/>
    </cacheField>
    <cacheField name="Средняя стоимость в категории по поставщику" numFmtId="167">
      <sharedItems containsSemiMixedTypes="0" containsString="0" containsNumber="1" minValue="82" maxValue="369.2"/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личество дней с момента регистрации" numFmtId="0">
      <sharedItems containsSemiMixedTypes="0" containsString="0" containsNumber="1" containsInteger="1" minValue="8" maxValue="866"/>
    </cacheField>
    <cacheField name="Страны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" refreshedDate="45996.646392592593" createdVersion="8" refreshedVersion="8" minRefreshableVersion="3" recordCount="434" xr:uid="{B759282C-76B1-4F20-85E0-44A0D94A20C4}">
  <cacheSource type="worksheet">
    <worksheetSource name="Таблица1"/>
  </cacheSource>
  <cacheFields count="2">
    <cacheField name="ФИО" numFmtId="0">
      <sharedItems/>
    </cacheField>
    <cacheField name="Имя" numFmtId="0">
      <sharedItems count="236">
        <s v="Сила"/>
        <s v="Лора"/>
        <s v="Зоя"/>
        <s v="Эрнест"/>
        <s v="Аверкий"/>
        <s v="Анжелика"/>
        <s v="Никита"/>
        <s v="Аполлинарий"/>
        <s v="Людмила"/>
        <s v="Демид"/>
        <s v="Антонина"/>
        <s v="Елизар"/>
        <s v="Майя"/>
        <s v="Марина"/>
        <s v="Светлана"/>
        <s v="Алла"/>
        <s v="Вероника"/>
        <s v="Боян"/>
        <s v="Радислав"/>
        <s v="Галина"/>
        <s v="Владилен"/>
        <s v="Януарий"/>
        <s v="Фёкла"/>
        <s v="Валерьян"/>
        <s v="Арсений"/>
        <s v="Таисия"/>
        <s v="Савельев"/>
        <s v="Гостомысл"/>
        <s v="Виктория"/>
        <s v="Маргарита"/>
        <s v="Агафья"/>
        <s v="Евграф"/>
        <s v="Николай"/>
        <s v="Клавдия"/>
        <s v="Лариса"/>
        <s v="Мария"/>
        <s v="Феврония"/>
        <s v="Орест"/>
        <s v="Рубен"/>
        <s v="Степан"/>
        <s v="Мартьян"/>
        <s v="Елизавета"/>
        <s v="Всеслав"/>
        <s v="Алевтина"/>
        <s v="Фома"/>
        <s v="Никодим"/>
        <s v="Лидия"/>
        <s v="Агата"/>
        <s v="Еремей"/>
        <s v="Юлия"/>
        <s v="Геннадий"/>
        <s v="Валентина"/>
        <s v="Евгения"/>
        <s v="Иванна"/>
        <s v="Ратибор"/>
        <s v="Чеслав"/>
        <s v="Евсей"/>
        <s v="Арефий"/>
        <s v="Копылов"/>
        <s v="Ипполит"/>
        <s v="Евфросиния"/>
        <s v="Марк"/>
        <s v="Андрон"/>
        <s v="Климент"/>
        <s v="Герман"/>
        <s v="Матвей"/>
        <s v="Василиса"/>
        <s v="Ираида"/>
        <s v="Прасковья"/>
        <s v="Эдуард"/>
        <s v="Элеонора"/>
        <s v="Любомир"/>
        <s v="Ксения"/>
        <s v="Эмилия"/>
        <s v="Захар"/>
        <s v="Марфа"/>
        <s v="Максим"/>
        <s v="Гордей"/>
        <s v="Амвросий"/>
        <s v="Евдокия"/>
        <s v="Лонгин"/>
        <s v="Тамара"/>
        <s v="Дементий"/>
        <s v="Регина"/>
        <s v="Измаил"/>
        <s v="Виктор"/>
        <s v="Епифан"/>
        <s v="Ангелина"/>
        <s v="Зинаида"/>
        <s v="Лука"/>
        <s v="Феофан"/>
        <s v="Спиридон"/>
        <s v="Лев"/>
        <s v="Жанна"/>
        <s v="Анжела"/>
        <s v="София"/>
        <s v="Творимир"/>
        <s v="Раиса"/>
        <s v="Анна"/>
        <s v="Воробьева"/>
        <s v="Вера"/>
        <s v="Карл"/>
        <s v="Алина"/>
        <s v="Милица"/>
        <s v="Натан"/>
        <s v="Симон"/>
        <s v="Борислав"/>
        <s v="Антип"/>
        <s v="Мирон"/>
        <s v="Пелагея"/>
        <s v="Амос"/>
        <s v="Анастасия"/>
        <s v="Станислав"/>
        <s v="Екатерина"/>
        <s v="Евстафий"/>
        <s v="Фаина"/>
        <s v="Эммануил"/>
        <s v="Милован"/>
        <s v="Касьян"/>
        <s v="Христофор"/>
        <s v="Татьяна"/>
        <s v="Карп"/>
        <s v="Бажен"/>
        <s v="Ладимир"/>
        <s v="Никифор"/>
        <s v="Тимур"/>
        <s v="Копылова"/>
        <s v="Акулина"/>
        <s v="Родион"/>
        <s v="Прокл"/>
        <s v="Сократ"/>
        <s v="Оксана"/>
        <s v="Филимон"/>
        <s v="Юрий"/>
        <s v="Ия"/>
        <s v="Милан"/>
        <s v="Давыд"/>
        <s v="Александра"/>
        <s v="Потап"/>
        <s v="Елена"/>
        <s v="Евпраксия"/>
        <s v="Синклитикия"/>
        <s v="Андроник"/>
        <s v="Миронова"/>
        <s v="Октябрина"/>
        <s v="Зуев"/>
        <s v="Ипат"/>
        <s v="Ольга"/>
        <s v="Фадей"/>
        <s v="Нинель"/>
        <s v="Фрол"/>
        <s v="Павел"/>
        <s v="Флорентин"/>
        <s v="Ирина"/>
        <s v="Аникей"/>
        <s v="Кира"/>
        <s v="Михей"/>
        <s v="Силантий"/>
        <s v="Наталья"/>
        <s v="Любовь"/>
        <s v="Олимпий"/>
        <s v="Август"/>
        <s v="Полина"/>
        <s v="Харлампий"/>
        <s v="Капитон"/>
        <s v="Назар"/>
        <s v="Авдей"/>
        <s v="Конон"/>
        <s v="Елисей"/>
        <s v="Глеб"/>
        <s v="Велимир"/>
        <s v="Константин"/>
        <s v="Дмитрий"/>
        <s v="Галактион"/>
        <s v="Аристарх"/>
        <s v="Аггей"/>
        <s v="Ипатий"/>
        <s v="Ефрем"/>
        <s v="Глафира"/>
        <s v="Кир"/>
        <s v="Валерия"/>
        <s v="Борис"/>
        <s v="Софон"/>
        <s v="Ираклий"/>
        <s v="Мартын"/>
        <s v="Влас"/>
        <s v="Леон"/>
        <s v="Якуб"/>
        <s v="Мефодий"/>
        <s v="Панфил"/>
        <s v="Светозар"/>
        <s v="Мина"/>
        <s v="Автоном"/>
        <s v="Агап"/>
        <s v="Любим"/>
        <s v="Дарья"/>
        <s v="Корнил"/>
        <s v="Вадим"/>
        <s v="Наина"/>
        <s v="Любосмысл"/>
        <s v="Ульяна"/>
        <s v="Степанова"/>
        <s v="Александр"/>
        <s v="Ярослав"/>
        <s v="Ратмир"/>
        <s v="Севастьян"/>
        <s v="Олимпиада"/>
        <s v="Серафим"/>
        <s v="Панкратий"/>
        <s v="Пахом"/>
        <s v="Анисим"/>
        <s v="Феликс"/>
        <s v="Игорь"/>
        <s v="Лукия"/>
        <s v="Сидор"/>
        <s v="Аверьян"/>
        <s v="Филипп"/>
        <s v="Модест"/>
        <s v="Адриан"/>
        <s v="Богдан"/>
        <s v="Савватий"/>
        <s v="Пантелеймон"/>
        <s v="Лавр"/>
        <s v="Ростислав"/>
        <s v="Викентий"/>
        <s v="Кузьма"/>
        <s v="Рыбаков"/>
        <s v="Леонид"/>
        <s v="Самуил"/>
        <s v="Нина"/>
        <s v="Зосима"/>
        <s v="Никанор"/>
        <s v="Эраст"/>
        <s v="Алексей"/>
        <s v="Ефимова"/>
        <s v="Плато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315"/>
    <s v="+998 469-847-6587"/>
    <s v="Фадей Ефимович Калинин"/>
    <s v="да"/>
    <d v="2022-07-05T00:00:00"/>
    <s v="+998"/>
    <x v="0"/>
  </r>
  <r>
    <n v="253"/>
    <s v="+375 796-304-7865"/>
    <s v="Вера Георгиевна Некрасова"/>
    <s v="да"/>
    <d v="2022-07-08T00:00:00"/>
    <s v="+375"/>
    <x v="1"/>
  </r>
  <r>
    <n v="12"/>
    <s v="+375 682-373-1802"/>
    <s v="Никодим Игоревич Бобров"/>
    <s v="да"/>
    <d v="2022-10-08T00:00:00"/>
    <s v="+375"/>
    <x v="1"/>
  </r>
  <r>
    <n v="116"/>
    <s v="+7 753-596-5037"/>
    <s v="Носкова Вера Федоровна"/>
    <s v="нет"/>
    <d v="2022-03-23T00:00:00"/>
    <s v="+7"/>
    <x v="2"/>
  </r>
  <r>
    <n v="471"/>
    <s v="+380 669-437-2066"/>
    <s v="Александра Матвеевна Артемьева"/>
    <s v="да"/>
    <d v="2022-01-16T00:00:00"/>
    <s v="+380"/>
    <x v="3"/>
  </r>
  <r>
    <n v="374"/>
    <s v="+380 622-144-1703"/>
    <s v="Калинина Ирина Филипповна"/>
    <s v="нет"/>
    <d v="2022-01-21T00:00:00"/>
    <s v="+380"/>
    <x v="3"/>
  </r>
  <r>
    <n v="477"/>
    <s v="+998 591-865-8342"/>
    <s v="Зоя Кирилловна Брагина"/>
    <s v="да"/>
    <d v="2022-06-26T00:00:00"/>
    <s v="+998"/>
    <x v="0"/>
  </r>
  <r>
    <n v="335"/>
    <s v="+998 353-736-8172"/>
    <s v="Осипов Светозар Ефремович"/>
    <s v="нет"/>
    <d v="2022-02-27T00:00:00"/>
    <s v="+998"/>
    <x v="0"/>
  </r>
  <r>
    <n v="350"/>
    <s v="+380 545-746-8707"/>
    <s v="Любовь Георгиевна Мамонтова"/>
    <s v="нет"/>
    <d v="2022-05-03T00:00:00"/>
    <s v="+380"/>
    <x v="3"/>
  </r>
  <r>
    <n v="413"/>
    <s v="+7 063-931-5918"/>
    <s v="Август Вячеславович Брагин"/>
    <s v="нет"/>
    <d v="2022-05-18T00:00:00"/>
    <s v="+7"/>
    <x v="2"/>
  </r>
  <r>
    <n v="495"/>
    <s v="+998 006-788-9211"/>
    <s v="Мефодий Филиппович Воробьев"/>
    <s v="да"/>
    <d v="2022-04-03T00:00:00"/>
    <s v="+998"/>
    <x v="0"/>
  </r>
  <r>
    <n v="353"/>
    <s v="+992 863-895-4307"/>
    <s v="Гурьев Влас Юлианович"/>
    <s v="да"/>
    <d v="2022-04-05T00:00:00"/>
    <s v="+992"/>
    <x v="4"/>
  </r>
  <r>
    <n v="332"/>
    <s v="+998 350-816-0031"/>
    <s v="Агата Юрьевна Галкина"/>
    <s v="нет"/>
    <d v="2022-10-24T00:00:00"/>
    <s v="+998"/>
    <x v="0"/>
  </r>
  <r>
    <n v="414"/>
    <s v="+375 435-951-1995"/>
    <s v="Юлия Леоновна Наумова"/>
    <s v="нет"/>
    <d v="2022-08-21T00:00:00"/>
    <s v="+375"/>
    <x v="1"/>
  </r>
  <r>
    <n v="236"/>
    <s v="+998 498-706-1394"/>
    <s v="Лонгин Арсенович Никонов"/>
    <s v="да"/>
    <d v="2022-09-16T00:00:00"/>
    <s v="+998"/>
    <x v="0"/>
  </r>
  <r>
    <n v="164"/>
    <s v="+7 297-169-3756"/>
    <s v="Филимон Федотович Иванов"/>
    <s v="нет"/>
    <d v="2022-04-27T00:00:00"/>
    <s v="+7"/>
    <x v="2"/>
  </r>
  <r>
    <n v="490"/>
    <s v="+7 454-941-1729"/>
    <s v="Кудрявцев Демид Ерофеевич"/>
    <s v="нет"/>
    <d v="2022-02-11T00:00:00"/>
    <s v="+7"/>
    <x v="2"/>
  </r>
  <r>
    <n v="223"/>
    <s v="+380 835-708-4433"/>
    <s v="Вероника Евгеньевна Федосеева"/>
    <s v="да"/>
    <d v="2022-11-28T00:00:00"/>
    <s v="+380"/>
    <x v="3"/>
  </r>
  <r>
    <n v="204"/>
    <s v="+7 181-799-6850"/>
    <s v="Герасимов Еремей Демидович"/>
    <s v="да"/>
    <d v="2022-11-02T00:00:00"/>
    <s v="+7"/>
    <x v="2"/>
  </r>
  <r>
    <n v="481"/>
    <s v="+375 743-922-4671"/>
    <s v="Новикова Лидия Павловна"/>
    <s v="да"/>
    <d v="2022-07-14T00:00:00"/>
    <s v="+375"/>
    <x v="1"/>
  </r>
  <r>
    <n v="363"/>
    <s v="+998 607-517-9439"/>
    <s v="Сорокина Феврония Натановна"/>
    <s v="нет"/>
    <d v="2022-04-24T00:00:00"/>
    <s v="+998"/>
    <x v="0"/>
  </r>
  <r>
    <n v="397"/>
    <s v="+375 372-396-9651"/>
    <s v="Нинель Натановна Лазарева"/>
    <s v="нет"/>
    <d v="2022-06-16T00:00:00"/>
    <s v="+375"/>
    <x v="1"/>
  </r>
  <r>
    <n v="280"/>
    <s v="+7 109-995-2846"/>
    <s v="г-н Рыбаков Автоном Антонович"/>
    <s v="нет"/>
    <d v="2022-01-02T00:00:00"/>
    <s v="+7"/>
    <x v="2"/>
  </r>
  <r>
    <n v="39"/>
    <s v="+375 226-887-4565"/>
    <s v="Бирюков Олимпий Иосифович"/>
    <s v="да"/>
    <d v="2022-04-02T00:00:00"/>
    <s v="+375"/>
    <x v="1"/>
  </r>
  <r>
    <n v="303"/>
    <s v="+998 222-956-9780"/>
    <s v="Чеслав Виленович Шестаков"/>
    <s v="нет"/>
    <d v="2022-05-08T00:00:00"/>
    <s v="+998"/>
    <x v="0"/>
  </r>
  <r>
    <n v="422"/>
    <s v="+380 633-205-1404"/>
    <s v="Виноградов Карл Алексеевич"/>
    <s v="нет"/>
    <d v="2022-08-11T00:00:00"/>
    <s v="+380"/>
    <x v="3"/>
  </r>
  <r>
    <n v="24"/>
    <s v="+998 525-413-6836"/>
    <s v="Кудрявцева Ульяна Филипповна"/>
    <s v="да"/>
    <d v="2022-02-17T00:00:00"/>
    <s v="+998"/>
    <x v="0"/>
  </r>
  <r>
    <n v="112"/>
    <s v="+7 592-570-4871"/>
    <s v="Майя Вадимовна Рябова"/>
    <s v="нет"/>
    <d v="2022-04-01T00:00:00"/>
    <s v="+7"/>
    <x v="2"/>
  </r>
  <r>
    <n v="451"/>
    <s v="+7 321-005-5110"/>
    <s v="Лукия Ефимовна Тимофеева"/>
    <s v="да"/>
    <d v="2022-01-23T00:00:00"/>
    <s v="+7"/>
    <x v="2"/>
  </r>
  <r>
    <n v="131"/>
    <s v="+7 899-265-0963"/>
    <s v="Полина Николаевна Евдокимова"/>
    <s v="да"/>
    <d v="2022-05-12T00:00:00"/>
    <s v="+7"/>
    <x v="2"/>
  </r>
  <r>
    <n v="160"/>
    <s v="+998 084-412-0746"/>
    <s v="Элеонора Ивановна Королева"/>
    <s v="да"/>
    <d v="2022-03-29T00:00:00"/>
    <s v="+998"/>
    <x v="0"/>
  </r>
  <r>
    <n v="408"/>
    <s v="+7 630-977-5834"/>
    <s v="Юлия Вячеславовна Журавлева"/>
    <s v="нет"/>
    <d v="2022-10-23T00:00:00"/>
    <s v="+7"/>
    <x v="2"/>
  </r>
  <r>
    <n v="324"/>
    <s v="+998 752-893-8536"/>
    <s v="Алексеев Касьян Ефимович"/>
    <s v="нет"/>
    <d v="2022-07-19T00:00:00"/>
    <s v="+998"/>
    <x v="0"/>
  </r>
  <r>
    <n v="310"/>
    <s v="+992 349-223-5769"/>
    <s v="Феофан Гурьевич Дорофеев"/>
    <s v="нет"/>
    <d v="2022-09-03T00:00:00"/>
    <s v="+992"/>
    <x v="4"/>
  </r>
  <r>
    <n v="179"/>
    <s v="+7 747-678-7543"/>
    <s v="Капустина Тамара Валериевна"/>
    <s v="да"/>
    <d v="2022-09-29T00:00:00"/>
    <s v="+7"/>
    <x v="2"/>
  </r>
  <r>
    <n v="64"/>
    <s v="+998 488-220-8790"/>
    <s v="Ратибор Арсеньевич Петров"/>
    <s v="да"/>
    <d v="2022-05-26T00:00:00"/>
    <s v="+998"/>
    <x v="0"/>
  </r>
  <r>
    <n v="318"/>
    <s v="+998 826-456-9884"/>
    <s v="Поляков Боян Андреевич"/>
    <s v="да"/>
    <d v="2022-11-27T00:00:00"/>
    <s v="+998"/>
    <x v="0"/>
  </r>
  <r>
    <n v="239"/>
    <s v="+998 053-607-1948"/>
    <s v="Иванов Христофор Ильясович"/>
    <s v="нет"/>
    <d v="2022-07-25T00:00:00"/>
    <s v="+998"/>
    <x v="0"/>
  </r>
  <r>
    <n v="194"/>
    <s v="+7 273-904-5457"/>
    <s v="Сила Денисович Гурьев"/>
    <s v="да"/>
    <d v="2022-12-29T00:00:00"/>
    <s v="+7"/>
    <x v="2"/>
  </r>
  <r>
    <n v="267"/>
    <s v="+7 632-222-4524"/>
    <s v="Лора Болеславовна Потапова"/>
    <s v="да"/>
    <d v="2022-12-15T00:00:00"/>
    <s v="+7"/>
    <x v="2"/>
  </r>
  <r>
    <n v="334"/>
    <s v="+380 276-157-8458"/>
    <s v="Федотов Радислав Антонович"/>
    <s v="нет"/>
    <d v="2022-11-16T00:00:00"/>
    <s v="+380"/>
    <x v="3"/>
  </r>
  <r>
    <n v="47"/>
    <s v="+375 077-514-8048"/>
    <s v="Лукин Харлампий Игнатович"/>
    <s v="нет"/>
    <d v="2022-05-12T00:00:00"/>
    <s v="+375"/>
    <x v="1"/>
  </r>
  <r>
    <n v="287"/>
    <s v="+7 752-341-5050"/>
    <s v="Полякова Анжела Аскольдовна"/>
    <s v="да"/>
    <d v="2022-02-16T00:00:00"/>
    <s v="+7"/>
    <x v="2"/>
  </r>
  <r>
    <n v="145"/>
    <s v="+380 088-024-3161"/>
    <s v="Филиппова Юлия Леоновна"/>
    <s v="нет"/>
    <d v="2022-04-02T00:00:00"/>
    <s v="+380"/>
    <x v="3"/>
  </r>
  <r>
    <n v="270"/>
    <s v="+992 110-427-6136"/>
    <s v="Дементий Антипович Мухин"/>
    <s v="да"/>
    <d v="2022-09-23T00:00:00"/>
    <s v="+992"/>
    <x v="4"/>
  </r>
  <r>
    <n v="183"/>
    <s v="+992 248-066-2060"/>
    <s v="Ия Никифоровна Лапина"/>
    <s v="да"/>
    <d v="2022-12-05T00:00:00"/>
    <s v="+992"/>
    <x v="4"/>
  </r>
  <r>
    <n v="2"/>
    <s v="+998 824-309-1395"/>
    <s v="Морозова Майя Борисовна"/>
    <s v="нет"/>
    <d v="2022-08-02T00:00:00"/>
    <s v="+998"/>
    <x v="0"/>
  </r>
  <r>
    <n v="229"/>
    <s v="+375 079-578-9874"/>
    <s v="Самойлова Татьяна Эльдаровна"/>
    <s v="нет"/>
    <d v="2022-07-24T00:00:00"/>
    <s v="+375"/>
    <x v="1"/>
  </r>
  <r>
    <n v="385"/>
    <s v="+380 030-761-0677"/>
    <s v="Стрелков Геннадий Бориславович"/>
    <s v="нет"/>
    <d v="2022-07-11T00:00:00"/>
    <s v="+380"/>
    <x v="3"/>
  </r>
  <r>
    <n v="407"/>
    <s v="+375 205-037-7882"/>
    <s v="Карп Афанасьевич Фомичев"/>
    <s v="да"/>
    <d v="2022-03-01T00:00:00"/>
    <s v="+375"/>
    <x v="1"/>
  </r>
  <r>
    <n v="493"/>
    <s v="+380 076-252-5210"/>
    <s v="Кондратьева Валентина Львовна"/>
    <s v="да"/>
    <d v="2022-10-21T00:00:00"/>
    <s v="+380"/>
    <x v="3"/>
  </r>
  <r>
    <n v="34"/>
    <s v="+992 266-481-3942"/>
    <s v="Абрамова Евдокия Егоровна"/>
    <s v="нет"/>
    <d v="2022-04-03T00:00:00"/>
    <s v="+992"/>
    <x v="4"/>
  </r>
  <r>
    <n v="190"/>
    <s v="+375 284-418-1233"/>
    <s v="Валентина Захаровна Боброва"/>
    <s v="нет"/>
    <d v="2022-05-08T00:00:00"/>
    <s v="+375"/>
    <x v="1"/>
  </r>
  <r>
    <n v="266"/>
    <s v="+7 963-508-8333"/>
    <s v="Горшкова Василиса Святославовна"/>
    <s v="нет"/>
    <d v="2022-08-22T00:00:00"/>
    <s v="+7"/>
    <x v="2"/>
  </r>
  <r>
    <n v="222"/>
    <s v="+380 424-152-2316"/>
    <s v="Эмилия Руслановна Шарапова"/>
    <s v="да"/>
    <d v="2022-05-13T00:00:00"/>
    <s v="+380"/>
    <x v="3"/>
  </r>
  <r>
    <n v="382"/>
    <s v="+375 960-328-1316"/>
    <s v="Алина Михайловна Шестакова"/>
    <s v="да"/>
    <d v="2022-10-16T00:00:00"/>
    <s v="+375"/>
    <x v="1"/>
  </r>
  <r>
    <n v="142"/>
    <s v="+7 600-803-0627"/>
    <s v="Агата Геннадьевна Колесникова"/>
    <s v="нет"/>
    <d v="2022-05-02T00:00:00"/>
    <s v="+7"/>
    <x v="2"/>
  </r>
  <r>
    <n v="150"/>
    <s v="+998 176-720-2162"/>
    <s v="Панова Евгения Викторовна"/>
    <s v="нет"/>
    <d v="2022-03-02T00:00:00"/>
    <s v="+998"/>
    <x v="0"/>
  </r>
  <r>
    <n v="14"/>
    <s v="+992 129-804-1705"/>
    <s v="Ипатий Устинович Зимин"/>
    <s v="да"/>
    <d v="2022-08-02T00:00:00"/>
    <s v="+992"/>
    <x v="4"/>
  </r>
  <r>
    <n v="371"/>
    <s v="+380 616-238-3294"/>
    <s v="Регина Сергеевна Ефимова"/>
    <s v="нет"/>
    <d v="2022-10-10T00:00:00"/>
    <s v="+380"/>
    <x v="3"/>
  </r>
  <r>
    <n v="328"/>
    <s v="+7 425-907-2619"/>
    <s v="Регина Сергеевна Чернова"/>
    <s v="да"/>
    <d v="2022-01-07T00:00:00"/>
    <s v="+7"/>
    <x v="2"/>
  </r>
  <r>
    <n v="171"/>
    <s v="+7 638-478-8735"/>
    <s v="Бажен Дмитриевич Исаков"/>
    <s v="да"/>
    <d v="2022-05-29T00:00:00"/>
    <s v="+7"/>
    <x v="2"/>
  </r>
  <r>
    <n v="68"/>
    <s v="+998 237-658-9236"/>
    <s v="Иванна Наумовна Иванова"/>
    <s v="да"/>
    <d v="2022-11-17T00:00:00"/>
    <s v="+998"/>
    <x v="0"/>
  </r>
  <r>
    <n v="346"/>
    <s v="+7 710-415-0428"/>
    <s v="Капитон Харитонович Родионов"/>
    <s v="да"/>
    <d v="2022-03-16T00:00:00"/>
    <s v="+7"/>
    <x v="2"/>
  </r>
  <r>
    <n v="415"/>
    <s v="+380 465-945-6481"/>
    <s v="Капитон Феликсович Кабанов"/>
    <s v="да"/>
    <d v="2022-04-10T00:00:00"/>
    <s v="+380"/>
    <x v="3"/>
  </r>
  <r>
    <n v="115"/>
    <s v="+375 523-528-4996"/>
    <s v="Галина Кирилловна Прохорова"/>
    <s v="да"/>
    <d v="2022-09-28T00:00:00"/>
    <s v="+375"/>
    <x v="1"/>
  </r>
  <r>
    <n v="42"/>
    <s v="+992 883-671-0611"/>
    <s v="Панфил Федотович Шаров"/>
    <s v="да"/>
    <d v="2022-08-10T00:00:00"/>
    <s v="+992"/>
    <x v="4"/>
  </r>
  <r>
    <n v="378"/>
    <s v="+7 322-351-7967"/>
    <s v="Сократ Юльевич Афанасьев"/>
    <s v="нет"/>
    <d v="2022-05-29T00:00:00"/>
    <s v="+7"/>
    <x v="2"/>
  </r>
  <r>
    <n v="449"/>
    <s v="+992 314-900-5858"/>
    <s v="Пестов Измаил Глебович"/>
    <s v="нет"/>
    <d v="2022-03-25T00:00:00"/>
    <s v="+992"/>
    <x v="4"/>
  </r>
  <r>
    <n v="317"/>
    <s v="+7 640-461-4099"/>
    <s v="Ильина Милица Захаровна"/>
    <s v="нет"/>
    <d v="2022-07-28T00:00:00"/>
    <s v="+7"/>
    <x v="2"/>
  </r>
  <r>
    <n v="426"/>
    <s v="+992 253-231-6427"/>
    <s v="Лыткина Вера Ждановна"/>
    <s v="да"/>
    <d v="2022-07-26T00:00:00"/>
    <s v="+992"/>
    <x v="4"/>
  </r>
  <r>
    <n v="25"/>
    <s v="+992 508-269-1094"/>
    <s v="Аггей Терентьевич Волков"/>
    <s v="да"/>
    <d v="2022-01-21T00:00:00"/>
    <s v="+992"/>
    <x v="4"/>
  </r>
  <r>
    <n v="462"/>
    <s v="+7 915-487-8205"/>
    <s v="Владилен Иосифович Третьяков"/>
    <s v="да"/>
    <d v="2022-07-09T00:00:00"/>
    <s v="+7"/>
    <x v="2"/>
  </r>
  <r>
    <n v="252"/>
    <s v="+7 376-172-1887"/>
    <s v="Ладимир Гурьевич Егоров"/>
    <s v="нет"/>
    <d v="2022-03-23T00:00:00"/>
    <s v="+7"/>
    <x v="2"/>
  </r>
  <r>
    <n v="392"/>
    <s v="+7 894-900-2879"/>
    <s v="Эммануил Ааронович Кошелев"/>
    <s v="нет"/>
    <d v="2022-12-24T00:00:00"/>
    <s v="+7"/>
    <x v="2"/>
  </r>
  <r>
    <n v="487"/>
    <s v="+7 263-859-8875"/>
    <s v="Сидор Вячеславович Зиновьев"/>
    <s v="да"/>
    <d v="2022-09-11T00:00:00"/>
    <s v="+7"/>
    <x v="2"/>
  </r>
  <r>
    <n v="134"/>
    <s v="+7 288-468-9287"/>
    <s v="Регина Кирилловна Нестерова"/>
    <s v="да"/>
    <d v="2022-07-11T00:00:00"/>
    <s v="+7"/>
    <x v="2"/>
  </r>
  <r>
    <n v="11"/>
    <s v="+992 372-939-7775"/>
    <s v="Силин Антип Ильясович"/>
    <s v="нет"/>
    <d v="2022-05-09T00:00:00"/>
    <s v="+992"/>
    <x v="4"/>
  </r>
  <r>
    <n v="458"/>
    <s v="+7 089-779-0837"/>
    <s v="Зоя Егоровна Третьякова"/>
    <s v="да"/>
    <d v="2022-05-13T00:00:00"/>
    <s v="+7"/>
    <x v="2"/>
  </r>
  <r>
    <n v="130"/>
    <s v="+992 326-136-2416"/>
    <s v="Виктор Жанович Никифоров"/>
    <s v="нет"/>
    <d v="2022-10-29T00:00:00"/>
    <s v="+992"/>
    <x v="4"/>
  </r>
  <r>
    <n v="330"/>
    <s v="+998 016-556-9015"/>
    <s v="Ратибор Андреевич Маслов"/>
    <s v="нет"/>
    <d v="2022-09-11T00:00:00"/>
    <s v="+998"/>
    <x v="0"/>
  </r>
  <r>
    <n v="167"/>
    <s v="+998 388-311-1484"/>
    <s v="Жуков Никифор Фомич"/>
    <s v="да"/>
    <d v="2022-01-02T00:00:00"/>
    <s v="+998"/>
    <x v="0"/>
  </r>
  <r>
    <n v="140"/>
    <s v="+7 093-201-9949"/>
    <s v="Татьяна Михайловна Новикова"/>
    <s v="да"/>
    <d v="2022-03-07T00:00:00"/>
    <s v="+7"/>
    <x v="2"/>
  </r>
  <r>
    <n v="423"/>
    <s v="+375 074-074-0170"/>
    <s v="Виктор Марсович Игнатов"/>
    <s v="нет"/>
    <d v="2022-10-07T00:00:00"/>
    <s v="+375"/>
    <x v="1"/>
  </r>
  <r>
    <n v="365"/>
    <s v="+375 260-927-0999"/>
    <s v="Абрамова Елизавета Эдуардовна"/>
    <s v="нет"/>
    <d v="2022-10-07T00:00:00"/>
    <s v="+375"/>
    <x v="1"/>
  </r>
  <r>
    <n v="452"/>
    <s v="+7 356-385-2881"/>
    <s v="Чеслав Бориславович Мамонтов"/>
    <s v="да"/>
    <d v="2022-07-27T00:00:00"/>
    <s v="+7"/>
    <x v="2"/>
  </r>
  <r>
    <n v="424"/>
    <s v="+7 833-884-1180"/>
    <s v="Ефремов Епифан Ильич"/>
    <s v="да"/>
    <d v="2022-01-24T00:00:00"/>
    <s v="+7"/>
    <x v="2"/>
  </r>
  <r>
    <n v="75"/>
    <s v="+380 369-038-6358"/>
    <s v="Леонид Арсенович Давыдов"/>
    <s v="нет"/>
    <d v="2022-08-23T00:00:00"/>
    <s v="+380"/>
    <x v="3"/>
  </r>
  <r>
    <n v="71"/>
    <s v="+380 341-215-3278"/>
    <s v="Медведева Алина Алексеевна"/>
    <s v="да"/>
    <d v="2022-07-20T00:00:00"/>
    <s v="+380"/>
    <x v="3"/>
  </r>
  <r>
    <n v="313"/>
    <s v="+998 801-433-5842"/>
    <s v="Федотова Ангелина Максимовна"/>
    <s v="да"/>
    <d v="2022-12-01T00:00:00"/>
    <s v="+998"/>
    <x v="0"/>
  </r>
  <r>
    <n v="301"/>
    <s v="+7 727-444-8253"/>
    <s v="Николаева Зинаида Ивановна"/>
    <s v="да"/>
    <d v="2022-06-02T00:00:00"/>
    <s v="+7"/>
    <x v="2"/>
  </r>
  <r>
    <n v="359"/>
    <s v="+7 219-942-5792"/>
    <s v="Дорофеев Тимур Валерьянович"/>
    <s v="нет"/>
    <d v="2022-01-23T00:00:00"/>
    <s v="+7"/>
    <x v="2"/>
  </r>
  <r>
    <n v="474"/>
    <s v="+7 430-487-6579"/>
    <s v="Александра Владиславовна Беляева"/>
    <s v="нет"/>
    <d v="2022-02-13T00:00:00"/>
    <s v="+7"/>
    <x v="2"/>
  </r>
  <r>
    <n v="111"/>
    <s v="+998 827-959-0308"/>
    <s v="Эмилия Олеговна Калинина"/>
    <s v="да"/>
    <d v="2022-08-31T00:00:00"/>
    <s v="+998"/>
    <x v="0"/>
  </r>
  <r>
    <n v="126"/>
    <s v="+998 880-147-7505"/>
    <s v="тов. Копылова Жанна Архиповна"/>
    <s v="да"/>
    <d v="2022-09-18T00:00:00"/>
    <s v="+998"/>
    <x v="0"/>
  </r>
  <r>
    <n v="356"/>
    <s v="+992 234-736-4616"/>
    <s v="Князева Акулина Алексеевна"/>
    <s v="нет"/>
    <d v="2022-01-09T00:00:00"/>
    <s v="+992"/>
    <x v="4"/>
  </r>
  <r>
    <n v="166"/>
    <s v="+998 581-380-6694"/>
    <s v="Евдокимов Януарий Феликсович"/>
    <s v="да"/>
    <d v="2022-08-23T00:00:00"/>
    <s v="+998"/>
    <x v="0"/>
  </r>
  <r>
    <n v="162"/>
    <s v="+992 086-931-5836"/>
    <s v="Соловьев Родион Данилович"/>
    <s v="нет"/>
    <d v="2022-03-19T00:00:00"/>
    <s v="+992"/>
    <x v="4"/>
  </r>
  <r>
    <n v="459"/>
    <s v="+7 007-157-8873"/>
    <s v="Назар Августович Назаров"/>
    <s v="да"/>
    <d v="2022-07-01T00:00:00"/>
    <s v="+7"/>
    <x v="2"/>
  </r>
  <r>
    <n v="211"/>
    <s v="+380 947-602-2812"/>
    <s v="Кудряшова Василиса Болеславовна"/>
    <s v="нет"/>
    <d v="2022-03-01T00:00:00"/>
    <s v="+380"/>
    <x v="3"/>
  </r>
  <r>
    <n v="132"/>
    <s v="+380 697-469-4252"/>
    <s v="Лазарев Софон Якубович"/>
    <s v="да"/>
    <d v="2022-02-09T00:00:00"/>
    <s v="+380"/>
    <x v="3"/>
  </r>
  <r>
    <n v="333"/>
    <s v="+7 962-495-5040"/>
    <s v="Бобылев Никодим Виленович"/>
    <s v="да"/>
    <d v="2022-10-23T00:00:00"/>
    <s v="+7"/>
    <x v="2"/>
  </r>
  <r>
    <n v="298"/>
    <s v="+380 349-100-4938"/>
    <s v="Трофимова Василиса Матвеевна"/>
    <s v="да"/>
    <d v="2022-09-17T00:00:00"/>
    <s v="+380"/>
    <x v="3"/>
  </r>
  <r>
    <n v="273"/>
    <s v="+998 876-305-1700"/>
    <s v="Горбунова Наина Филипповна"/>
    <s v="нет"/>
    <d v="2022-02-07T00:00:00"/>
    <s v="+998"/>
    <x v="0"/>
  </r>
  <r>
    <n v="321"/>
    <s v="+992 861-842-9595"/>
    <s v="Блинов Натан Всеволодович"/>
    <s v="нет"/>
    <d v="2022-07-14T00:00:00"/>
    <s v="+992"/>
    <x v="4"/>
  </r>
  <r>
    <n v="119"/>
    <s v="+7 724-995-2653"/>
    <s v="Никитин Светозар Харлампьевич"/>
    <s v="нет"/>
    <d v="2022-05-09T00:00:00"/>
    <s v="+7"/>
    <x v="2"/>
  </r>
  <r>
    <n v="472"/>
    <s v="+380 435-435-7454"/>
    <s v="Фрол Авдеевич Фадеев"/>
    <s v="нет"/>
    <d v="2022-12-06T00:00:00"/>
    <s v="+380"/>
    <x v="3"/>
  </r>
  <r>
    <n v="396"/>
    <s v="+380 667-385-3298"/>
    <s v="Ермаков Вадим Юлианович"/>
    <s v="нет"/>
    <d v="2022-11-06T00:00:00"/>
    <s v="+380"/>
    <x v="3"/>
  </r>
  <r>
    <n v="269"/>
    <s v="+7 858-333-4042"/>
    <s v="Анжела Филипповна Новикова"/>
    <s v="нет"/>
    <d v="2022-06-08T00:00:00"/>
    <s v="+7"/>
    <x v="2"/>
  </r>
  <r>
    <n v="16"/>
    <s v="+380 828-307-7136"/>
    <s v="Белозеров Лука Харлампьевич"/>
    <s v="нет"/>
    <d v="2022-06-01T00:00:00"/>
    <s v="+380"/>
    <x v="3"/>
  </r>
  <r>
    <n v="281"/>
    <s v="+998 678-470-2329"/>
    <s v="Гурьев Евсей Гертрудович"/>
    <s v="нет"/>
    <d v="2022-05-30T00:00:00"/>
    <s v="+998"/>
    <x v="0"/>
  </r>
  <r>
    <n v="149"/>
    <s v="+992 908-369-0617"/>
    <s v="Королев Феофан Бориславович"/>
    <s v="да"/>
    <d v="2022-11-17T00:00:00"/>
    <s v="+992"/>
    <x v="4"/>
  </r>
  <r>
    <n v="380"/>
    <s v="+7 669-661-5797"/>
    <s v="Бурова Марфа Игоревна"/>
    <s v="да"/>
    <d v="2022-01-02T00:00:00"/>
    <s v="+7"/>
    <x v="2"/>
  </r>
  <r>
    <n v="114"/>
    <s v="+7 393-681-6723"/>
    <s v="Прокл Тимурович Александров"/>
    <s v="да"/>
    <d v="2022-11-24T00:00:00"/>
    <s v="+7"/>
    <x v="2"/>
  </r>
  <r>
    <n v="381"/>
    <s v="+998 583-780-6740"/>
    <s v="Раиса Станиславовна Чернова"/>
    <s v="нет"/>
    <d v="2022-06-02T00:00:00"/>
    <s v="+998"/>
    <x v="0"/>
  </r>
  <r>
    <n v="342"/>
    <s v="+992 928-516-3980"/>
    <s v="Фёкла Феликсовна Харитонова"/>
    <s v="да"/>
    <d v="2022-01-09T00:00:00"/>
    <s v="+992"/>
    <x v="4"/>
  </r>
  <r>
    <n v="276"/>
    <s v="+992 358-380-4702"/>
    <s v="Лазарев Арефий Анатольевич"/>
    <s v="нет"/>
    <d v="2022-03-12T00:00:00"/>
    <s v="+992"/>
    <x v="4"/>
  </r>
  <r>
    <n v="293"/>
    <s v="+375 156-538-5529"/>
    <s v="Брагин Любомир Гертрудович"/>
    <s v="да"/>
    <d v="2022-01-12T00:00:00"/>
    <s v="+375"/>
    <x v="1"/>
  </r>
  <r>
    <n v="386"/>
    <s v="+998 241-358-6988"/>
    <s v="Маргарита Ждановна Зуева"/>
    <s v="да"/>
    <d v="2022-06-22T00:00:00"/>
    <s v="+998"/>
    <x v="0"/>
  </r>
  <r>
    <n v="362"/>
    <s v="+7 739-924-9444"/>
    <s v="Авдей Брониславович Владимиров"/>
    <s v="нет"/>
    <d v="2022-12-21T00:00:00"/>
    <s v="+7"/>
    <x v="2"/>
  </r>
  <r>
    <n v="283"/>
    <s v="+992 904-682-2250"/>
    <s v="Кириллов Валерьян Иосипович"/>
    <s v="нет"/>
    <d v="2022-11-24T00:00:00"/>
    <s v="+992"/>
    <x v="4"/>
  </r>
  <r>
    <n v="388"/>
    <s v="+7 892-625-6649"/>
    <s v="Тимофеева Анастасия Натановна"/>
    <s v="да"/>
    <d v="2022-01-20T00:00:00"/>
    <s v="+7"/>
    <x v="2"/>
  </r>
  <r>
    <n v="437"/>
    <s v="+998 049-489-2171"/>
    <s v="Мария Кузьминична Борисова"/>
    <s v="нет"/>
    <d v="2022-01-15T00:00:00"/>
    <s v="+998"/>
    <x v="0"/>
  </r>
  <r>
    <n v="450"/>
    <s v="+7 038-725-7867"/>
    <s v="Самуил Зиновьевич Фокин"/>
    <s v="да"/>
    <d v="2022-02-27T00:00:00"/>
    <s v="+7"/>
    <x v="2"/>
  </r>
  <r>
    <n v="136"/>
    <s v="+380 833-248-7380"/>
    <s v="Зайцев Ефрем Даниилович"/>
    <s v="да"/>
    <d v="2022-10-26T00:00:00"/>
    <s v="+380"/>
    <x v="3"/>
  </r>
  <r>
    <n v="61"/>
    <s v="+992 862-124-2046"/>
    <s v="Арсений Вилорович Лобанов"/>
    <s v="нет"/>
    <d v="2022-07-27T00:00:00"/>
    <s v="+992"/>
    <x v="4"/>
  </r>
  <r>
    <n v="364"/>
    <s v="+7 139-999-3338"/>
    <s v="Родионова Евпраксия Олеговна"/>
    <s v="да"/>
    <d v="2022-11-18T00:00:00"/>
    <s v="+7"/>
    <x v="2"/>
  </r>
  <r>
    <n v="496"/>
    <s v="+380 030-138-6532"/>
    <s v="Вишняков Фома Викентьевич"/>
    <s v="да"/>
    <d v="2022-11-02T00:00:00"/>
    <s v="+380"/>
    <x v="3"/>
  </r>
  <r>
    <n v="464"/>
    <s v="+7 260-379-8995"/>
    <s v="Носкова Ольга Ждановна"/>
    <s v="нет"/>
    <d v="2022-09-23T00:00:00"/>
    <s v="+7"/>
    <x v="2"/>
  </r>
  <r>
    <n v="419"/>
    <s v="+992 908-969-9000"/>
    <s v="Жданов Аверьян Валерьевич"/>
    <s v="да"/>
    <d v="2022-11-04T00:00:00"/>
    <s v="+992"/>
    <x v="4"/>
  </r>
  <r>
    <n v="247"/>
    <s v="+998 153-345-5047"/>
    <s v="Филиппов Павел Игнатович"/>
    <s v="да"/>
    <d v="2022-07-20T00:00:00"/>
    <s v="+998"/>
    <x v="0"/>
  </r>
  <r>
    <n v="73"/>
    <s v="+380 487-238-5930"/>
    <s v="Лапин Эрнест Антипович"/>
    <s v="да"/>
    <d v="2022-04-14T00:00:00"/>
    <s v="+380"/>
    <x v="3"/>
  </r>
  <r>
    <n v="139"/>
    <s v="+375 187-052-9526"/>
    <s v="Зыкова Таисия Леонидовна"/>
    <s v="да"/>
    <d v="2022-03-28T00:00:00"/>
    <s v="+375"/>
    <x v="1"/>
  </r>
  <r>
    <n v="258"/>
    <s v="+380 174-160-6456"/>
    <s v="Василиса Леоновна Назарова"/>
    <s v="да"/>
    <d v="2022-06-05T00:00:00"/>
    <s v="+380"/>
    <x v="3"/>
  </r>
  <r>
    <n v="349"/>
    <s v="+7 048-020-5515"/>
    <s v="Авдеев Филипп Елисеевич"/>
    <s v="нет"/>
    <d v="2022-04-22T00:00:00"/>
    <s v="+7"/>
    <x v="2"/>
  </r>
  <r>
    <n v="325"/>
    <s v="+992 979-262-5049"/>
    <s v="Васильев Милован Георгиевич"/>
    <s v="нет"/>
    <d v="2022-11-10T00:00:00"/>
    <s v="+992"/>
    <x v="4"/>
  </r>
  <r>
    <n v="250"/>
    <s v="+7 981-183-3972"/>
    <s v="г-н Копылов Лаврентий Артемьевич"/>
    <s v="да"/>
    <d v="2022-10-22T00:00:00"/>
    <s v="+7"/>
    <x v="2"/>
  </r>
  <r>
    <n v="153"/>
    <s v="+7 709-119-0759"/>
    <s v="Маслов Сократ Анатольевич"/>
    <s v="нет"/>
    <d v="2022-08-29T00:00:00"/>
    <s v="+7"/>
    <x v="2"/>
  </r>
  <r>
    <n v="286"/>
    <s v="+992 292-122-7648"/>
    <s v="г-н Савельев Федосий Феоктистович"/>
    <s v="нет"/>
    <d v="2022-01-02T00:00:00"/>
    <s v="+992"/>
    <x v="4"/>
  </r>
  <r>
    <n v="32"/>
    <s v="+998 265-405-9627"/>
    <s v="Гущин Ипполит Яковлевич"/>
    <s v="да"/>
    <d v="2022-12-27T00:00:00"/>
    <s v="+998"/>
    <x v="0"/>
  </r>
  <r>
    <n v="49"/>
    <s v="+992 750-248-5649"/>
    <s v="Спиридон Чеславович Абрамов"/>
    <s v="да"/>
    <d v="2022-04-21T00:00:00"/>
    <s v="+992"/>
    <x v="4"/>
  </r>
  <r>
    <n v="420"/>
    <s v="+380 992-850-2292"/>
    <s v="Тихонова Евфросиния Феликсовна"/>
    <s v="нет"/>
    <d v="2022-05-17T00:00:00"/>
    <s v="+380"/>
    <x v="3"/>
  </r>
  <r>
    <n v="202"/>
    <s v="+375 840-221-8767"/>
    <s v="Сазонова Оксана Александровна"/>
    <s v="нет"/>
    <d v="2022-07-24T00:00:00"/>
    <s v="+375"/>
    <x v="1"/>
  </r>
  <r>
    <n v="37"/>
    <s v="+380 855-516-3611"/>
    <s v="Кулакова Нина Семеновна"/>
    <s v="да"/>
    <d v="2022-06-16T00:00:00"/>
    <s v="+380"/>
    <x v="3"/>
  </r>
  <r>
    <n v="366"/>
    <s v="+998 381-147-6466"/>
    <s v="Анна Альбертовна Никифорова"/>
    <s v="нет"/>
    <d v="2022-09-23T00:00:00"/>
    <s v="+998"/>
    <x v="0"/>
  </r>
  <r>
    <n v="434"/>
    <s v="+380 705-295-2201"/>
    <s v="Христофор Авдеевич Щукин"/>
    <s v="нет"/>
    <d v="2022-06-18T00:00:00"/>
    <s v="+380"/>
    <x v="3"/>
  </r>
  <r>
    <n v="172"/>
    <s v="+7 326-132-7435"/>
    <s v="Русаков Лев Тимурович"/>
    <s v="нет"/>
    <d v="2022-06-25T00:00:00"/>
    <s v="+7"/>
    <x v="2"/>
  </r>
  <r>
    <n v="52"/>
    <s v="+7 340-358-5907"/>
    <s v="Глафира Николаевна Мельникова"/>
    <s v="да"/>
    <d v="2022-12-22T00:00:00"/>
    <s v="+7"/>
    <x v="2"/>
  </r>
  <r>
    <n v="395"/>
    <s v="+998 914-522-1318"/>
    <s v="Якушев Мина Гавриилович"/>
    <s v="нет"/>
    <d v="2022-11-25T00:00:00"/>
    <s v="+998"/>
    <x v="0"/>
  </r>
  <r>
    <n v="46"/>
    <s v="+992 891-393-2973"/>
    <s v="тов. Степанова Синклитикия Александровна"/>
    <s v="да"/>
    <d v="2022-03-16T00:00:00"/>
    <s v="+992"/>
    <x v="4"/>
  </r>
  <r>
    <n v="361"/>
    <s v="+998 197-437-6957"/>
    <s v="Федорова Жанна Вадимовна"/>
    <s v="да"/>
    <d v="2022-09-27T00:00:00"/>
    <s v="+998"/>
    <x v="0"/>
  </r>
  <r>
    <n v="358"/>
    <s v="+380 383-190-2360"/>
    <s v="Евфросиния Петровна Чернова"/>
    <s v="да"/>
    <d v="2022-07-29T00:00:00"/>
    <s v="+380"/>
    <x v="3"/>
  </r>
  <r>
    <n v="44"/>
    <s v="+375 226-003-8992"/>
    <s v="Кир Васильевич Горбунов"/>
    <s v="нет"/>
    <d v="2022-05-20T00:00:00"/>
    <s v="+375"/>
    <x v="1"/>
  </r>
  <r>
    <n v="416"/>
    <s v="+992 906-130-4174"/>
    <s v="Зуев Гостомысл Игоревич"/>
    <s v="нет"/>
    <d v="2022-05-22T00:00:00"/>
    <s v="+992"/>
    <x v="4"/>
  </r>
  <r>
    <n v="74"/>
    <s v="+7 977-556-0650"/>
    <s v="Любовь Романовна Данилова"/>
    <s v="нет"/>
    <d v="2022-10-23T00:00:00"/>
    <s v="+7"/>
    <x v="2"/>
  </r>
  <r>
    <n v="180"/>
    <s v="+375 820-460-9487"/>
    <s v="Калинин Лев Феодосьевич"/>
    <s v="нет"/>
    <d v="2022-02-24T00:00:00"/>
    <s v="+375"/>
    <x v="1"/>
  </r>
  <r>
    <n v="159"/>
    <s v="+998 608-979-4237"/>
    <s v="Марк Яковлевич Корнилов"/>
    <s v="нет"/>
    <d v="2022-05-05T00:00:00"/>
    <s v="+998"/>
    <x v="0"/>
  </r>
  <r>
    <n v="106"/>
    <s v="+380 086-392-5406"/>
    <s v="Таисия Богдановна Якушева"/>
    <s v="да"/>
    <d v="2022-10-24T00:00:00"/>
    <s v="+380"/>
    <x v="3"/>
  </r>
  <r>
    <n v="65"/>
    <s v="+380 264-466-6372"/>
    <s v="Самойлова Жанна Семеновна"/>
    <s v="нет"/>
    <d v="2022-03-03T00:00:00"/>
    <s v="+380"/>
    <x v="3"/>
  </r>
  <r>
    <n v="457"/>
    <s v="+992 644-743-9326"/>
    <s v="Валерия Владимировна Медведева"/>
    <s v="нет"/>
    <d v="2022-02-03T00:00:00"/>
    <s v="+992"/>
    <x v="4"/>
  </r>
  <r>
    <n v="255"/>
    <s v="+380 403-818-2198"/>
    <s v="Филимон Ефимьевич Беляков"/>
    <s v="да"/>
    <d v="2022-08-20T00:00:00"/>
    <s v="+380"/>
    <x v="3"/>
  </r>
  <r>
    <n v="436"/>
    <s v="+7 613-538-5501"/>
    <s v="Миронов Аверкий Зиновьевич"/>
    <s v="нет"/>
    <d v="2022-05-02T00:00:00"/>
    <s v="+7"/>
    <x v="2"/>
  </r>
  <r>
    <n v="175"/>
    <s v="+7 670-667-8381"/>
    <s v="Валерия Семеновна Потапова"/>
    <s v="нет"/>
    <d v="2022-01-04T00:00:00"/>
    <s v="+7"/>
    <x v="2"/>
  </r>
  <r>
    <n v="274"/>
    <s v="+7 264-686-5607"/>
    <s v="Сорокина Феврония Геннадьевна"/>
    <s v="да"/>
    <d v="2022-02-15T00:00:00"/>
    <s v="+7"/>
    <x v="2"/>
  </r>
  <r>
    <n v="59"/>
    <s v="+7 535-345-7895"/>
    <s v="Любовь Альбертовна Одинцова"/>
    <s v="да"/>
    <d v="2022-07-28T00:00:00"/>
    <s v="+7"/>
    <x v="2"/>
  </r>
  <r>
    <n v="411"/>
    <s v="+992 587-542-2147"/>
    <s v="Спиридон Владленович Воронцов"/>
    <s v="нет"/>
    <d v="2022-04-22T00:00:00"/>
    <s v="+992"/>
    <x v="4"/>
  </r>
  <r>
    <n v="259"/>
    <s v="+375 890-614-0667"/>
    <s v="Алевтина Михайловна Зыкова"/>
    <s v="да"/>
    <d v="2022-05-26T00:00:00"/>
    <s v="+375"/>
    <x v="1"/>
  </r>
  <r>
    <n v="337"/>
    <s v="+7 197-654-6044"/>
    <s v="Максимова Евпраксия Ждановна"/>
    <s v="да"/>
    <d v="2022-11-10T00:00:00"/>
    <s v="+7"/>
    <x v="2"/>
  </r>
  <r>
    <n v="354"/>
    <s v="+998 777-844-5783"/>
    <s v="Анжела Ивановна Григорьева"/>
    <s v="нет"/>
    <d v="2022-09-07T00:00:00"/>
    <s v="+998"/>
    <x v="0"/>
  </r>
  <r>
    <n v="329"/>
    <s v="+375 285-458-8961"/>
    <s v="Маслова Агафья Юрьевна"/>
    <s v="да"/>
    <d v="2022-04-02T00:00:00"/>
    <s v="+375"/>
    <x v="1"/>
  </r>
  <r>
    <n v="186"/>
    <s v="+375 389-470-8585"/>
    <s v="Флорентин Демьянович Родионов"/>
    <s v="нет"/>
    <d v="2022-12-19T00:00:00"/>
    <s v="+375"/>
    <x v="1"/>
  </r>
  <r>
    <n v="448"/>
    <s v="+7 984-361-4421"/>
    <s v="Анжелика Валериевна Рожкова"/>
    <s v="нет"/>
    <d v="2022-07-28T00:00:00"/>
    <s v="+7"/>
    <x v="2"/>
  </r>
  <r>
    <n v="377"/>
    <s v="+998 643-985-0175"/>
    <s v="Виктория Наумовна Никитина"/>
    <s v="нет"/>
    <d v="2022-08-21T00:00:00"/>
    <s v="+998"/>
    <x v="0"/>
  </r>
  <r>
    <n v="316"/>
    <s v="+992 330-173-6947"/>
    <s v="Брагина Полина Евгеньевна"/>
    <s v="да"/>
    <d v="2022-08-14T00:00:00"/>
    <s v="+992"/>
    <x v="4"/>
  </r>
  <r>
    <n v="322"/>
    <s v="+380 459-176-1508"/>
    <s v="Суханова Алла Эльдаровна"/>
    <s v="да"/>
    <d v="2022-11-21T00:00:00"/>
    <s v="+380"/>
    <x v="3"/>
  </r>
  <r>
    <n v="62"/>
    <s v="+7 487-712-2137"/>
    <s v="Юрий Августович Исаков"/>
    <s v="нет"/>
    <d v="2022-04-20T00:00:00"/>
    <s v="+7"/>
    <x v="2"/>
  </r>
  <r>
    <n v="295"/>
    <s v="+7 616-701-4879"/>
    <s v="Конон Валентинович Владимиров"/>
    <s v="нет"/>
    <d v="2022-01-27T00:00:00"/>
    <s v="+7"/>
    <x v="2"/>
  </r>
  <r>
    <n v="235"/>
    <s v="+998 766-764-4076"/>
    <s v="Елисей Игнатович Лобанов"/>
    <s v="нет"/>
    <d v="2022-03-15T00:00:00"/>
    <s v="+998"/>
    <x v="0"/>
  </r>
  <r>
    <n v="156"/>
    <s v="+380 270-120-1119"/>
    <s v="Белов Симон Иосипович"/>
    <s v="да"/>
    <d v="2022-12-10T00:00:00"/>
    <s v="+380"/>
    <x v="3"/>
  </r>
  <r>
    <n v="327"/>
    <s v="+992 257-520-2828"/>
    <s v="Рожкова Маргарита Артемовна"/>
    <s v="нет"/>
    <d v="2022-01-04T00:00:00"/>
    <s v="+992"/>
    <x v="4"/>
  </r>
  <r>
    <n v="275"/>
    <s v="+992 403-930-8580"/>
    <s v="Андрон Валерьевич Морозов"/>
    <s v="нет"/>
    <d v="2022-03-31T00:00:00"/>
    <s v="+992"/>
    <x v="4"/>
  </r>
  <r>
    <n v="177"/>
    <s v="+992 672-498-6349"/>
    <s v="Иванна Захаровна Сергеева"/>
    <s v="нет"/>
    <d v="2022-10-23T00:00:00"/>
    <s v="+992"/>
    <x v="4"/>
  </r>
  <r>
    <n v="181"/>
    <s v="+380 921-086-4453"/>
    <s v="Русаков Модест Захарьевич"/>
    <s v="да"/>
    <d v="2022-01-07T00:00:00"/>
    <s v="+380"/>
    <x v="3"/>
  </r>
  <r>
    <n v="478"/>
    <s v="+380 260-756-9533"/>
    <s v="Шарова Екатерина Леоновна"/>
    <s v="нет"/>
    <d v="2022-06-14T00:00:00"/>
    <s v="+380"/>
    <x v="3"/>
  </r>
  <r>
    <n v="429"/>
    <s v="+992 266-513-0456"/>
    <s v="Цветков Лука Витальевич"/>
    <s v="да"/>
    <d v="2022-03-05T00:00:00"/>
    <s v="+992"/>
    <x v="4"/>
  </r>
  <r>
    <n v="431"/>
    <s v="+7 869-111-2094"/>
    <s v="Мясников Зосима Якубович"/>
    <s v="нет"/>
    <d v="2022-03-03T00:00:00"/>
    <s v="+7"/>
    <x v="2"/>
  </r>
  <r>
    <n v="147"/>
    <s v="+7 412-542-8365"/>
    <s v="Бирюкова Агафья Артемовна"/>
    <s v="да"/>
    <d v="2022-09-23T00:00:00"/>
    <s v="+7"/>
    <x v="2"/>
  </r>
  <r>
    <n v="312"/>
    <s v="+7 844-239-9142"/>
    <s v="Савельев Климент Гурьевич"/>
    <s v="да"/>
    <d v="2022-11-21T00:00:00"/>
    <s v="+7"/>
    <x v="2"/>
  </r>
  <r>
    <n v="41"/>
    <s v="+7 661-552-6669"/>
    <s v="Волкова Валентина Николаевна"/>
    <s v="да"/>
    <d v="2022-10-08T00:00:00"/>
    <s v="+7"/>
    <x v="2"/>
  </r>
  <r>
    <n v="389"/>
    <s v="+7 524-093-8464"/>
    <s v="Автоном Терентьевич Филиппов"/>
    <s v="да"/>
    <d v="2022-11-11T00:00:00"/>
    <s v="+7"/>
    <x v="2"/>
  </r>
  <r>
    <n v="249"/>
    <s v="+7 974-088-4889"/>
    <s v="Абрамов Адриан Фролович"/>
    <s v="да"/>
    <d v="2022-08-08T00:00:00"/>
    <s v="+7"/>
    <x v="2"/>
  </r>
  <r>
    <n v="168"/>
    <s v="+998 113-461-2855"/>
    <s v="Самсонов Борислав Фролович"/>
    <s v="да"/>
    <d v="2022-05-25T00:00:00"/>
    <s v="+998"/>
    <x v="0"/>
  </r>
  <r>
    <n v="121"/>
    <s v="+7 925-005-3361"/>
    <s v="Сысоева Светлана Захаровна"/>
    <s v="да"/>
    <d v="2022-07-21T00:00:00"/>
    <s v="+7"/>
    <x v="2"/>
  </r>
  <r>
    <n v="405"/>
    <s v="+380 524-191-7258"/>
    <s v="Ия Робертовна Белова"/>
    <s v="нет"/>
    <d v="2022-08-25T00:00:00"/>
    <s v="+380"/>
    <x v="3"/>
  </r>
  <r>
    <n v="376"/>
    <s v="+375 690-843-0501"/>
    <s v="Лукин Борис Власович"/>
    <s v="да"/>
    <d v="2022-06-18T00:00:00"/>
    <s v="+375"/>
    <x v="1"/>
  </r>
  <r>
    <n v="489"/>
    <s v="+7 778-043-0691"/>
    <s v="Никанор Феодосьевич Воронов"/>
    <s v="да"/>
    <d v="2022-01-26T00:00:00"/>
    <s v="+7"/>
    <x v="2"/>
  </r>
  <r>
    <n v="483"/>
    <s v="+7 319-073-7259"/>
    <s v="Александр Архипович Гущин"/>
    <s v="да"/>
    <d v="2022-10-21T00:00:00"/>
    <s v="+7"/>
    <x v="2"/>
  </r>
  <r>
    <n v="107"/>
    <s v="+992 943-140-9489"/>
    <s v="Большаков Антип Тихонович"/>
    <s v="нет"/>
    <d v="2022-07-02T00:00:00"/>
    <s v="+992"/>
    <x v="4"/>
  </r>
  <r>
    <n v="51"/>
    <s v="+998 154-674-1649"/>
    <s v="Костина Жанна Рубеновна"/>
    <s v="нет"/>
    <d v="2022-02-13T00:00:00"/>
    <s v="+998"/>
    <x v="0"/>
  </r>
  <r>
    <n v="9"/>
    <s v="+992 442-185-5422"/>
    <s v="Устинов Милан Архипович"/>
    <s v="да"/>
    <d v="2022-12-05T00:00:00"/>
    <s v="+992"/>
    <x v="4"/>
  </r>
  <r>
    <n v="456"/>
    <s v="+7 584-823-9648"/>
    <s v="Муравьева Алла Петровна"/>
    <s v="да"/>
    <d v="2022-02-26T00:00:00"/>
    <s v="+7"/>
    <x v="2"/>
  </r>
  <r>
    <n v="110"/>
    <s v="+998 838-480-9390"/>
    <s v="Давыд Фёдорович Белоусов"/>
    <s v="нет"/>
    <d v="2022-01-19T00:00:00"/>
    <s v="+998"/>
    <x v="0"/>
  </r>
  <r>
    <n v="216"/>
    <s v="+992 638-430-8419"/>
    <s v="Никонов Софон Авдеевич"/>
    <s v="нет"/>
    <d v="2022-04-04T00:00:00"/>
    <s v="+992"/>
    <x v="4"/>
  </r>
  <r>
    <n v="77"/>
    <s v="+7 296-302-4718"/>
    <s v="Фокин Глеб Елизарович"/>
    <s v="нет"/>
    <d v="2022-03-24T00:00:00"/>
    <s v="+7"/>
    <x v="2"/>
  </r>
  <r>
    <n v="192"/>
    <s v="+7 572-970-7703"/>
    <s v="Устинов Евграф Исидорович"/>
    <s v="да"/>
    <d v="2022-01-11T00:00:00"/>
    <s v="+7"/>
    <x v="2"/>
  </r>
  <r>
    <n v="308"/>
    <s v="+375 958-521-7488"/>
    <s v="Ирина Анатольевна Васильева"/>
    <s v="да"/>
    <d v="2022-01-01T00:00:00"/>
    <s v="+375"/>
    <x v="1"/>
  </r>
  <r>
    <n v="455"/>
    <s v="+380 315-815-3268"/>
    <s v="Герман Арсеньевич Калинин"/>
    <s v="да"/>
    <d v="2022-09-16T00:00:00"/>
    <s v="+380"/>
    <x v="3"/>
  </r>
  <r>
    <n v="480"/>
    <s v="+998 697-530-0958"/>
    <s v="Юлия Кузьминична Капустина"/>
    <s v="да"/>
    <d v="2022-01-07T00:00:00"/>
    <s v="+998"/>
    <x v="0"/>
  </r>
  <r>
    <n v="203"/>
    <s v="+7 466-253-9021"/>
    <s v="Суханов Станислав Архипович"/>
    <s v="нет"/>
    <d v="2022-05-04T00:00:00"/>
    <s v="+7"/>
    <x v="2"/>
  </r>
  <r>
    <n v="21"/>
    <s v="+375 299-252-6550"/>
    <s v="Никита Венедиктович Третьяков"/>
    <s v="да"/>
    <d v="2022-11-16T00:00:00"/>
    <s v="+375"/>
    <x v="1"/>
  </r>
  <r>
    <n v="302"/>
    <s v="+7 449-357-2065"/>
    <s v="Журавлева Александра Валентиновна"/>
    <s v="нет"/>
    <d v="2022-10-25T00:00:00"/>
    <s v="+7"/>
    <x v="2"/>
  </r>
  <r>
    <n v="341"/>
    <s v="+7 456-978-0873"/>
    <s v="Алевтина Архиповна Ефимова"/>
    <s v="нет"/>
    <d v="2022-06-12T00:00:00"/>
    <s v="+7"/>
    <x v="2"/>
  </r>
  <r>
    <n v="463"/>
    <s v="+380 286-003-5332"/>
    <s v="Вероника Руслановна Ефремова"/>
    <s v="нет"/>
    <d v="2022-11-04T00:00:00"/>
    <s v="+380"/>
    <x v="3"/>
  </r>
  <r>
    <n v="421"/>
    <s v="+7 362-778-4019"/>
    <s v="Красильников Павел Ермилович"/>
    <s v="нет"/>
    <d v="2022-02-28T00:00:00"/>
    <s v="+7"/>
    <x v="2"/>
  </r>
  <r>
    <n v="86"/>
    <s v="+998 169-477-8408"/>
    <s v="Гуляева Раиса Кузьминична"/>
    <s v="да"/>
    <d v="2022-05-11T00:00:00"/>
    <s v="+998"/>
    <x v="0"/>
  </r>
  <r>
    <n v="319"/>
    <s v="+998 213-223-6638"/>
    <s v="Маркова Василиса Юрьевна"/>
    <s v="да"/>
    <d v="2022-04-23T00:00:00"/>
    <s v="+998"/>
    <x v="0"/>
  </r>
  <r>
    <n v="290"/>
    <s v="+7 244-331-6219"/>
    <s v="Николай Гавриилович Савин"/>
    <s v="да"/>
    <d v="2022-08-04T00:00:00"/>
    <s v="+7"/>
    <x v="2"/>
  </r>
  <r>
    <n v="13"/>
    <s v="+7 782-443-4000"/>
    <s v="Максимова Елена Валериевна"/>
    <s v="нет"/>
    <d v="2022-06-12T00:00:00"/>
    <s v="+7"/>
    <x v="2"/>
  </r>
  <r>
    <n v="453"/>
    <s v="+7 648-807-1917"/>
    <s v="Никифоров Богдан Харитонович"/>
    <s v="да"/>
    <d v="2022-03-15T00:00:00"/>
    <s v="+7"/>
    <x v="2"/>
  </r>
  <r>
    <n v="120"/>
    <s v="+7 225-063-9920"/>
    <s v="Велимир Игоревич Макаров"/>
    <s v="да"/>
    <d v="2022-05-10T00:00:00"/>
    <s v="+7"/>
    <x v="2"/>
  </r>
  <r>
    <n v="292"/>
    <s v="+7 421-153-6302"/>
    <s v="Тимофеев Аполлинарий Фомич"/>
    <s v="нет"/>
    <d v="2022-02-16T00:00:00"/>
    <s v="+7"/>
    <x v="2"/>
  </r>
  <r>
    <n v="1"/>
    <s v="+7 945-211-9429"/>
    <s v="Потап Егорович Лапин"/>
    <s v="да"/>
    <d v="2022-01-24T00:00:00"/>
    <s v="+7"/>
    <x v="2"/>
  </r>
  <r>
    <n v="98"/>
    <s v="+7 379-140-2865"/>
    <s v="Никита Виленович Степанов"/>
    <s v="да"/>
    <d v="2022-03-17T00:00:00"/>
    <s v="+7"/>
    <x v="2"/>
  </r>
  <r>
    <n v="226"/>
    <s v="+7 685-361-2926"/>
    <s v="Агап Валерьевич Логинов"/>
    <s v="да"/>
    <d v="2022-05-21T00:00:00"/>
    <s v="+7"/>
    <x v="2"/>
  </r>
  <r>
    <n v="296"/>
    <s v="+998 997-462-0828"/>
    <s v="Исакова Людмила Олеговна"/>
    <s v="нет"/>
    <d v="2022-07-16T00:00:00"/>
    <s v="+998"/>
    <x v="0"/>
  </r>
  <r>
    <n v="29"/>
    <s v="+7 028-813-4020"/>
    <s v="Вишняков Ярослав Анатольевич"/>
    <s v="да"/>
    <d v="2022-05-23T00:00:00"/>
    <s v="+7"/>
    <x v="2"/>
  </r>
  <r>
    <n v="297"/>
    <s v="+380 802-906-1048"/>
    <s v="Нестеров Чеслав Аверьянович"/>
    <s v="нет"/>
    <d v="2022-04-15T00:00:00"/>
    <s v="+380"/>
    <x v="3"/>
  </r>
  <r>
    <n v="497"/>
    <s v="+998 247-862-3690"/>
    <s v="Валерьян Федосеевич Цветков"/>
    <s v="нет"/>
    <d v="2022-09-22T00:00:00"/>
    <s v="+998"/>
    <x v="0"/>
  </r>
  <r>
    <n v="191"/>
    <s v="+380 728-449-1745"/>
    <s v="Матвей Адамович Богданов"/>
    <s v="да"/>
    <d v="2022-11-01T00:00:00"/>
    <s v="+380"/>
    <x v="3"/>
  </r>
  <r>
    <n v="58"/>
    <s v="+375 524-220-8374"/>
    <s v="Владимирова Алина Феликсовна"/>
    <s v="нет"/>
    <d v="2022-03-08T00:00:00"/>
    <s v="+375"/>
    <x v="1"/>
  </r>
  <r>
    <n v="446"/>
    <s v="+992 028-876-8250"/>
    <s v="Лора Вадимовна Турова"/>
    <s v="да"/>
    <d v="2022-04-20T00:00:00"/>
    <s v="+992"/>
    <x v="4"/>
  </r>
  <r>
    <n v="117"/>
    <s v="+380 280-785-9631"/>
    <s v="Мирон Давидович Горбачев"/>
    <s v="да"/>
    <d v="2022-05-25T00:00:00"/>
    <s v="+380"/>
    <x v="3"/>
  </r>
  <r>
    <n v="187"/>
    <s v="+7 304-758-2488"/>
    <s v="Юлия Геннадиевна Белякова"/>
    <s v="да"/>
    <d v="2022-10-14T00:00:00"/>
    <s v="+7"/>
    <x v="2"/>
  </r>
  <r>
    <n v="231"/>
    <s v="+7 212-350-2928"/>
    <s v="Ермаков Ярослав Тихонович"/>
    <s v="нет"/>
    <d v="2022-07-10T00:00:00"/>
    <s v="+7"/>
    <x v="2"/>
  </r>
  <r>
    <n v="265"/>
    <s v="+998 438-329-1521"/>
    <s v="Баранов Эраст Терентьевич"/>
    <s v="нет"/>
    <d v="2022-07-14T00:00:00"/>
    <s v="+998"/>
    <x v="0"/>
  </r>
  <r>
    <n v="391"/>
    <s v="+992 638-653-7931"/>
    <s v="Вероника Геннадьевна Воронова"/>
    <s v="да"/>
    <d v="2022-04-24T00:00:00"/>
    <s v="+992"/>
    <x v="4"/>
  </r>
  <r>
    <n v="355"/>
    <s v="+7 181-999-1398"/>
    <s v="Назарова Ия Ивановна"/>
    <s v="нет"/>
    <d v="2022-03-11T00:00:00"/>
    <s v="+7"/>
    <x v="2"/>
  </r>
  <r>
    <n v="277"/>
    <s v="+7 052-743-8708"/>
    <s v="Любомир Архипович Пономарев"/>
    <s v="да"/>
    <d v="2022-07-08T00:00:00"/>
    <s v="+7"/>
    <x v="2"/>
  </r>
  <r>
    <n v="104"/>
    <s v="+998 583-835-9258"/>
    <s v="Елизавета Яковлевна Лапина"/>
    <s v="нет"/>
    <d v="2022-07-30T00:00:00"/>
    <s v="+998"/>
    <x v="0"/>
  </r>
  <r>
    <n v="109"/>
    <s v="+380 249-840-3292"/>
    <s v="Гурьева Людмила Владимировна"/>
    <s v="да"/>
    <d v="2022-06-20T00:00:00"/>
    <s v="+380"/>
    <x v="3"/>
  </r>
  <r>
    <n v="369"/>
    <s v="+7 894-629-6946"/>
    <s v="Фёкла Натановна Дементьева"/>
    <s v="да"/>
    <d v="2022-04-27T00:00:00"/>
    <s v="+7"/>
    <x v="2"/>
  </r>
  <r>
    <n v="78"/>
    <s v="+380 119-291-6424"/>
    <s v="Маслова Иванна Макаровна"/>
    <s v="да"/>
    <d v="2022-04-07T00:00:00"/>
    <s v="+380"/>
    <x v="3"/>
  </r>
  <r>
    <n v="66"/>
    <s v="+7 629-137-1639"/>
    <s v="Клавдия Богдановна Ковалева"/>
    <s v="нет"/>
    <d v="2022-08-04T00:00:00"/>
    <s v="+7"/>
    <x v="2"/>
  </r>
  <r>
    <n v="261"/>
    <s v="+7 560-711-8976"/>
    <s v="Евсеев Ратмир Артемьевич"/>
    <s v="да"/>
    <d v="2022-10-14T00:00:00"/>
    <s v="+7"/>
    <x v="2"/>
  </r>
  <r>
    <n v="307"/>
    <s v="+375 881-217-3017"/>
    <s v="Клавдия Константиновна Хохлова"/>
    <s v="да"/>
    <d v="2022-07-22T00:00:00"/>
    <s v="+375"/>
    <x v="1"/>
  </r>
  <r>
    <n v="144"/>
    <s v="+380 960-351-2387"/>
    <s v="Анастасия Альбертовна Фролова"/>
    <s v="да"/>
    <d v="2022-05-24T00:00:00"/>
    <s v="+380"/>
    <x v="3"/>
  </r>
  <r>
    <n v="76"/>
    <s v="+375 081-974-3402"/>
    <s v="Федосеева Василиса Аскольдовна"/>
    <s v="да"/>
    <d v="2022-01-14T00:00:00"/>
    <s v="+375"/>
    <x v="1"/>
  </r>
  <r>
    <n v="84"/>
    <s v="+992 046-188-5111"/>
    <s v="Евгения Георгиевна Рожкова"/>
    <s v="нет"/>
    <d v="2022-09-01T00:00:00"/>
    <s v="+992"/>
    <x v="4"/>
  </r>
  <r>
    <n v="81"/>
    <s v="+7 219-084-6295"/>
    <s v="Ксения Кузьминична Авдеева"/>
    <s v="да"/>
    <d v="2022-09-21T00:00:00"/>
    <s v="+7"/>
    <x v="2"/>
  </r>
  <r>
    <n v="157"/>
    <s v="+7 502-802-5787"/>
    <s v="Елена Эдуардовна Кудряшова"/>
    <s v="нет"/>
    <d v="2022-08-10T00:00:00"/>
    <s v="+7"/>
    <x v="2"/>
  </r>
  <r>
    <n v="57"/>
    <s v="+7 269-195-3186"/>
    <s v="Константин Ефимьевич Колесников"/>
    <s v="нет"/>
    <d v="2022-04-18T00:00:00"/>
    <s v="+7"/>
    <x v="2"/>
  </r>
  <r>
    <n v="479"/>
    <s v="+7 836-233-8115"/>
    <s v="Евпраксия Федоровна Фомина"/>
    <s v="да"/>
    <d v="2022-08-20T00:00:00"/>
    <s v="+7"/>
    <x v="2"/>
  </r>
  <r>
    <n v="406"/>
    <s v="+380 469-601-0972"/>
    <s v="Дмитрий Трифонович Денисов"/>
    <s v="да"/>
    <d v="2022-11-30T00:00:00"/>
    <s v="+380"/>
    <x v="3"/>
  </r>
  <r>
    <n v="56"/>
    <s v="+992 555-207-4186"/>
    <s v="Пелагея Антоновна Цветкова"/>
    <s v="нет"/>
    <d v="2022-04-11T00:00:00"/>
    <s v="+992"/>
    <x v="4"/>
  </r>
  <r>
    <n v="10"/>
    <s v="+380 937-173-7394"/>
    <s v="Давыдов Амос Владиславович"/>
    <s v="нет"/>
    <d v="2022-11-16T00:00:00"/>
    <s v="+380"/>
    <x v="3"/>
  </r>
  <r>
    <n v="174"/>
    <s v="+992 059-483-3104"/>
    <s v="Лазарев Аникей Венедиктович"/>
    <s v="да"/>
    <d v="2022-08-06T00:00:00"/>
    <s v="+992"/>
    <x v="4"/>
  </r>
  <r>
    <n v="72"/>
    <s v="+992 226-423-7263"/>
    <s v="Фомина Антонина Павловна"/>
    <s v="да"/>
    <d v="2022-12-11T00:00:00"/>
    <s v="+992"/>
    <x v="4"/>
  </r>
  <r>
    <n v="38"/>
    <s v="+992 964-689-9206"/>
    <s v="Ираида Феликсовна Белоусова"/>
    <s v="нет"/>
    <d v="2022-09-15T00:00:00"/>
    <s v="+992"/>
    <x v="4"/>
  </r>
  <r>
    <n v="18"/>
    <s v="+380 671-809-3559"/>
    <s v="Кира Степановна Рогова"/>
    <s v="нет"/>
    <d v="2022-01-17T00:00:00"/>
    <s v="+380"/>
    <x v="3"/>
  </r>
  <r>
    <n v="88"/>
    <s v="+380 611-258-8704"/>
    <s v="Кузнецов Севастьян Валерьевич"/>
    <s v="да"/>
    <d v="2022-03-10T00:00:00"/>
    <s v="+380"/>
    <x v="3"/>
  </r>
  <r>
    <n v="129"/>
    <s v="+375 242-923-3569"/>
    <s v="Ираида Егоровна Родионова"/>
    <s v="нет"/>
    <d v="2022-11-03T00:00:00"/>
    <s v="+375"/>
    <x v="1"/>
  </r>
  <r>
    <n v="19"/>
    <s v="+7 069-852-7793"/>
    <s v="Шубин Орест Августович"/>
    <s v="да"/>
    <d v="2022-12-07T00:00:00"/>
    <s v="+7"/>
    <x v="2"/>
  </r>
  <r>
    <n v="304"/>
    <s v="+7 891-832-3772"/>
    <s v="Сорокина Марфа Викторовна"/>
    <s v="нет"/>
    <d v="2022-11-21T00:00:00"/>
    <s v="+7"/>
    <x v="2"/>
  </r>
  <r>
    <n v="285"/>
    <s v="+992 852-358-1111"/>
    <s v="Лариса Степановна Гурьева"/>
    <s v="нет"/>
    <d v="2022-12-27T00:00:00"/>
    <s v="+992"/>
    <x v="4"/>
  </r>
  <r>
    <n v="461"/>
    <s v="+998 087-023-3754"/>
    <s v="Олимпиада Львовна Михайлова"/>
    <s v="да"/>
    <d v="2022-04-16T00:00:00"/>
    <s v="+998"/>
    <x v="0"/>
  </r>
  <r>
    <n v="278"/>
    <s v="+998 276-111-5039"/>
    <s v="Савватий Богданович Фролов"/>
    <s v="нет"/>
    <d v="2022-12-25T00:00:00"/>
    <s v="+998"/>
    <x v="0"/>
  </r>
  <r>
    <n v="246"/>
    <s v="+998 455-040-0995"/>
    <s v="Евфросиния Тимофеевна Миронова"/>
    <s v="нет"/>
    <d v="2022-09-01T00:00:00"/>
    <s v="+998"/>
    <x v="0"/>
  </r>
  <r>
    <n v="205"/>
    <s v="+7 689-265-9126"/>
    <s v="Назаров Пантелеймон Трофимович"/>
    <s v="да"/>
    <d v="2022-12-23T00:00:00"/>
    <s v="+7"/>
    <x v="2"/>
  </r>
  <r>
    <n v="357"/>
    <s v="+998 523-421-5092"/>
    <s v="Любим Зиновьевич Брагин"/>
    <s v="да"/>
    <d v="2022-12-18T00:00:00"/>
    <s v="+998"/>
    <x v="0"/>
  </r>
  <r>
    <n v="152"/>
    <s v="+375 678-304-0891"/>
    <s v="Вероника Сергеевна Блинова"/>
    <s v="нет"/>
    <d v="2022-08-18T00:00:00"/>
    <s v="+375"/>
    <x v="1"/>
  </r>
  <r>
    <n v="323"/>
    <s v="+992 647-315-8824"/>
    <s v="Прасковья Яковлевна Белоусова"/>
    <s v="да"/>
    <d v="2022-09-17T00:00:00"/>
    <s v="+992"/>
    <x v="4"/>
  </r>
  <r>
    <n v="185"/>
    <s v="+998 737-854-0193"/>
    <s v="Родион Яковлевич Коновалов"/>
    <s v="нет"/>
    <d v="2022-05-02T00:00:00"/>
    <s v="+998"/>
    <x v="0"/>
  </r>
  <r>
    <n v="314"/>
    <s v="+7 772-932-9839"/>
    <s v="Артемьева София Ильинична"/>
    <s v="нет"/>
    <d v="2022-12-04T00:00:00"/>
    <s v="+7"/>
    <x v="2"/>
  </r>
  <r>
    <n v="476"/>
    <s v="+380 737-667-7208"/>
    <s v="Дьячков Серафим Дорофеевич"/>
    <s v="да"/>
    <d v="2022-05-22T00:00:00"/>
    <s v="+380"/>
    <x v="3"/>
  </r>
  <r>
    <n v="375"/>
    <s v="+7 231-022-9731"/>
    <s v="Боян Дорофеевич Калашников"/>
    <s v="да"/>
    <d v="2022-04-23T00:00:00"/>
    <s v="+7"/>
    <x v="2"/>
  </r>
  <r>
    <n v="233"/>
    <s v="+992 013-075-6493"/>
    <s v="Синклитикия Никифоровна Овчинникова"/>
    <s v="да"/>
    <d v="2022-02-24T00:00:00"/>
    <s v="+992"/>
    <x v="4"/>
  </r>
  <r>
    <n v="69"/>
    <s v="+992 403-485-6889"/>
    <s v="Елизар Архипович Щербаков"/>
    <s v="нет"/>
    <d v="2022-01-26T00:00:00"/>
    <s v="+992"/>
    <x v="4"/>
  </r>
  <r>
    <n v="254"/>
    <s v="+375 342-835-7024"/>
    <s v="Любовь Павловна Капустина"/>
    <s v="да"/>
    <d v="2022-10-28T00:00:00"/>
    <s v="+375"/>
    <x v="1"/>
  </r>
  <r>
    <n v="219"/>
    <s v="+992 412-286-2797"/>
    <s v="Арсений Ермолаевич Емельянов"/>
    <s v="да"/>
    <d v="2022-01-24T00:00:00"/>
    <s v="+992"/>
    <x v="4"/>
  </r>
  <r>
    <n v="232"/>
    <s v="+992 878-995-1603"/>
    <s v="Мария Анатольевна Смирнова"/>
    <s v="да"/>
    <d v="2022-12-28T00:00:00"/>
    <s v="+992"/>
    <x v="4"/>
  </r>
  <r>
    <n v="372"/>
    <s v="+992 841-082-9227"/>
    <s v="Эдуард Фадеевич Сергеев"/>
    <s v="нет"/>
    <d v="2022-07-30T00:00:00"/>
    <s v="+992"/>
    <x v="4"/>
  </r>
  <r>
    <n v="432"/>
    <s v="+992 976-290-1474"/>
    <s v="Анастасия Игоревна Белова"/>
    <s v="нет"/>
    <d v="2022-06-06T00:00:00"/>
    <s v="+992"/>
    <x v="4"/>
  </r>
  <r>
    <n v="221"/>
    <s v="+992 520-869-0598"/>
    <s v="Демид Антонович Мясников"/>
    <s v="да"/>
    <d v="2022-09-16T00:00:00"/>
    <s v="+992"/>
    <x v="4"/>
  </r>
  <r>
    <n v="148"/>
    <s v="+7 730-745-5768"/>
    <s v="Феврония Антоновна Кулагина"/>
    <s v="да"/>
    <d v="2022-05-19T00:00:00"/>
    <s v="+7"/>
    <x v="2"/>
  </r>
  <r>
    <n v="209"/>
    <s v="+7 816-795-8885"/>
    <s v="Ермакова Дарья Алексеевна"/>
    <s v="нет"/>
    <d v="2022-03-08T00:00:00"/>
    <s v="+7"/>
    <x v="2"/>
  </r>
  <r>
    <n v="263"/>
    <s v="+992 980-571-8150"/>
    <s v="Шестакова Элеонора Дмитриевна"/>
    <s v="да"/>
    <d v="2022-02-20T00:00:00"/>
    <s v="+992"/>
    <x v="4"/>
  </r>
  <r>
    <n v="101"/>
    <s v="+7 173-514-9301"/>
    <s v="Михей Феликсович Лихачев"/>
    <s v="нет"/>
    <d v="2022-06-15T00:00:00"/>
    <s v="+7"/>
    <x v="2"/>
  </r>
  <r>
    <n v="124"/>
    <s v="+7 559-899-4463"/>
    <s v="Ираклий Изотович Авдеев"/>
    <s v="да"/>
    <d v="2022-08-22T00:00:00"/>
    <s v="+7"/>
    <x v="2"/>
  </r>
  <r>
    <n v="257"/>
    <s v="+7 747-866-6152"/>
    <s v="Кононова Прасковья Павловна"/>
    <s v="нет"/>
    <d v="2022-05-20T00:00:00"/>
    <s v="+7"/>
    <x v="2"/>
  </r>
  <r>
    <n v="309"/>
    <s v="+7 524-548-9435"/>
    <s v="Любомир Валерианович Туров"/>
    <s v="нет"/>
    <d v="2022-05-30T00:00:00"/>
    <s v="+7"/>
    <x v="2"/>
  </r>
  <r>
    <n v="103"/>
    <s v="+998 833-068-3629"/>
    <s v="Сергеев Панкратий Теймуразович"/>
    <s v="да"/>
    <d v="2022-08-14T00:00:00"/>
    <s v="+998"/>
    <x v="0"/>
  </r>
  <r>
    <n v="31"/>
    <s v="+380 250-699-1873"/>
    <s v="Татьяна Павловна Павлова"/>
    <s v="нет"/>
    <d v="2022-01-19T00:00:00"/>
    <s v="+380"/>
    <x v="3"/>
  </r>
  <r>
    <n v="306"/>
    <s v="+380 672-066-4140"/>
    <s v="Поляков Силантий Адамович"/>
    <s v="да"/>
    <d v="2022-11-07T00:00:00"/>
    <s v="+380"/>
    <x v="3"/>
  </r>
  <r>
    <n v="383"/>
    <s v="+380 959-961-5281"/>
    <s v="Герасимов Родион Харитонович"/>
    <s v="нет"/>
    <d v="2022-11-11T00:00:00"/>
    <s v="+380"/>
    <x v="3"/>
  </r>
  <r>
    <n v="367"/>
    <s v="+992 353-055-1290"/>
    <s v="Эмилия Вадимовна Александрова"/>
    <s v="нет"/>
    <d v="2022-11-02T00:00:00"/>
    <s v="+992"/>
    <x v="4"/>
  </r>
  <r>
    <n v="138"/>
    <s v="+380 229-176-0124"/>
    <s v="Нинель Кузьминична Журавлева"/>
    <s v="да"/>
    <d v="2022-06-11T00:00:00"/>
    <s v="+380"/>
    <x v="3"/>
  </r>
  <r>
    <n v="158"/>
    <s v="+998 941-560-7307"/>
    <s v="Маркова Ксения Максимовна"/>
    <s v="нет"/>
    <d v="2022-07-10T00:00:00"/>
    <s v="+998"/>
    <x v="0"/>
  </r>
  <r>
    <n v="217"/>
    <s v="+7 322-163-7549"/>
    <s v="Фомичев Ипполит Артурович"/>
    <s v="нет"/>
    <d v="2022-09-22T00:00:00"/>
    <s v="+7"/>
    <x v="2"/>
  </r>
  <r>
    <n v="102"/>
    <s v="+998 087-830-4222"/>
    <s v="Галактион Жанович Новиков"/>
    <s v="нет"/>
    <d v="2022-06-11T00:00:00"/>
    <s v="+998"/>
    <x v="0"/>
  </r>
  <r>
    <n v="425"/>
    <s v="+998 965-511-3258"/>
    <s v="Алевтина Ефимовна Белякова"/>
    <s v="нет"/>
    <d v="2022-08-09T00:00:00"/>
    <s v="+998"/>
    <x v="0"/>
  </r>
  <r>
    <n v="43"/>
    <s v="+7 120-273-0435"/>
    <s v="Куликова Евгения Григорьевна"/>
    <s v="да"/>
    <d v="2022-12-17T00:00:00"/>
    <s v="+7"/>
    <x v="2"/>
  </r>
  <r>
    <n v="326"/>
    <s v="+7 529-529-9415"/>
    <s v="Кошелева Марина Рудольфовна"/>
    <s v="нет"/>
    <d v="2022-04-04T00:00:00"/>
    <s v="+7"/>
    <x v="2"/>
  </r>
  <r>
    <n v="402"/>
    <s v="+998 999-821-3025"/>
    <s v="Пахом Даниилович Кузьмин"/>
    <s v="да"/>
    <d v="2022-06-30T00:00:00"/>
    <s v="+998"/>
    <x v="0"/>
  </r>
  <r>
    <n v="23"/>
    <s v="+7 142-825-3773"/>
    <s v="Морозова Феврония Николаевна"/>
    <s v="нет"/>
    <d v="2022-05-25T00:00:00"/>
    <s v="+7"/>
    <x v="2"/>
  </r>
  <r>
    <n v="468"/>
    <s v="+998 783-609-3463"/>
    <s v="Дарья Степановна Потапова"/>
    <s v="да"/>
    <d v="2022-02-27T00:00:00"/>
    <s v="+998"/>
    <x v="0"/>
  </r>
  <r>
    <n v="141"/>
    <s v="+7 731-326-3751"/>
    <s v="Владимиров Орест Артемьевич"/>
    <s v="да"/>
    <d v="2022-07-01T00:00:00"/>
    <s v="+7"/>
    <x v="2"/>
  </r>
  <r>
    <n v="182"/>
    <s v="+998 271-883-9995"/>
    <s v="Калинин Никита Артурович"/>
    <s v="да"/>
    <d v="2022-10-22T00:00:00"/>
    <s v="+998"/>
    <x v="0"/>
  </r>
  <r>
    <n v="225"/>
    <s v="+375 563-314-3708"/>
    <s v="Зоя Вячеславовна Панова"/>
    <s v="да"/>
    <d v="2022-09-23T00:00:00"/>
    <s v="+375"/>
    <x v="1"/>
  </r>
  <r>
    <n v="151"/>
    <s v="+375 280-614-3764"/>
    <s v="Лука Игнатьевич Власов"/>
    <s v="нет"/>
    <d v="2022-12-28T00:00:00"/>
    <s v="+375"/>
    <x v="1"/>
  </r>
  <r>
    <n v="428"/>
    <s v="+375 844-419-2850"/>
    <s v="Лавр Харлампович Беляков"/>
    <s v="нет"/>
    <d v="2022-10-14T00:00:00"/>
    <s v="+375"/>
    <x v="1"/>
  </r>
  <r>
    <n v="438"/>
    <s v="+998 225-019-2493"/>
    <s v="Прасковья Петровна Дементьева"/>
    <s v="да"/>
    <d v="2022-05-12T00:00:00"/>
    <s v="+998"/>
    <x v="0"/>
  </r>
  <r>
    <n v="465"/>
    <s v="+998 955-643-6256"/>
    <s v="Евдокия Ефимовна Карпова"/>
    <s v="нет"/>
    <d v="2022-04-20T00:00:00"/>
    <s v="+998"/>
    <x v="0"/>
  </r>
  <r>
    <n v="215"/>
    <s v="+7 191-068-2694"/>
    <s v="Корнил Адрианович Комиссаров"/>
    <s v="нет"/>
    <d v="2022-08-26T00:00:00"/>
    <s v="+7"/>
    <x v="2"/>
  </r>
  <r>
    <n v="15"/>
    <s v="+380 001-347-5456"/>
    <s v="Алексей Трифонович Блинов"/>
    <s v="нет"/>
    <d v="2022-05-30T00:00:00"/>
    <s v="+380"/>
    <x v="3"/>
  </r>
  <r>
    <n v="370"/>
    <s v="+992 902-872-9763"/>
    <s v="Орехова Кира Натановна"/>
    <s v="да"/>
    <d v="2022-06-14T00:00:00"/>
    <s v="+992"/>
    <x v="4"/>
  </r>
  <r>
    <n v="80"/>
    <s v="+375 515-558-2884"/>
    <s v="Рубен Димитриевич Веселов"/>
    <s v="нет"/>
    <d v="2022-03-03T00:00:00"/>
    <s v="+375"/>
    <x v="1"/>
  </r>
  <r>
    <n v="17"/>
    <s v="+992 124-441-2478"/>
    <s v="Валентина Кирилловна Семенова"/>
    <s v="нет"/>
    <d v="2022-11-12T00:00:00"/>
    <s v="+992"/>
    <x v="4"/>
  </r>
  <r>
    <n v="127"/>
    <s v="+380 266-548-4802"/>
    <s v="Журавлев Аристарх Евсеевич"/>
    <s v="нет"/>
    <d v="2022-12-19T00:00:00"/>
    <s v="+380"/>
    <x v="3"/>
  </r>
  <r>
    <n v="441"/>
    <s v="+998 286-143-0624"/>
    <s v="Силина Татьяна Аркадьевна"/>
    <s v="нет"/>
    <d v="2022-11-02T00:00:00"/>
    <s v="+998"/>
    <x v="0"/>
  </r>
  <r>
    <n v="220"/>
    <s v="+380 169-087-4183"/>
    <s v="Николай Феоктистович Дроздов"/>
    <s v="нет"/>
    <d v="2022-01-09T00:00:00"/>
    <s v="+380"/>
    <x v="3"/>
  </r>
  <r>
    <n v="206"/>
    <s v="+7 916-678-5714"/>
    <s v="Радислав Герасимович Колобов"/>
    <s v="нет"/>
    <d v="2022-01-07T00:00:00"/>
    <s v="+7"/>
    <x v="2"/>
  </r>
  <r>
    <n v="210"/>
    <s v="+998 936-440-2703"/>
    <s v="Мартын Августович Баранов"/>
    <s v="нет"/>
    <d v="2022-02-10T00:00:00"/>
    <s v="+998"/>
    <x v="0"/>
  </r>
  <r>
    <n v="67"/>
    <s v="+998 090-420-2619"/>
    <s v="Алла Геннадьевна Фомина"/>
    <s v="да"/>
    <d v="2022-06-19T00:00:00"/>
    <s v="+998"/>
    <x v="0"/>
  </r>
  <r>
    <n v="125"/>
    <s v="+7 722-155-8660"/>
    <s v="Копылова Эмилия Тарасовна"/>
    <s v="нет"/>
    <d v="2022-05-20T00:00:00"/>
    <s v="+7"/>
    <x v="2"/>
  </r>
  <r>
    <n v="213"/>
    <s v="+998 437-737-9329"/>
    <s v="Власов Адриан Чеславович"/>
    <s v="нет"/>
    <d v="2022-06-21T00:00:00"/>
    <s v="+998"/>
    <x v="0"/>
  </r>
  <r>
    <n v="336"/>
    <s v="+998 773-281-1360"/>
    <s v="Григорьева Ульяна Артемовна"/>
    <s v="нет"/>
    <d v="2022-10-22T00:00:00"/>
    <s v="+998"/>
    <x v="0"/>
  </r>
  <r>
    <n v="294"/>
    <s v="+380 363-690-1507"/>
    <s v="Давыд Филатович Мухин"/>
    <s v="да"/>
    <d v="2022-11-14T00:00:00"/>
    <s v="+380"/>
    <x v="3"/>
  </r>
  <r>
    <n v="27"/>
    <s v="+380 922-338-1312"/>
    <s v="Аггей Валентинович Артемьев"/>
    <s v="нет"/>
    <d v="2022-01-25T00:00:00"/>
    <s v="+380"/>
    <x v="3"/>
  </r>
  <r>
    <n v="53"/>
    <s v="+7 189-378-6167"/>
    <s v="Антонина Борисовна Жданова"/>
    <s v="нет"/>
    <d v="2022-02-01T00:00:00"/>
    <s v="+7"/>
    <x v="2"/>
  </r>
  <r>
    <n v="143"/>
    <s v="+7 747-226-1755"/>
    <s v="Маслов Захар Феофанович"/>
    <s v="нет"/>
    <d v="2022-02-09T00:00:00"/>
    <s v="+7"/>
    <x v="2"/>
  </r>
  <r>
    <n v="135"/>
    <s v="+7 402-873-2919"/>
    <s v="Станислав Ильясович Ширяев"/>
    <s v="да"/>
    <d v="2022-02-10T00:00:00"/>
    <s v="+7"/>
    <x v="2"/>
  </r>
  <r>
    <n v="279"/>
    <s v="+998 661-487-5525"/>
    <s v="Наталья Геннадьевна Колесникова"/>
    <s v="да"/>
    <d v="2022-08-13T00:00:00"/>
    <s v="+998"/>
    <x v="0"/>
  </r>
  <r>
    <n v="271"/>
    <s v="+375 972-832-7690"/>
    <s v="Ермаков Степан Егорович"/>
    <s v="нет"/>
    <d v="2022-11-27T00:00:00"/>
    <s v="+375"/>
    <x v="1"/>
  </r>
  <r>
    <n v="444"/>
    <s v="+7 729-805-4220"/>
    <s v="Маслова Анастасия Станиславовна"/>
    <s v="да"/>
    <d v="2022-05-07T00:00:00"/>
    <s v="+7"/>
    <x v="2"/>
  </r>
  <r>
    <n v="133"/>
    <s v="+998 035-761-6314"/>
    <s v="Марфа Георгиевна Титова"/>
    <s v="нет"/>
    <d v="2022-01-27T00:00:00"/>
    <s v="+998"/>
    <x v="0"/>
  </r>
  <r>
    <n v="300"/>
    <s v="+380 329-195-8747"/>
    <s v="Копылов Мартьян Августович"/>
    <s v="да"/>
    <d v="2022-09-20T00:00:00"/>
    <s v="+380"/>
    <x v="3"/>
  </r>
  <r>
    <n v="54"/>
    <s v="+375 824-010-1358"/>
    <s v="Рогов Сила Гордеевич"/>
    <s v="нет"/>
    <d v="2022-10-13T00:00:00"/>
    <s v="+375"/>
    <x v="1"/>
  </r>
  <r>
    <n v="340"/>
    <s v="+7 091-838-5158"/>
    <s v="Леон Аверьянович Захаров"/>
    <s v="нет"/>
    <d v="2022-12-01T00:00:00"/>
    <s v="+7"/>
    <x v="2"/>
  </r>
  <r>
    <n v="272"/>
    <s v="+992 852-094-1088"/>
    <s v="Захар Артемьевич Воробьев"/>
    <s v="нет"/>
    <d v="2022-04-17T00:00:00"/>
    <s v="+992"/>
    <x v="4"/>
  </r>
  <r>
    <n v="165"/>
    <s v="+992 204-182-8433"/>
    <s v="Вадим Артёмович Анисимов"/>
    <s v="да"/>
    <d v="2022-02-07T00:00:00"/>
    <s v="+992"/>
    <x v="4"/>
  </r>
  <r>
    <n v="214"/>
    <s v="+7 147-975-5645"/>
    <s v="Михеев Андроник Ефимьевич"/>
    <s v="да"/>
    <d v="2022-02-09T00:00:00"/>
    <s v="+7"/>
    <x v="2"/>
  </r>
  <r>
    <n v="409"/>
    <s v="+380 916-341-6028"/>
    <s v="Лаврентьева Маргарита Артемовна"/>
    <s v="нет"/>
    <d v="2022-11-04T00:00:00"/>
    <s v="+380"/>
    <x v="3"/>
  </r>
  <r>
    <n v="348"/>
    <s v="+380 809-127-8060"/>
    <s v="Измаил Глебович Зыков"/>
    <s v="да"/>
    <d v="2022-01-08T00:00:00"/>
    <s v="+380"/>
    <x v="3"/>
  </r>
  <r>
    <n v="351"/>
    <s v="+7 885-064-8776"/>
    <s v="Щукина Элеонора Робертовна"/>
    <s v="да"/>
    <d v="2022-10-29T00:00:00"/>
    <s v="+7"/>
    <x v="2"/>
  </r>
  <r>
    <n v="40"/>
    <s v="+7 875-362-2366"/>
    <s v="Амвросий Артемьевич Гаврилов"/>
    <s v="нет"/>
    <d v="2022-10-21T00:00:00"/>
    <s v="+7"/>
    <x v="2"/>
  </r>
  <r>
    <n v="245"/>
    <s v="+998 301-225-3693"/>
    <s v="Феврония Юрьевна Шубина"/>
    <s v="нет"/>
    <d v="2022-05-14T00:00:00"/>
    <s v="+998"/>
    <x v="0"/>
  </r>
  <r>
    <n v="466"/>
    <s v="+375 956-020-3484"/>
    <s v="Никитина Лора Георгиевна"/>
    <s v="да"/>
    <d v="2022-07-30T00:00:00"/>
    <s v="+375"/>
    <x v="1"/>
  </r>
  <r>
    <n v="122"/>
    <s v="+375 165-356-7542"/>
    <s v="Максим Анатольевич Семенов"/>
    <s v="нет"/>
    <d v="2022-05-02T00:00:00"/>
    <s v="+375"/>
    <x v="1"/>
  </r>
  <r>
    <n v="199"/>
    <s v="+998 455-746-0633"/>
    <s v="Горбунова Алевтина Максимовна"/>
    <s v="да"/>
    <d v="2022-06-03T00:00:00"/>
    <s v="+998"/>
    <x v="0"/>
  </r>
  <r>
    <n v="447"/>
    <s v="+992 443-164-9246"/>
    <s v="Жанна Станиславовна Семенова"/>
    <s v="да"/>
    <d v="2022-12-03T00:00:00"/>
    <s v="+992"/>
    <x v="4"/>
  </r>
  <r>
    <n v="163"/>
    <s v="+998 436-367-6830"/>
    <s v="Виктория Ильинична Соколова"/>
    <s v="да"/>
    <d v="2022-01-10T00:00:00"/>
    <s v="+998"/>
    <x v="0"/>
  </r>
  <r>
    <n v="320"/>
    <s v="+375 529-351-9731"/>
    <s v="Новикова Ия Рубеновна"/>
    <s v="нет"/>
    <d v="2022-11-04T00:00:00"/>
    <s v="+375"/>
    <x v="1"/>
  </r>
  <r>
    <n v="173"/>
    <s v="+7 914-597-1350"/>
    <s v="Гаврилов Матвей Трифонович"/>
    <s v="нет"/>
    <d v="2022-04-22T00:00:00"/>
    <s v="+7"/>
    <x v="2"/>
  </r>
  <r>
    <n v="485"/>
    <s v="+7 927-005-2176"/>
    <s v="Пономарев Творимир Демидович"/>
    <s v="нет"/>
    <d v="2022-06-11T00:00:00"/>
    <s v="+7"/>
    <x v="2"/>
  </r>
  <r>
    <n v="401"/>
    <s v="+7 411-180-0061"/>
    <s v="Екатерина Рудольфовна Кулакова"/>
    <s v="нет"/>
    <d v="2022-10-22T00:00:00"/>
    <s v="+7"/>
    <x v="2"/>
  </r>
  <r>
    <n v="379"/>
    <s v="+992 471-072-5643"/>
    <s v="Соколова Кира Дмитриевна"/>
    <s v="нет"/>
    <d v="2022-01-20T00:00:00"/>
    <s v="+992"/>
    <x v="4"/>
  </r>
  <r>
    <n v="201"/>
    <s v="+992 994-189-2821"/>
    <s v="Новиков Ростислав Августович"/>
    <s v="да"/>
    <d v="2022-10-09T00:00:00"/>
    <s v="+992"/>
    <x v="4"/>
  </r>
  <r>
    <n v="498"/>
    <s v="+380 971-032-0139"/>
    <s v="Моисеев Евстафий Чеславович"/>
    <s v="да"/>
    <d v="2022-06-09T00:00:00"/>
    <s v="+380"/>
    <x v="3"/>
  </r>
  <r>
    <n v="237"/>
    <s v="+7 085-149-7713"/>
    <s v="Елизавета Артемовна Данилова"/>
    <s v="да"/>
    <d v="2022-11-21T00:00:00"/>
    <s v="+7"/>
    <x v="2"/>
  </r>
  <r>
    <n v="403"/>
    <s v="+7 762-296-2673"/>
    <s v="Фаина Аркадьевна Веселова"/>
    <s v="нет"/>
    <d v="2022-02-02T00:00:00"/>
    <s v="+7"/>
    <x v="2"/>
  </r>
  <r>
    <n v="460"/>
    <s v="+7 981-245-0102"/>
    <s v="Алевтина Егоровна Кузнецова"/>
    <s v="нет"/>
    <d v="2022-09-17T00:00:00"/>
    <s v="+7"/>
    <x v="2"/>
  </r>
  <r>
    <n v="50"/>
    <s v="+998 220-798-0143"/>
    <s v="Гостомысл Фомич Одинцов"/>
    <s v="да"/>
    <d v="2022-01-15T00:00:00"/>
    <s v="+998"/>
    <x v="0"/>
  </r>
  <r>
    <n v="197"/>
    <s v="+380 255-745-0289"/>
    <s v="г-жа Миронова Клавдия Феликсовна"/>
    <s v="нет"/>
    <d v="2022-08-12T00:00:00"/>
    <s v="+380"/>
    <x v="3"/>
  </r>
  <r>
    <n v="243"/>
    <s v="+7 354-672-8947"/>
    <s v="Марфа Эдуардовна Макарова"/>
    <s v="нет"/>
    <d v="2022-04-30T00:00:00"/>
    <s v="+7"/>
    <x v="2"/>
  </r>
  <r>
    <n v="45"/>
    <s v="+998 714-433-6940"/>
    <s v="Елизар Харлампьевич Мамонтов"/>
    <s v="да"/>
    <d v="2022-04-11T00:00:00"/>
    <s v="+998"/>
    <x v="0"/>
  </r>
  <r>
    <n v="242"/>
    <s v="+7 352-652-3977"/>
    <s v="Октябрина Павловна Зимина"/>
    <s v="нет"/>
    <d v="2022-07-05T00:00:00"/>
    <s v="+7"/>
    <x v="2"/>
  </r>
  <r>
    <n v="79"/>
    <s v="+992 654-311-2893"/>
    <s v="Васильева Анжелика Наумовна"/>
    <s v="нет"/>
    <d v="2022-06-04T00:00:00"/>
    <s v="+992"/>
    <x v="4"/>
  </r>
  <r>
    <n v="70"/>
    <s v="+380 350-189-8989"/>
    <s v="Эммануил Валерьевич Королев"/>
    <s v="да"/>
    <d v="2022-01-30T00:00:00"/>
    <s v="+380"/>
    <x v="3"/>
  </r>
  <r>
    <n v="345"/>
    <s v="+375 869-843-0628"/>
    <s v="Лыткина Ираида Александровна"/>
    <s v="да"/>
    <d v="2022-05-24T00:00:00"/>
    <s v="+375"/>
    <x v="1"/>
  </r>
  <r>
    <n v="33"/>
    <s v="+7 724-347-2918"/>
    <s v="Фомичева Феврония Даниловна"/>
    <s v="нет"/>
    <d v="2022-06-18T00:00:00"/>
    <s v="+7"/>
    <x v="2"/>
  </r>
  <r>
    <n v="7"/>
    <s v="+7 022-690-6735"/>
    <s v="Баранова Раиса Эльдаровна"/>
    <s v="да"/>
    <d v="2022-11-28T00:00:00"/>
    <s v="+7"/>
    <x v="2"/>
  </r>
  <r>
    <n v="494"/>
    <s v="+375 268-005-4917"/>
    <s v="г-жа Ефимова Анна Филипповна"/>
    <s v="нет"/>
    <d v="2022-06-26T00:00:00"/>
    <s v="+375"/>
    <x v="1"/>
  </r>
  <r>
    <n v="83"/>
    <s v="+992 377-961-6550"/>
    <s v="г-н Зуев Трифон Зиновьевич"/>
    <s v="да"/>
    <d v="2022-06-27T00:00:00"/>
    <s v="+992"/>
    <x v="4"/>
  </r>
  <r>
    <n v="352"/>
    <s v="+7 414-973-8213"/>
    <s v="Нестерова Таисия Яковлевна"/>
    <s v="нет"/>
    <d v="2022-01-12T00:00:00"/>
    <s v="+7"/>
    <x v="2"/>
  </r>
  <r>
    <n v="8"/>
    <s v="+375 841-273-5425"/>
    <s v="Ирина Макаровна Шарова"/>
    <s v="да"/>
    <d v="2022-11-18T00:00:00"/>
    <s v="+375"/>
    <x v="1"/>
  </r>
  <r>
    <n v="291"/>
    <s v="+992 550-001-8470"/>
    <s v="Кононова Элеонора Юрьевна"/>
    <s v="да"/>
    <d v="2022-05-29T00:00:00"/>
    <s v="+992"/>
    <x v="4"/>
  </r>
  <r>
    <n v="418"/>
    <s v="+375 253-379-5656"/>
    <s v="Любовь Богдановна Новикова"/>
    <s v="да"/>
    <d v="2022-05-19T00:00:00"/>
    <s v="+375"/>
    <x v="1"/>
  </r>
  <r>
    <n v="470"/>
    <s v="+992 544-936-8109"/>
    <s v="Русакова Полина Михайловна"/>
    <s v="да"/>
    <d v="2022-05-09T00:00:00"/>
    <s v="+992"/>
    <x v="4"/>
  </r>
  <r>
    <n v="123"/>
    <s v="+7 755-098-2625"/>
    <s v="Ермаков Всеслав Эдуардович"/>
    <s v="нет"/>
    <d v="2022-02-08T00:00:00"/>
    <s v="+7"/>
    <x v="2"/>
  </r>
  <r>
    <n v="442"/>
    <s v="+992 774-047-4624"/>
    <s v="Гордей Матвеевич Медведев"/>
    <s v="нет"/>
    <d v="2022-07-04T00:00:00"/>
    <s v="+992"/>
    <x v="4"/>
  </r>
  <r>
    <n v="218"/>
    <s v="+998 692-163-4083"/>
    <s v="Алевтина Алексеевна Исакова"/>
    <s v="нет"/>
    <d v="2022-06-09T00:00:00"/>
    <s v="+998"/>
    <x v="0"/>
  </r>
  <r>
    <n v="331"/>
    <s v="+998 856-058-2613"/>
    <s v="Мартынов Фома Гордеевич"/>
    <s v="нет"/>
    <d v="2022-09-09T00:00:00"/>
    <s v="+998"/>
    <x v="0"/>
  </r>
  <r>
    <n v="196"/>
    <s v="+7 352-977-7374"/>
    <s v="Петрова Майя Богдановна"/>
    <s v="да"/>
    <d v="2022-10-01T00:00:00"/>
    <s v="+7"/>
    <x v="2"/>
  </r>
  <r>
    <n v="36"/>
    <s v="+7 894-636-1225"/>
    <s v="Бобылева Анна Мироновна"/>
    <s v="нет"/>
    <d v="2022-05-19T00:00:00"/>
    <s v="+7"/>
    <x v="2"/>
  </r>
  <r>
    <n v="22"/>
    <s v="+375 173-908-3215"/>
    <s v="Кудряшов Влас Алексеевич"/>
    <s v="да"/>
    <d v="2022-11-05T00:00:00"/>
    <s v="+375"/>
    <x v="1"/>
  </r>
  <r>
    <n v="360"/>
    <s v="+375 427-098-5558"/>
    <s v="Миронов Фома Вилорович"/>
    <s v="нет"/>
    <d v="2022-06-16T00:00:00"/>
    <s v="+375"/>
    <x v="1"/>
  </r>
  <r>
    <n v="188"/>
    <s v="+992 000-000-7415"/>
    <s v="Харлампий Демьянович Алексеев"/>
    <s v="нет"/>
    <d v="2022-08-28T00:00:00"/>
    <s v="+992"/>
    <x v="4"/>
  </r>
  <r>
    <n v="63"/>
    <s v="+380 668-055-3546"/>
    <s v="Горшкова Клавдия Борисовна"/>
    <s v="да"/>
    <d v="2022-05-03T00:00:00"/>
    <s v="+380"/>
    <x v="3"/>
  </r>
  <r>
    <n v="238"/>
    <s v="+380 245-175-6131"/>
    <s v="Григорьев Сократ Ануфриевич"/>
    <s v="да"/>
    <d v="2022-12-14T00:00:00"/>
    <s v="+380"/>
    <x v="3"/>
  </r>
  <r>
    <n v="105"/>
    <s v="+998 284-687-3096"/>
    <s v="Овчинникова Зоя Вячеславовна"/>
    <s v="да"/>
    <d v="2022-12-23T00:00:00"/>
    <s v="+998"/>
    <x v="0"/>
  </r>
  <r>
    <n v="260"/>
    <s v="+380 533-078-8885"/>
    <s v="Титова Ксения Дмитриевна"/>
    <s v="да"/>
    <d v="2022-06-17T00:00:00"/>
    <s v="+380"/>
    <x v="3"/>
  </r>
  <r>
    <n v="394"/>
    <s v="+7 450-475-2540"/>
    <s v="Князев Платон Андреевич"/>
    <s v="да"/>
    <d v="2022-05-27T00:00:00"/>
    <s v="+7"/>
    <x v="2"/>
  </r>
  <r>
    <n v="248"/>
    <s v="+7 592-632-8448"/>
    <s v="Меркушева Марина Наумовна"/>
    <s v="нет"/>
    <d v="2022-05-13T00:00:00"/>
    <s v="+7"/>
    <x v="2"/>
  </r>
  <r>
    <n v="3"/>
    <s v="+380 143-562-6602"/>
    <s v="Якушева Светлана Даниловна"/>
    <s v="нет"/>
    <d v="2022-04-15T00:00:00"/>
    <s v="+380"/>
    <x v="3"/>
  </r>
  <r>
    <n v="435"/>
    <s v="+998 946-408-1930"/>
    <s v="Тихонова Ираида Ефимовна"/>
    <s v="нет"/>
    <d v="2022-02-26T00:00:00"/>
    <s v="+998"/>
    <x v="0"/>
  </r>
  <r>
    <n v="262"/>
    <s v="+992 756-085-4605"/>
    <s v="г-жа Воробьева Иванна Юрьевна"/>
    <s v="да"/>
    <d v="2022-08-05T00:00:00"/>
    <s v="+992"/>
    <x v="4"/>
  </r>
  <r>
    <n v="264"/>
    <s v="+375 722-671-7064"/>
    <s v="Любомир Ермолаевич Стрелков"/>
    <s v="нет"/>
    <d v="2022-12-12T00:00:00"/>
    <s v="+375"/>
    <x v="1"/>
  </r>
  <r>
    <n v="99"/>
    <s v="+7 542-005-0327"/>
    <s v="Галина Семеновна Петухова"/>
    <s v="нет"/>
    <d v="2022-11-21T00:00:00"/>
    <s v="+7"/>
    <x v="2"/>
  </r>
  <r>
    <n v="404"/>
    <s v="+380 265-102-2104"/>
    <s v="Кириллова Пелагея Юльевна"/>
    <s v="нет"/>
    <d v="2022-12-18T00:00:00"/>
    <s v="+380"/>
    <x v="3"/>
  </r>
  <r>
    <n v="146"/>
    <s v="+375 986-655-6691"/>
    <s v="Еремей Бориславович Воронов"/>
    <s v="нет"/>
    <d v="2022-02-25T00:00:00"/>
    <s v="+375"/>
    <x v="1"/>
  </r>
  <r>
    <n v="338"/>
    <s v="+992 869-966-7816"/>
    <s v="Александра Геннадиевна Филатова"/>
    <s v="нет"/>
    <d v="2022-01-16T00:00:00"/>
    <s v="+992"/>
    <x v="4"/>
  </r>
  <r>
    <n v="445"/>
    <s v="+7 975-515-1931"/>
    <s v="Марфа Архиповна Белоусова"/>
    <s v="нет"/>
    <d v="2022-04-25T00:00:00"/>
    <s v="+7"/>
    <x v="2"/>
  </r>
  <r>
    <n v="208"/>
    <s v="+380 004-121-0383"/>
    <s v="Эммануил Филимонович Захаров"/>
    <s v="нет"/>
    <d v="2022-06-24T00:00:00"/>
    <s v="+380"/>
    <x v="3"/>
  </r>
  <r>
    <n v="343"/>
    <s v="+380 606-168-8976"/>
    <s v="Абрамов Амвросий Богданович"/>
    <s v="нет"/>
    <d v="2022-11-09T00:00:00"/>
    <s v="+380"/>
    <x v="3"/>
  </r>
  <r>
    <n v="486"/>
    <s v="+7 056-712-2591"/>
    <s v="Волков Викентий Герасимович"/>
    <s v="да"/>
    <d v="2022-06-11T00:00:00"/>
    <s v="+7"/>
    <x v="2"/>
  </r>
  <r>
    <n v="299"/>
    <s v="+380 254-333-6466"/>
    <s v="Одинцов Анисим Евсеевич"/>
    <s v="нет"/>
    <d v="2022-04-15T00:00:00"/>
    <s v="+380"/>
    <x v="3"/>
  </r>
  <r>
    <n v="368"/>
    <s v="+998 481-371-2630"/>
    <s v="Никодим Арсенович Потапов"/>
    <s v="да"/>
    <d v="2022-11-07T00:00:00"/>
    <s v="+998"/>
    <x v="0"/>
  </r>
  <r>
    <n v="108"/>
    <s v="+998 313-336-2516"/>
    <s v="Алла Рудольфовна Сидорова"/>
    <s v="да"/>
    <d v="2022-10-01T00:00:00"/>
    <s v="+998"/>
    <x v="0"/>
  </r>
  <r>
    <n v="443"/>
    <s v="+7 210-575-0459"/>
    <s v="Агата Олеговна Мартынова"/>
    <s v="да"/>
    <d v="2022-03-29T00:00:00"/>
    <s v="+7"/>
    <x v="2"/>
  </r>
  <r>
    <n v="91"/>
    <s v="+7 289-019-1718"/>
    <s v="Стрелкова Наина Эдуардовна"/>
    <s v="нет"/>
    <d v="2022-05-06T00:00:00"/>
    <s v="+7"/>
    <x v="2"/>
  </r>
  <r>
    <n v="473"/>
    <s v="+7 571-938-4741"/>
    <s v="Ипат Дмитриевич Панов"/>
    <s v="да"/>
    <d v="2022-08-26T00:00:00"/>
    <s v="+7"/>
    <x v="2"/>
  </r>
  <r>
    <n v="482"/>
    <s v="+380 958-231-6305"/>
    <s v="Творимир Артурович Гришин"/>
    <s v="нет"/>
    <d v="2022-04-28T00:00:00"/>
    <s v="+380"/>
    <x v="3"/>
  </r>
  <r>
    <n v="48"/>
    <s v="+998 849-649-9045"/>
    <s v="Лаврентьева Вера Владиславовна"/>
    <s v="нет"/>
    <d v="2022-10-22T00:00:00"/>
    <s v="+998"/>
    <x v="0"/>
  </r>
  <r>
    <n v="26"/>
    <s v="+992 666-298-7733"/>
    <s v="Корнилов Леон Иосипович"/>
    <s v="да"/>
    <d v="2022-09-15T00:00:00"/>
    <s v="+992"/>
    <x v="4"/>
  </r>
  <r>
    <n v="417"/>
    <s v="+992 772-470-1976"/>
    <s v="Игнатова Вера Вячеславовна"/>
    <s v="нет"/>
    <d v="2022-02-16T00:00:00"/>
    <s v="+992"/>
    <x v="4"/>
  </r>
  <r>
    <n v="491"/>
    <s v="+7 411-977-9395"/>
    <s v="Михайлова Лора Наумовна"/>
    <s v="да"/>
    <d v="2022-07-10T00:00:00"/>
    <s v="+7"/>
    <x v="2"/>
  </r>
  <r>
    <n v="492"/>
    <s v="+380 537-432-3099"/>
    <s v="Феликс Ааронович Яковлев"/>
    <s v="да"/>
    <d v="2022-05-07T00:00:00"/>
    <s v="+380"/>
    <x v="3"/>
  </r>
  <r>
    <n v="155"/>
    <s v="+380 950-384-1472"/>
    <s v="Емельянов Игорь Андреевич"/>
    <s v="нет"/>
    <d v="2022-01-03T00:00:00"/>
    <s v="+380"/>
    <x v="3"/>
  </r>
  <r>
    <n v="430"/>
    <s v="+992 570-665-8734"/>
    <s v="Любосмысл Тихонович Веселов"/>
    <s v="нет"/>
    <d v="2022-08-26T00:00:00"/>
    <s v="+992"/>
    <x v="4"/>
  </r>
  <r>
    <n v="488"/>
    <s v="+375 477-336-9780"/>
    <s v="Ольга Аскольдовна Данилова"/>
    <s v="да"/>
    <d v="2022-06-26T00:00:00"/>
    <s v="+375"/>
    <x v="1"/>
  </r>
  <r>
    <n v="6"/>
    <s v="+380 017-252-3368"/>
    <s v="Эмилия Болеславовна Цветкова"/>
    <s v="нет"/>
    <d v="2022-05-29T00:00:00"/>
    <s v="+380"/>
    <x v="3"/>
  </r>
  <r>
    <n v="400"/>
    <s v="+375 933-846-4405"/>
    <s v="Константинов Милован Денисович"/>
    <s v="да"/>
    <d v="2022-07-23T00:00:00"/>
    <s v="+375"/>
    <x v="1"/>
  </r>
  <r>
    <n v="282"/>
    <s v="+998 782-759-1031"/>
    <s v="Светлана Семеновна Николаева"/>
    <s v="да"/>
    <d v="2022-06-23T00:00:00"/>
    <s v="+998"/>
    <x v="0"/>
  </r>
  <r>
    <n v="433"/>
    <s v="+992 614-322-7161"/>
    <s v="Людмила Борисовна Иванова"/>
    <s v="да"/>
    <d v="2022-09-28T00:00:00"/>
    <s v="+992"/>
    <x v="4"/>
  </r>
  <r>
    <n v="212"/>
    <s v="+998 662-959-7800"/>
    <s v="Амос Гордеевич Евсеев"/>
    <s v="нет"/>
    <d v="2022-09-11T00:00:00"/>
    <s v="+998"/>
    <x v="0"/>
  </r>
  <r>
    <n v="499"/>
    <s v="+375 877-885-2826"/>
    <s v="Якуб Филатович Молчанов"/>
    <s v="да"/>
    <d v="2022-08-25T00:00:00"/>
    <s v="+375"/>
    <x v="1"/>
  </r>
  <r>
    <n v="347"/>
    <s v="+992 145-030-4792"/>
    <s v="Афанасьев Кузьма Исидорович"/>
    <s v="да"/>
    <d v="2022-01-27T00:00:00"/>
    <s v="+992"/>
    <x v="4"/>
  </r>
  <r>
    <n v="469"/>
    <s v="+7 997-792-5112"/>
    <s v="Лариса Романовна Крюкова"/>
    <s v="да"/>
    <d v="2022-04-08T00:00:00"/>
    <s v="+7"/>
    <x v="2"/>
  </r>
  <r>
    <n v="93"/>
    <s v="+380 686-730-6702"/>
    <s v="Авдеев Олимпий Жанович"/>
    <s v="нет"/>
    <d v="2022-12-10T00:00:00"/>
    <s v="+380"/>
    <x v="3"/>
  </r>
  <r>
    <n v="200"/>
    <s v="+998 342-700-2159"/>
    <s v="Воробьева Анжела Аскольдовна"/>
    <s v="да"/>
    <d v="2022-08-10T00:00:00"/>
    <s v="+998"/>
    <x v="0"/>
  </r>
  <r>
    <n v="95"/>
    <s v="+998 662-556-3959"/>
    <s v="Белоусова Жанна Кузьминична"/>
    <s v="нет"/>
    <d v="2022-05-23T00:00:00"/>
    <s v="+998"/>
    <x v="0"/>
  </r>
  <r>
    <n v="20"/>
    <s v="+998 678-480-0704"/>
    <s v="Амвросий Игнатович Юдин"/>
    <s v="нет"/>
    <d v="2022-05-10T00:00:00"/>
    <s v="+998"/>
    <x v="0"/>
  </r>
  <r>
    <n v="94"/>
    <s v="+380 293-011-4872"/>
    <s v="Евдокия Эдуардовна Соловьева"/>
    <s v="да"/>
    <d v="2022-06-11T00:00:00"/>
    <s v="+380"/>
    <x v="3"/>
  </r>
  <r>
    <n v="427"/>
    <s v="+7 630-011-3417"/>
    <s v="Лидия Андреевна Крюкова"/>
    <s v="нет"/>
    <d v="2022-09-30T00:00:00"/>
    <s v="+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412"/>
    <x v="0"/>
    <x v="0"/>
    <n v="315"/>
    <x v="0"/>
    <n v="252.76271186440678"/>
    <n v="-0.59250318514048139"/>
    <x v="0"/>
    <n v="-0.5717255717255717"/>
    <n v="-0.5717255717255717"/>
    <n v="240.5"/>
    <d v="2022-07-05T00:00:00"/>
    <n v="440"/>
    <x v="0"/>
  </r>
  <r>
    <n v="2"/>
    <n v="486"/>
    <n v="296"/>
    <n v="3"/>
    <n v="888"/>
    <x v="1"/>
    <x v="1"/>
    <n v="253"/>
    <x v="1"/>
    <n v="264.8679245283019"/>
    <n v="0.11753811084200017"/>
    <x v="1"/>
    <n v="0.24282715185444381"/>
    <n v="0.24282715185444381"/>
    <n v="238.16666666666666"/>
    <d v="2022-07-08T00:00:00"/>
    <n v="333"/>
    <x v="1"/>
  </r>
  <r>
    <n v="3"/>
    <n v="76"/>
    <n v="139"/>
    <n v="5"/>
    <n v="695"/>
    <x v="2"/>
    <x v="2"/>
    <n v="12"/>
    <x v="2"/>
    <n v="283.468085106383"/>
    <n v="-0.50964497485551308"/>
    <x v="2"/>
    <n v="-0.40200764818355639"/>
    <n v="-0.40200764818355639"/>
    <n v="232.44444444444446"/>
    <d v="2022-10-08T00:00:00"/>
    <n v="521"/>
    <x v="1"/>
  </r>
  <r>
    <n v="4"/>
    <n v="240"/>
    <n v="141"/>
    <n v="5"/>
    <n v="705"/>
    <x v="3"/>
    <x v="3"/>
    <n v="116"/>
    <x v="3"/>
    <n v="265.47674418604652"/>
    <n v="-0.46888003153606939"/>
    <x v="3"/>
    <n v="-0.40323992994746061"/>
    <n v="-0.40323992994746061"/>
    <n v="236.27586206896552"/>
    <d v="2022-03-23T00:00:00"/>
    <n v="619"/>
    <x v="2"/>
  </r>
  <r>
    <n v="5"/>
    <n v="32"/>
    <n v="123"/>
    <n v="2"/>
    <n v="246"/>
    <x v="4"/>
    <x v="4"/>
    <n v="471"/>
    <x v="4"/>
    <n v="250.48780487804879"/>
    <n v="-0.5089581304771178"/>
    <x v="4"/>
    <n v="-0.22738693467336679"/>
    <n v="-0.22738693467336679"/>
    <n v="159.19999999999999"/>
    <d v="2022-01-16T00:00:00"/>
    <n v="574"/>
    <x v="3"/>
  </r>
  <r>
    <n v="6"/>
    <n v="162"/>
    <n v="452"/>
    <n v="2"/>
    <n v="904"/>
    <x v="5"/>
    <x v="0"/>
    <n v="374"/>
    <x v="5"/>
    <n v="268.60344827586209"/>
    <n v="0.68277809872263928"/>
    <x v="5"/>
    <n v="0.60301451845284282"/>
    <n v="0.60301451845284282"/>
    <n v="281.96875"/>
    <d v="2022-01-21T00:00:00"/>
    <n v="699"/>
    <x v="3"/>
  </r>
  <r>
    <n v="7"/>
    <n v="323"/>
    <n v="149"/>
    <n v="5"/>
    <n v="745"/>
    <x v="6"/>
    <x v="5"/>
    <n v="477"/>
    <x v="6"/>
    <n v="258.5128205128205"/>
    <n v="-0.42362626463003372"/>
    <x v="6"/>
    <n v="-0.42834574588129082"/>
    <n v="-0.42834574588129082"/>
    <n v="260.64705882352939"/>
    <d v="2022-06-26T00:00:00"/>
    <n v="611"/>
    <x v="0"/>
  </r>
  <r>
    <n v="8"/>
    <n v="60"/>
    <n v="489"/>
    <n v="4"/>
    <n v="1956"/>
    <x v="7"/>
    <x v="6"/>
    <n v="335"/>
    <x v="7"/>
    <n v="249.02380952380952"/>
    <n v="0.9636676546514964"/>
    <x v="7"/>
    <n v="0.77038871951219501"/>
    <n v="0.77038871951219501"/>
    <n v="276.21052631578948"/>
    <d v="2022-02-27T00:00:00"/>
    <n v="708"/>
    <x v="0"/>
  </r>
  <r>
    <n v="9"/>
    <n v="401"/>
    <n v="416"/>
    <n v="5"/>
    <n v="2080"/>
    <x v="8"/>
    <x v="7"/>
    <n v="350"/>
    <x v="8"/>
    <n v="271.18181818181819"/>
    <n v="0.53402614817298022"/>
    <x v="8"/>
    <n v="0.42732376793512161"/>
    <n v="0.42732376793512161"/>
    <n v="291.45454545454544"/>
    <d v="2022-05-03T00:00:00"/>
    <n v="692"/>
    <x v="3"/>
  </r>
  <r>
    <n v="10"/>
    <n v="100"/>
    <n v="449"/>
    <n v="2"/>
    <n v="898"/>
    <x v="9"/>
    <x v="5"/>
    <n v="413"/>
    <x v="9"/>
    <n v="263.25423728813558"/>
    <n v="0.7055755858872006"/>
    <x v="9"/>
    <n v="0.74177770281666366"/>
    <n v="0.74177770281666366"/>
    <n v="257.78260869565219"/>
    <d v="2022-05-18T00:00:00"/>
    <n v="333"/>
    <x v="2"/>
  </r>
  <r>
    <n v="11"/>
    <n v="217"/>
    <n v="296"/>
    <n v="2"/>
    <n v="592"/>
    <x v="10"/>
    <x v="5"/>
    <n v="495"/>
    <x v="10"/>
    <n v="271.74545454545455"/>
    <n v="8.925465007359823E-2"/>
    <x v="10"/>
    <n v="-4.8843187660668308E-2"/>
    <n v="-4.8843187660668308E-2"/>
    <n v="311.2"/>
    <d v="2022-04-03T00:00:00"/>
    <n v="482"/>
    <x v="0"/>
  </r>
  <r>
    <n v="12"/>
    <n v="445"/>
    <n v="109"/>
    <n v="5"/>
    <n v="545"/>
    <x v="11"/>
    <x v="6"/>
    <n v="353"/>
    <x v="0"/>
    <n v="252.76271186440678"/>
    <n v="-0.56876550660497549"/>
    <x v="11"/>
    <n v="-0.54633740288568267"/>
    <n v="-0.54633740288568267"/>
    <n v="240.26666666666668"/>
    <d v="2022-04-05T00:00:00"/>
    <n v="738"/>
    <x v="4"/>
  </r>
  <r>
    <n v="13"/>
    <n v="284"/>
    <n v="213"/>
    <n v="3"/>
    <n v="639"/>
    <x v="12"/>
    <x v="2"/>
    <n v="332"/>
    <x v="10"/>
    <n v="271.74545454545455"/>
    <n v="-0.21617824167001209"/>
    <x v="12"/>
    <n v="8.8105726872256263E-4"/>
    <n v="8.8105726872256263E-4"/>
    <n v="212.8125"/>
    <d v="2022-10-24T00:00:00"/>
    <n v="408"/>
    <x v="0"/>
  </r>
  <r>
    <n v="14"/>
    <n v="116"/>
    <n v="190"/>
    <n v="4"/>
    <n v="760"/>
    <x v="13"/>
    <x v="3"/>
    <n v="414"/>
    <x v="1"/>
    <n v="264.8679245283019"/>
    <n v="-0.28266134777033769"/>
    <x v="13"/>
    <n v="-0.40781587149364662"/>
    <n v="-0.40781587149364662"/>
    <n v="320.84615384615387"/>
    <d v="2022-08-21T00:00:00"/>
    <n v="339"/>
    <x v="1"/>
  </r>
  <r>
    <n v="15"/>
    <n v="378"/>
    <n v="237"/>
    <n v="1"/>
    <n v="237"/>
    <x v="14"/>
    <x v="5"/>
    <n v="236"/>
    <x v="5"/>
    <n v="268.60344827586209"/>
    <n v="-0.11765838628923564"/>
    <x v="5"/>
    <n v="-0.15948132550149619"/>
    <n v="-0.15948132550149619"/>
    <n v="281.96875"/>
    <d v="2022-09-16T00:00:00"/>
    <n v="152"/>
    <x v="0"/>
  </r>
  <r>
    <n v="16"/>
    <n v="299"/>
    <n v="178"/>
    <n v="3"/>
    <n v="534"/>
    <x v="15"/>
    <x v="6"/>
    <n v="164"/>
    <x v="8"/>
    <n v="271.18181818181819"/>
    <n v="-0.34361381159906135"/>
    <x v="14"/>
    <n v="-0.315800121383775"/>
    <n v="-0.315800121383775"/>
    <n v="260.15789473684208"/>
    <d v="2022-04-27T00:00:00"/>
    <n v="302"/>
    <x v="2"/>
  </r>
  <r>
    <n v="17"/>
    <n v="359"/>
    <n v="320"/>
    <n v="5"/>
    <n v="1600"/>
    <x v="16"/>
    <x v="8"/>
    <n v="490"/>
    <x v="10"/>
    <n v="271.74545454545455"/>
    <n v="0.1775725946741602"/>
    <x v="15"/>
    <n v="1.0792313766780692E-2"/>
    <n v="1.0792313766780692E-2"/>
    <n v="316.58333333333331"/>
    <d v="2022-02-11T00:00:00"/>
    <n v="613"/>
    <x v="2"/>
  </r>
  <r>
    <n v="18"/>
    <n v="337"/>
    <n v="419"/>
    <n v="2"/>
    <n v="838"/>
    <x v="17"/>
    <x v="2"/>
    <n v="223"/>
    <x v="3"/>
    <n v="265.47674418604652"/>
    <n v="0.57829267224387881"/>
    <x v="16"/>
    <n v="0.51440851812054311"/>
    <n v="0.51440851812054311"/>
    <n v="276.67567567567568"/>
    <d v="2022-11-28T00:00:00"/>
    <n v="223"/>
    <x v="3"/>
  </r>
  <r>
    <n v="19"/>
    <n v="226"/>
    <n v="190"/>
    <n v="5"/>
    <n v="950"/>
    <x v="18"/>
    <x v="9"/>
    <n v="204"/>
    <x v="11"/>
    <n v="262.63492063492066"/>
    <n v="-0.2765623111326001"/>
    <x v="17"/>
    <n v="-0.38972162740899352"/>
    <n v="-0.38972162740899352"/>
    <n v="311.33333333333331"/>
    <d v="2022-11-02T00:00:00"/>
    <n v="191"/>
    <x v="2"/>
  </r>
  <r>
    <n v="20"/>
    <n v="310"/>
    <n v="458"/>
    <n v="2"/>
    <n v="916"/>
    <x v="19"/>
    <x v="9"/>
    <n v="481"/>
    <x v="3"/>
    <n v="265.47674418604652"/>
    <n v="0.72519819543603004"/>
    <x v="16"/>
    <n v="0.65536778353033109"/>
    <n v="0.65536778353033109"/>
    <n v="276.67567567567568"/>
    <d v="2022-07-14T00:00:00"/>
    <n v="402"/>
    <x v="1"/>
  </r>
  <r>
    <n v="21"/>
    <n v="137"/>
    <n v="152"/>
    <n v="2"/>
    <n v="304"/>
    <x v="20"/>
    <x v="0"/>
    <n v="363"/>
    <x v="12"/>
    <n v="274.16279069767444"/>
    <n v="-0.4455848672491306"/>
    <x v="18"/>
    <n v="-0.40083764474008376"/>
    <n v="-0.40083764474008376"/>
    <n v="253.6875"/>
    <d v="2022-04-24T00:00:00"/>
    <n v="569"/>
    <x v="0"/>
  </r>
  <r>
    <n v="22"/>
    <n v="385"/>
    <n v="352"/>
    <n v="2"/>
    <n v="704"/>
    <x v="21"/>
    <x v="6"/>
    <n v="397"/>
    <x v="3"/>
    <n v="265.47674418604652"/>
    <n v="0.32591651701633739"/>
    <x v="19"/>
    <n v="6.9022639425731613E-2"/>
    <n v="6.9022639425731613E-2"/>
    <n v="329.27272727272725"/>
    <d v="2022-06-16T00:00:00"/>
    <n v="395"/>
    <x v="1"/>
  </r>
  <r>
    <n v="23"/>
    <n v="226"/>
    <n v="228"/>
    <n v="2"/>
    <n v="456"/>
    <x v="22"/>
    <x v="10"/>
    <n v="280"/>
    <x v="11"/>
    <n v="262.63492063492066"/>
    <n v="-0.13187477335912012"/>
    <x v="17"/>
    <n v="-0.2676659528907922"/>
    <n v="-0.2676659528907922"/>
    <n v="311.33333333333331"/>
    <d v="2022-01-02T00:00:00"/>
    <n v="464"/>
    <x v="2"/>
  </r>
  <r>
    <n v="24"/>
    <n v="451"/>
    <n v="161"/>
    <n v="4"/>
    <n v="644"/>
    <x v="23"/>
    <x v="7"/>
    <n v="39"/>
    <x v="13"/>
    <n v="258.375"/>
    <n v="-0.37687469762941461"/>
    <x v="20"/>
    <n v="-0.40305343511450376"/>
    <n v="-0.40305343511450376"/>
    <n v="269.70588235294116"/>
    <d v="2022-04-02T00:00:00"/>
    <n v="313"/>
    <x v="1"/>
  </r>
  <r>
    <n v="25"/>
    <n v="7"/>
    <n v="362"/>
    <n v="1"/>
    <n v="362"/>
    <x v="24"/>
    <x v="4"/>
    <n v="303"/>
    <x v="11"/>
    <n v="262.63492063492066"/>
    <n v="0.37833917563157238"/>
    <x v="21"/>
    <n v="0.51640679543867818"/>
    <n v="0.51640679543867818"/>
    <n v="238.72222222222223"/>
    <d v="2022-05-08T00:00:00"/>
    <n v="637"/>
    <x v="0"/>
  </r>
  <r>
    <n v="26"/>
    <n v="495"/>
    <n v="312"/>
    <n v="1"/>
    <n v="312"/>
    <x v="25"/>
    <x v="8"/>
    <n v="422"/>
    <x v="8"/>
    <n v="271.18181818181819"/>
    <n v="0.15051961112973511"/>
    <x v="8"/>
    <n v="7.049282595134132E-2"/>
    <n v="7.049282595134132E-2"/>
    <n v="291.45454545454544"/>
    <d v="2022-08-11T00:00:00"/>
    <n v="390"/>
    <x v="3"/>
  </r>
  <r>
    <n v="27"/>
    <n v="415"/>
    <n v="311"/>
    <n v="5"/>
    <n v="1555"/>
    <x v="26"/>
    <x v="11"/>
    <n v="24"/>
    <x v="14"/>
    <n v="273.72549019607845"/>
    <n v="0.13617478510028636"/>
    <x v="22"/>
    <n v="0.10977060322854704"/>
    <n v="0.10977060322854704"/>
    <n v="280.23809523809524"/>
    <d v="2022-02-17T00:00:00"/>
    <n v="490"/>
    <x v="0"/>
  </r>
  <r>
    <n v="28"/>
    <n v="176"/>
    <n v="220"/>
    <n v="1"/>
    <n v="220"/>
    <x v="27"/>
    <x v="0"/>
    <n v="112"/>
    <x v="0"/>
    <n v="252.76271186440678"/>
    <n v="-0.12961845369811575"/>
    <x v="0"/>
    <n v="-8.5239085239085188E-2"/>
    <n v="-8.5239085239085188E-2"/>
    <n v="240.5"/>
    <d v="2022-04-01T00:00:00"/>
    <n v="716"/>
    <x v="2"/>
  </r>
  <r>
    <n v="29"/>
    <n v="181"/>
    <n v="476"/>
    <n v="4"/>
    <n v="1904"/>
    <x v="28"/>
    <x v="0"/>
    <n v="451"/>
    <x v="15"/>
    <n v="294.95238095238096"/>
    <n v="0.61381982563771387"/>
    <x v="23"/>
    <n v="0.49301397205588815"/>
    <n v="0.49301397205588815"/>
    <n v="318.81818181818181"/>
    <d v="2022-01-23T00:00:00"/>
    <n v="456"/>
    <x v="2"/>
  </r>
  <r>
    <n v="30"/>
    <n v="399"/>
    <n v="190"/>
    <n v="1"/>
    <n v="190"/>
    <x v="29"/>
    <x v="2"/>
    <n v="131"/>
    <x v="16"/>
    <n v="300.31818181818181"/>
    <n v="-0.36733767216588464"/>
    <x v="24"/>
    <n v="-0.32560340747752015"/>
    <n v="-0.32560340747752015"/>
    <n v="281.73333333333335"/>
    <d v="2022-05-12T00:00:00"/>
    <n v="721"/>
    <x v="2"/>
  </r>
  <r>
    <n v="31"/>
    <n v="382"/>
    <n v="198"/>
    <n v="5"/>
    <n v="990"/>
    <x v="30"/>
    <x v="12"/>
    <n v="160"/>
    <x v="4"/>
    <n v="250.48780487804879"/>
    <n v="-0.2095423563777995"/>
    <x v="25"/>
    <n v="-0.34830590513068727"/>
    <n v="-0.34830590513068727"/>
    <n v="303.8235294117647"/>
    <d v="2022-03-29T00:00:00"/>
    <n v="476"/>
    <x v="0"/>
  </r>
  <r>
    <n v="32"/>
    <n v="103"/>
    <n v="254"/>
    <n v="3"/>
    <n v="762"/>
    <x v="31"/>
    <x v="13"/>
    <n v="408"/>
    <x v="6"/>
    <n v="258.5128205128205"/>
    <n v="-1.7456853798849425E-2"/>
    <x v="26"/>
    <n v="0.17375231053604434"/>
    <n v="0.17375231053604434"/>
    <n v="216.4"/>
    <d v="2022-10-23T00:00:00"/>
    <n v="495"/>
    <x v="2"/>
  </r>
  <r>
    <n v="33"/>
    <n v="104"/>
    <n v="351"/>
    <n v="1"/>
    <n v="351"/>
    <x v="32"/>
    <x v="12"/>
    <n v="324"/>
    <x v="9"/>
    <n v="263.25423728813558"/>
    <n v="0.33331187226371362"/>
    <x v="9"/>
    <n v="0.36161241356046547"/>
    <n v="0.36161241356046547"/>
    <n v="257.78260869565219"/>
    <d v="2022-07-19T00:00:00"/>
    <n v="236"/>
    <x v="0"/>
  </r>
  <r>
    <n v="34"/>
    <n v="213"/>
    <n v="387"/>
    <n v="1"/>
    <n v="387"/>
    <x v="33"/>
    <x v="5"/>
    <n v="310"/>
    <x v="0"/>
    <n v="252.76271186440678"/>
    <n v="0.53108026554013277"/>
    <x v="0"/>
    <n v="0.60914760914760913"/>
    <n v="0.60914760914760913"/>
    <n v="240.5"/>
    <d v="2022-09-03T00:00:00"/>
    <n v="460"/>
    <x v="4"/>
  </r>
  <r>
    <n v="35"/>
    <n v="157"/>
    <n v="55"/>
    <n v="2"/>
    <n v="110"/>
    <x v="34"/>
    <x v="2"/>
    <n v="179"/>
    <x v="11"/>
    <n v="262.63492063492066"/>
    <n v="-0.79058382690680529"/>
    <x v="21"/>
    <n v="-0.76960670235047712"/>
    <n v="-0.76960670235047712"/>
    <n v="238.72222222222223"/>
    <d v="2022-09-29T00:00:00"/>
    <n v="548"/>
    <x v="2"/>
  </r>
  <r>
    <n v="36"/>
    <n v="237"/>
    <n v="336"/>
    <n v="1"/>
    <n v="336"/>
    <x v="35"/>
    <x v="9"/>
    <n v="64"/>
    <x v="17"/>
    <n v="267.85483870967744"/>
    <n v="0.25441079063045691"/>
    <x v="27"/>
    <n v="0.16570295721130024"/>
    <n v="0.16570295721130024"/>
    <n v="288.23809523809524"/>
    <d v="2022-05-26T00:00:00"/>
    <n v="264"/>
    <x v="0"/>
  </r>
  <r>
    <n v="37"/>
    <n v="8"/>
    <n v="480"/>
    <n v="4"/>
    <n v="1920"/>
    <x v="36"/>
    <x v="14"/>
    <n v="318"/>
    <x v="3"/>
    <n v="265.47674418604652"/>
    <n v="0.80806797774955097"/>
    <x v="16"/>
    <n v="0.73488326658200642"/>
    <n v="0.73488326658200642"/>
    <n v="276.67567567567568"/>
    <d v="2022-11-27T00:00:00"/>
    <n v="55"/>
    <x v="0"/>
  </r>
  <r>
    <n v="38"/>
    <n v="65"/>
    <n v="214"/>
    <n v="3"/>
    <n v="642"/>
    <x v="37"/>
    <x v="0"/>
    <n v="239"/>
    <x v="16"/>
    <n v="300.31818181818181"/>
    <n v="-0.28742243075525953"/>
    <x v="24"/>
    <n v="-0.24041646947468054"/>
    <n v="-0.24041646947468054"/>
    <n v="281.73333333333335"/>
    <d v="2022-07-25T00:00:00"/>
    <n v="362"/>
    <x v="0"/>
  </r>
  <r>
    <n v="39"/>
    <n v="45"/>
    <n v="60"/>
    <n v="2"/>
    <n v="120"/>
    <x v="38"/>
    <x v="15"/>
    <n v="194"/>
    <x v="5"/>
    <n v="268.60344827586209"/>
    <n v="-0.77662237627575581"/>
    <x v="28"/>
    <n v="-0.75290153500561585"/>
    <n v="-0.75290153500561585"/>
    <n v="242.81818181818181"/>
    <d v="2022-12-29T00:00:00"/>
    <n v="482"/>
    <x v="2"/>
  </r>
  <r>
    <n v="40"/>
    <n v="36"/>
    <n v="414"/>
    <n v="3"/>
    <n v="1242"/>
    <x v="39"/>
    <x v="6"/>
    <n v="267"/>
    <x v="3"/>
    <n v="265.47674418604652"/>
    <n v="0.55945863080898772"/>
    <x v="29"/>
    <n v="0.75754716981132075"/>
    <n v="0.75754716981132075"/>
    <n v="235.55555555555554"/>
    <d v="2022-12-15T00:00:00"/>
    <n v="207"/>
    <x v="2"/>
  </r>
  <r>
    <n v="41"/>
    <n v="443"/>
    <n v="62"/>
    <n v="3"/>
    <n v="186"/>
    <x v="40"/>
    <x v="4"/>
    <n v="334"/>
    <x v="7"/>
    <n v="249.02380952380952"/>
    <n v="-0.75102782292762216"/>
    <x v="7"/>
    <n v="-0.77553353658536583"/>
    <n v="-0.77553353658536583"/>
    <n v="276.21052631578948"/>
    <d v="2022-11-16T00:00:00"/>
    <n v="313"/>
    <x v="3"/>
  </r>
  <r>
    <n v="42"/>
    <n v="384"/>
    <n v="357"/>
    <n v="1"/>
    <n v="357"/>
    <x v="41"/>
    <x v="16"/>
    <n v="47"/>
    <x v="0"/>
    <n v="252.76271186440678"/>
    <n v="0.41239187286260304"/>
    <x v="11"/>
    <n v="0.48584905660377342"/>
    <n v="0.48584905660377342"/>
    <n v="240.26666666666668"/>
    <d v="2022-05-12T00:00:00"/>
    <n v="503"/>
    <x v="1"/>
  </r>
  <r>
    <n v="43"/>
    <n v="41"/>
    <n v="493"/>
    <n v="3"/>
    <n v="1479"/>
    <x v="42"/>
    <x v="1"/>
    <n v="287"/>
    <x v="13"/>
    <n v="258.375"/>
    <n v="0.90807934204160623"/>
    <x v="30"/>
    <n v="0.5510112359550563"/>
    <n v="0.5510112359550563"/>
    <n v="317.85714285714283"/>
    <d v="2022-02-16T00:00:00"/>
    <n v="496"/>
    <x v="2"/>
  </r>
  <r>
    <n v="44"/>
    <n v="484"/>
    <n v="305"/>
    <n v="2"/>
    <n v="610"/>
    <x v="43"/>
    <x v="11"/>
    <n v="145"/>
    <x v="2"/>
    <n v="283.468085106383"/>
    <n v="7.5958868122795176E-2"/>
    <x v="31"/>
    <n v="-5.5952380952380976E-2"/>
    <n v="-5.5952380952380976E-2"/>
    <n v="323.07692307692309"/>
    <d v="2022-04-02T00:00:00"/>
    <n v="581"/>
    <x v="3"/>
  </r>
  <r>
    <n v="45"/>
    <n v="7"/>
    <n v="162"/>
    <n v="4"/>
    <n v="648"/>
    <x v="44"/>
    <x v="8"/>
    <n v="270"/>
    <x v="11"/>
    <n v="262.63492063492066"/>
    <n v="-0.3831741810709538"/>
    <x v="21"/>
    <n v="-0.32138701419595073"/>
    <n v="-0.32138701419595073"/>
    <n v="238.72222222222223"/>
    <d v="2022-09-23T00:00:00"/>
    <n v="560"/>
    <x v="4"/>
  </r>
  <r>
    <n v="46"/>
    <n v="390"/>
    <n v="78"/>
    <n v="1"/>
    <n v="78"/>
    <x v="45"/>
    <x v="7"/>
    <n v="64"/>
    <x v="5"/>
    <n v="268.60344827586209"/>
    <n v="-0.70960908915848253"/>
    <x v="32"/>
    <n v="-0.69313304721030045"/>
    <n v="-0.69313304721030045"/>
    <n v="254.18181818181819"/>
    <d v="2022-05-26T00:00:00"/>
    <n v="269"/>
    <x v="0"/>
  </r>
  <r>
    <n v="47"/>
    <n v="57"/>
    <n v="343"/>
    <n v="5"/>
    <n v="1715"/>
    <x v="46"/>
    <x v="1"/>
    <n v="183"/>
    <x v="2"/>
    <n v="283.468085106383"/>
    <n v="0.21001275988891388"/>
    <x v="2"/>
    <n v="0.47562141491395793"/>
    <n v="0.47562141491395793"/>
    <n v="232.44444444444446"/>
    <d v="2022-12-05T00:00:00"/>
    <n v="163"/>
    <x v="4"/>
  </r>
  <r>
    <n v="48"/>
    <n v="285"/>
    <n v="498"/>
    <n v="4"/>
    <n v="1992"/>
    <x v="47"/>
    <x v="9"/>
    <n v="2"/>
    <x v="3"/>
    <n v="265.47674418604652"/>
    <n v="0.87587052691515921"/>
    <x v="16"/>
    <n v="0.79994138907883161"/>
    <n v="0.79994138907883161"/>
    <n v="276.67567567567568"/>
    <d v="2022-08-02T00:00:00"/>
    <n v="433"/>
    <x v="0"/>
  </r>
  <r>
    <n v="49"/>
    <n v="299"/>
    <n v="133"/>
    <n v="1"/>
    <n v="133"/>
    <x v="42"/>
    <x v="8"/>
    <n v="204"/>
    <x v="8"/>
    <n v="271.18181818181819"/>
    <n v="-0.50955414012738853"/>
    <x v="14"/>
    <n v="-0.48877200080922512"/>
    <n v="-0.48877200080922512"/>
    <n v="260.15789473684208"/>
    <d v="2022-11-02T00:00:00"/>
    <n v="237"/>
    <x v="2"/>
  </r>
  <r>
    <n v="50"/>
    <n v="444"/>
    <n v="311"/>
    <n v="4"/>
    <n v="1244"/>
    <x v="48"/>
    <x v="15"/>
    <n v="229"/>
    <x v="9"/>
    <n v="263.25423728813558"/>
    <n v="0.18136749935616803"/>
    <x v="33"/>
    <n v="0.25150905432595572"/>
    <n v="0.25150905432595572"/>
    <n v="248.5"/>
    <d v="2022-07-24T00:00:00"/>
    <n v="632"/>
    <x v="1"/>
  </r>
  <r>
    <n v="51"/>
    <n v="35"/>
    <n v="242"/>
    <n v="2"/>
    <n v="484"/>
    <x v="49"/>
    <x v="14"/>
    <n v="385"/>
    <x v="18"/>
    <n v="255.11627906976744"/>
    <n v="-5.1412944393801285E-2"/>
    <x v="34"/>
    <n v="-3.3189920098340542E-2"/>
    <n v="-3.3189920098340542E-2"/>
    <n v="250.30769230769232"/>
    <d v="2022-07-11T00:00:00"/>
    <n v="486"/>
    <x v="3"/>
  </r>
  <r>
    <n v="52"/>
    <n v="296"/>
    <n v="101"/>
    <n v="3"/>
    <n v="303"/>
    <x v="50"/>
    <x v="11"/>
    <n v="407"/>
    <x v="18"/>
    <n v="255.11627906976744"/>
    <n v="-0.60410209662716507"/>
    <x v="34"/>
    <n v="-0.59649661954517519"/>
    <n v="-0.59649661954517519"/>
    <n v="250.30769230769232"/>
    <d v="2022-03-01T00:00:00"/>
    <n v="459"/>
    <x v="1"/>
  </r>
  <r>
    <n v="53"/>
    <n v="227"/>
    <n v="65"/>
    <n v="1"/>
    <n v="65"/>
    <x v="51"/>
    <x v="2"/>
    <n v="493"/>
    <x v="3"/>
    <n v="265.47674418604652"/>
    <n v="-0.75515746134641493"/>
    <x v="19"/>
    <n v="-0.80259525124240749"/>
    <n v="-0.80259525124240749"/>
    <n v="329.27272727272725"/>
    <d v="2022-10-21T00:00:00"/>
    <n v="453"/>
    <x v="3"/>
  </r>
  <r>
    <n v="54"/>
    <n v="167"/>
    <n v="143"/>
    <n v="3"/>
    <n v="429"/>
    <x v="52"/>
    <x v="14"/>
    <n v="34"/>
    <x v="10"/>
    <n v="271.74545454545455"/>
    <n v="-0.47377224675498464"/>
    <x v="12"/>
    <n v="-0.32804698972099855"/>
    <n v="-0.32804698972099855"/>
    <n v="212.8125"/>
    <d v="2022-04-03T00:00:00"/>
    <n v="592"/>
    <x v="4"/>
  </r>
  <r>
    <n v="55"/>
    <n v="146"/>
    <n v="402"/>
    <n v="5"/>
    <n v="2010"/>
    <x v="53"/>
    <x v="5"/>
    <n v="190"/>
    <x v="5"/>
    <n v="268.60344827586209"/>
    <n v="0.49663007895243583"/>
    <x v="28"/>
    <n v="0.65555971546237357"/>
    <n v="0.65555971546237357"/>
    <n v="242.81818181818181"/>
    <d v="2022-05-08T00:00:00"/>
    <n v="667"/>
    <x v="1"/>
  </r>
  <r>
    <n v="56"/>
    <n v="338"/>
    <n v="97"/>
    <n v="1"/>
    <n v="97"/>
    <x v="43"/>
    <x v="9"/>
    <n v="266"/>
    <x v="11"/>
    <n v="262.63492063492066"/>
    <n v="-0.6306660219992748"/>
    <x v="21"/>
    <n v="-0.59367000232720502"/>
    <n v="-0.59367000232720502"/>
    <n v="238.72222222222223"/>
    <d v="2022-08-22T00:00:00"/>
    <n v="439"/>
    <x v="2"/>
  </r>
  <r>
    <n v="57"/>
    <n v="155"/>
    <n v="482"/>
    <n v="1"/>
    <n v="482"/>
    <x v="54"/>
    <x v="6"/>
    <n v="222"/>
    <x v="9"/>
    <n v="263.25423728813558"/>
    <n v="0.83092969353592583"/>
    <x v="33"/>
    <n v="0.93963782696177067"/>
    <n v="0.93963782696177067"/>
    <n v="248.5"/>
    <d v="2022-05-13T00:00:00"/>
    <n v="706"/>
    <x v="3"/>
  </r>
  <r>
    <n v="58"/>
    <n v="239"/>
    <n v="59"/>
    <n v="1"/>
    <n v="59"/>
    <x v="55"/>
    <x v="17"/>
    <n v="382"/>
    <x v="9"/>
    <n v="263.25423728813558"/>
    <n v="-0.77588204996137011"/>
    <x v="33"/>
    <n v="-0.76257545271629779"/>
    <n v="-0.76257545271629779"/>
    <n v="248.5"/>
    <d v="2022-10-16T00:00:00"/>
    <n v="364"/>
    <x v="1"/>
  </r>
  <r>
    <n v="59"/>
    <n v="158"/>
    <n v="87"/>
    <n v="4"/>
    <n v="348"/>
    <x v="56"/>
    <x v="8"/>
    <n v="142"/>
    <x v="0"/>
    <n v="252.76271186440678"/>
    <n v="-0.65580366123516398"/>
    <x v="11"/>
    <n v="-0.63790233074361824"/>
    <n v="-0.63790233074361824"/>
    <n v="240.26666666666668"/>
    <d v="2022-05-02T00:00:00"/>
    <n v="740"/>
    <x v="2"/>
  </r>
  <r>
    <n v="60"/>
    <n v="147"/>
    <n v="238"/>
    <n v="5"/>
    <n v="1190"/>
    <x v="57"/>
    <x v="7"/>
    <n v="270"/>
    <x v="17"/>
    <n v="267.85483870967744"/>
    <n v="-0.11145902330342627"/>
    <x v="35"/>
    <n v="-4.8986236495486168E-2"/>
    <n v="-4.8986236495486168E-2"/>
    <n v="250.25925925925927"/>
    <d v="2022-09-23T00:00:00"/>
    <n v="154"/>
    <x v="4"/>
  </r>
  <r>
    <n v="61"/>
    <n v="311"/>
    <n v="238"/>
    <n v="5"/>
    <n v="1190"/>
    <x v="58"/>
    <x v="7"/>
    <n v="150"/>
    <x v="3"/>
    <n v="265.47674418604652"/>
    <n v="-0.10349962769918097"/>
    <x v="16"/>
    <n v="-0.13978704698642186"/>
    <n v="-0.13978704698642186"/>
    <n v="276.67567567567568"/>
    <d v="2022-03-02T00:00:00"/>
    <n v="623"/>
    <x v="0"/>
  </r>
  <r>
    <n v="62"/>
    <n v="465"/>
    <n v="311"/>
    <n v="2"/>
    <n v="622"/>
    <x v="59"/>
    <x v="1"/>
    <n v="14"/>
    <x v="9"/>
    <n v="263.25423728813558"/>
    <n v="0.18136749935616803"/>
    <x v="9"/>
    <n v="0.20644290774160901"/>
    <n v="0.20644290774160901"/>
    <n v="257.78260869565219"/>
    <d v="2022-08-02T00:00:00"/>
    <n v="159"/>
    <x v="4"/>
  </r>
  <r>
    <n v="63"/>
    <n v="449"/>
    <n v="392"/>
    <n v="3"/>
    <n v="1176"/>
    <x v="33"/>
    <x v="11"/>
    <n v="371"/>
    <x v="10"/>
    <n v="271.74545454545455"/>
    <n v="0.44252642847584633"/>
    <x v="10"/>
    <n v="0.25964010282776351"/>
    <n v="0.25964010282776351"/>
    <n v="311.2"/>
    <d v="2022-10-10T00:00:00"/>
    <n v="423"/>
    <x v="3"/>
  </r>
  <r>
    <n v="64"/>
    <n v="144"/>
    <n v="473"/>
    <n v="5"/>
    <n v="2365"/>
    <x v="60"/>
    <x v="9"/>
    <n v="328"/>
    <x v="3"/>
    <n v="265.47674418604652"/>
    <n v="0.78170031974070331"/>
    <x v="29"/>
    <n v="1.0080188679245285"/>
    <n v="1.0080188679245285"/>
    <n v="235.55555555555554"/>
    <d v="2022-01-07T00:00:00"/>
    <n v="712"/>
    <x v="2"/>
  </r>
  <r>
    <n v="65"/>
    <n v="375"/>
    <n v="231"/>
    <n v="2"/>
    <n v="462"/>
    <x v="61"/>
    <x v="10"/>
    <n v="171"/>
    <x v="3"/>
    <n v="265.47674418604652"/>
    <n v="-0.12986728570802852"/>
    <x v="3"/>
    <n v="-2.2329246935201441E-2"/>
    <n v="-2.2329246935201441E-2"/>
    <n v="236.27586206896552"/>
    <d v="2022-05-29T00:00:00"/>
    <n v="404"/>
    <x v="2"/>
  </r>
  <r>
    <n v="66"/>
    <n v="408"/>
    <n v="438"/>
    <n v="3"/>
    <n v="1314"/>
    <x v="62"/>
    <x v="11"/>
    <n v="68"/>
    <x v="9"/>
    <n v="263.25423728813558"/>
    <n v="0.66379088333762559"/>
    <x v="33"/>
    <n v="0.76257545271629779"/>
    <n v="0.76257545271629779"/>
    <n v="248.5"/>
    <d v="2022-11-17T00:00:00"/>
    <n v="91"/>
    <x v="0"/>
  </r>
  <r>
    <n v="67"/>
    <n v="425"/>
    <n v="365"/>
    <n v="2"/>
    <n v="730"/>
    <x v="63"/>
    <x v="13"/>
    <n v="346"/>
    <x v="1"/>
    <n v="264.8679245283019"/>
    <n v="0.37804530559908822"/>
    <x v="13"/>
    <n v="0.13761687844641557"/>
    <n v="0.13761687844641557"/>
    <n v="320.84615384615387"/>
    <d v="2022-03-16T00:00:00"/>
    <n v="353"/>
    <x v="2"/>
  </r>
  <r>
    <n v="68"/>
    <n v="277"/>
    <n v="324"/>
    <n v="2"/>
    <n v="648"/>
    <x v="64"/>
    <x v="13"/>
    <n v="415"/>
    <x v="8"/>
    <n v="271.18181818181819"/>
    <n v="0.19477036540395565"/>
    <x v="8"/>
    <n v="0.1116656269494698"/>
    <n v="0.1116656269494698"/>
    <n v="291.45454545454544"/>
    <d v="2022-04-10T00:00:00"/>
    <n v="626"/>
    <x v="3"/>
  </r>
  <r>
    <n v="69"/>
    <n v="130"/>
    <n v="208"/>
    <n v="5"/>
    <n v="1040"/>
    <x v="65"/>
    <x v="7"/>
    <n v="115"/>
    <x v="1"/>
    <n v="264.8679245283019"/>
    <n v="-0.21470294913805388"/>
    <x v="1"/>
    <n v="-0.12666200139958006"/>
    <n v="-0.12666200139958006"/>
    <n v="238.16666666666666"/>
    <d v="2022-09-28T00:00:00"/>
    <n v="143"/>
    <x v="1"/>
  </r>
  <r>
    <n v="70"/>
    <n v="337"/>
    <n v="115"/>
    <n v="3"/>
    <n v="345"/>
    <x v="66"/>
    <x v="0"/>
    <n v="42"/>
    <x v="3"/>
    <n v="265.47674418604652"/>
    <n v="-0.56681704699750335"/>
    <x v="16"/>
    <n v="-0.5843508840480609"/>
    <n v="-0.5843508840480609"/>
    <n v="276.67567567567568"/>
    <d v="2022-08-10T00:00:00"/>
    <n v="263"/>
    <x v="4"/>
  </r>
  <r>
    <n v="71"/>
    <n v="30"/>
    <n v="261"/>
    <n v="1"/>
    <n v="261"/>
    <x v="67"/>
    <x v="14"/>
    <n v="378"/>
    <x v="14"/>
    <n v="273.72549019607845"/>
    <n v="-4.6489971346704961E-2"/>
    <x v="22"/>
    <n v="-6.8649107901444406E-2"/>
    <n v="-6.8649107901444406E-2"/>
    <n v="280.23809523809524"/>
    <d v="2022-05-29T00:00:00"/>
    <n v="290"/>
    <x v="2"/>
  </r>
  <r>
    <n v="72"/>
    <n v="75"/>
    <n v="257"/>
    <n v="2"/>
    <n v="514"/>
    <x v="68"/>
    <x v="17"/>
    <n v="449"/>
    <x v="2"/>
    <n v="283.468085106383"/>
    <n v="-9.3372363581775919E-2"/>
    <x v="36"/>
    <n v="3.0060120240480881E-2"/>
    <n v="3.0060120240480881E-2"/>
    <n v="249.5"/>
    <d v="2022-03-25T00:00:00"/>
    <n v="661"/>
    <x v="4"/>
  </r>
  <r>
    <n v="73"/>
    <n v="118"/>
    <n v="459"/>
    <n v="2"/>
    <n v="918"/>
    <x v="69"/>
    <x v="9"/>
    <n v="318"/>
    <x v="0"/>
    <n v="252.76271186440678"/>
    <n v="0.81593240796620403"/>
    <x v="0"/>
    <n v="0.90852390852390852"/>
    <n v="0.90852390852390852"/>
    <n v="240.5"/>
    <d v="2022-11-27T00:00:00"/>
    <n v="101"/>
    <x v="0"/>
  </r>
  <r>
    <n v="74"/>
    <n v="19"/>
    <n v="112"/>
    <n v="4"/>
    <n v="448"/>
    <x v="70"/>
    <x v="9"/>
    <n v="317"/>
    <x v="10"/>
    <n v="271.74545454545455"/>
    <n v="-0.58784959186404384"/>
    <x v="37"/>
    <n v="-0.58876889848812097"/>
    <n v="-0.58876889848812097"/>
    <n v="272.35294117647061"/>
    <d v="2022-07-28T00:00:00"/>
    <n v="590"/>
    <x v="2"/>
  </r>
  <r>
    <n v="75"/>
    <n v="204"/>
    <n v="491"/>
    <n v="4"/>
    <n v="1964"/>
    <x v="71"/>
    <x v="10"/>
    <n v="426"/>
    <x v="2"/>
    <n v="283.468085106383"/>
    <n v="0.73211739097800788"/>
    <x v="2"/>
    <n v="1.1123326959847035"/>
    <n v="1.1123326959847035"/>
    <n v="232.44444444444446"/>
    <d v="2022-07-26T00:00:00"/>
    <n v="162"/>
    <x v="4"/>
  </r>
  <r>
    <n v="76"/>
    <n v="304"/>
    <n v="162"/>
    <n v="1"/>
    <n v="162"/>
    <x v="72"/>
    <x v="7"/>
    <n v="25"/>
    <x v="17"/>
    <n v="267.85483870967744"/>
    <n v="-0.39519479737460106"/>
    <x v="27"/>
    <n v="-0.43796464563026594"/>
    <n v="-0.43796464563026594"/>
    <n v="288.23809523809524"/>
    <d v="2022-01-21T00:00:00"/>
    <n v="734"/>
    <x v="4"/>
  </r>
  <r>
    <n v="77"/>
    <n v="189"/>
    <n v="278"/>
    <n v="2"/>
    <n v="556"/>
    <x v="73"/>
    <x v="15"/>
    <n v="462"/>
    <x v="16"/>
    <n v="300.31818181818181"/>
    <n v="-7.4315120326925999E-2"/>
    <x v="38"/>
    <n v="5.3030303030302983E-2"/>
    <n v="5.3030303030302983E-2"/>
    <n v="264"/>
    <d v="2022-07-09T00:00:00"/>
    <n v="358"/>
    <x v="2"/>
  </r>
  <r>
    <n v="78"/>
    <n v="392"/>
    <n v="484"/>
    <n v="4"/>
    <n v="1936"/>
    <x v="74"/>
    <x v="2"/>
    <n v="252"/>
    <x v="7"/>
    <n v="249.02380952380952"/>
    <n v="0.94358925327469167"/>
    <x v="39"/>
    <n v="1.1782178217821784"/>
    <n v="1.1782178217821784"/>
    <n v="222.2"/>
    <d v="2022-03-23T00:00:00"/>
    <n v="659"/>
    <x v="2"/>
  </r>
  <r>
    <n v="79"/>
    <n v="10"/>
    <n v="53"/>
    <n v="1"/>
    <n v="53"/>
    <x v="75"/>
    <x v="17"/>
    <n v="392"/>
    <x v="5"/>
    <n v="268.60344827586209"/>
    <n v="-0.80268309904358437"/>
    <x v="5"/>
    <n v="-0.81203590823451177"/>
    <n v="-0.81203590823451177"/>
    <n v="281.96875"/>
    <d v="2022-12-24T00:00:00"/>
    <n v="245"/>
    <x v="2"/>
  </r>
  <r>
    <n v="80"/>
    <n v="64"/>
    <n v="131"/>
    <n v="5"/>
    <n v="655"/>
    <x v="76"/>
    <x v="7"/>
    <n v="487"/>
    <x v="19"/>
    <n v="286.92307692307691"/>
    <n v="-0.54343163538873984"/>
    <x v="40"/>
    <n v="-0.52116966189460856"/>
    <n v="-0.52116966189460856"/>
    <n v="273.58333333333331"/>
    <d v="2022-09-11T00:00:00"/>
    <n v="131"/>
    <x v="2"/>
  </r>
  <r>
    <n v="81"/>
    <n v="116"/>
    <n v="120"/>
    <n v="2"/>
    <n v="240"/>
    <x v="24"/>
    <x v="18"/>
    <n v="332"/>
    <x v="1"/>
    <n v="264.8679245283019"/>
    <n v="-0.54694400911810803"/>
    <x v="13"/>
    <n v="-0.62598897146967158"/>
    <n v="-0.62598897146967158"/>
    <n v="320.84615384615387"/>
    <d v="2022-10-24T00:00:00"/>
    <n v="468"/>
    <x v="0"/>
  </r>
  <r>
    <n v="82"/>
    <n v="334"/>
    <n v="396"/>
    <n v="4"/>
    <n v="1584"/>
    <x v="77"/>
    <x v="17"/>
    <n v="134"/>
    <x v="15"/>
    <n v="294.95238095238096"/>
    <n v="0.34258960284145945"/>
    <x v="41"/>
    <n v="0.44116457743631221"/>
    <n v="0.44116457743631221"/>
    <n v="274.77777777777777"/>
    <d v="2022-07-11T00:00:00"/>
    <n v="420"/>
    <x v="2"/>
  </r>
  <r>
    <n v="83"/>
    <n v="345"/>
    <n v="267"/>
    <n v="5"/>
    <n v="1335"/>
    <x v="78"/>
    <x v="1"/>
    <n v="287"/>
    <x v="17"/>
    <n v="267.85483870967744"/>
    <n v="-3.1914253025833172E-3"/>
    <x v="27"/>
    <n v="-7.3682471501734681E-2"/>
    <n v="-7.3682471501734681E-2"/>
    <n v="288.23809523809524"/>
    <d v="2022-02-16T00:00:00"/>
    <n v="396"/>
    <x v="2"/>
  </r>
  <r>
    <n v="84"/>
    <n v="281"/>
    <n v="371"/>
    <n v="1"/>
    <n v="371"/>
    <x v="69"/>
    <x v="14"/>
    <n v="11"/>
    <x v="8"/>
    <n v="271.18181818181819"/>
    <n v="0.36808581964465303"/>
    <x v="14"/>
    <n v="0.42605705037426667"/>
    <n v="0.42605705037426667"/>
    <n v="260.15789473684208"/>
    <d v="2022-05-09T00:00:00"/>
    <n v="303"/>
    <x v="4"/>
  </r>
  <r>
    <n v="85"/>
    <n v="276"/>
    <n v="295"/>
    <n v="1"/>
    <n v="295"/>
    <x v="79"/>
    <x v="9"/>
    <n v="458"/>
    <x v="19"/>
    <n v="286.92307692307691"/>
    <n v="2.8150134048257502E-2"/>
    <x v="42"/>
    <n v="-5.6503198294243107E-2"/>
    <n v="-5.6503198294243107E-2"/>
    <n v="312.66666666666669"/>
    <d v="2022-05-13T00:00:00"/>
    <n v="578"/>
    <x v="2"/>
  </r>
  <r>
    <n v="86"/>
    <n v="234"/>
    <n v="75"/>
    <n v="5"/>
    <n v="375"/>
    <x v="80"/>
    <x v="15"/>
    <n v="130"/>
    <x v="8"/>
    <n v="271.18181818181819"/>
    <n v="-0.72343278578612136"/>
    <x v="8"/>
    <n v="-0.74266999376169673"/>
    <n v="-0.74266999376169673"/>
    <n v="291.45454545454544"/>
    <d v="2022-10-29T00:00:00"/>
    <n v="76"/>
    <x v="4"/>
  </r>
  <r>
    <n v="87"/>
    <n v="319"/>
    <n v="247"/>
    <n v="2"/>
    <n v="494"/>
    <x v="81"/>
    <x v="0"/>
    <n v="330"/>
    <x v="9"/>
    <n v="263.25423728813558"/>
    <n v="-6.1743497295905225E-2"/>
    <x v="33"/>
    <n v="-6.0362173038229772E-3"/>
    <n v="-6.0362173038229772E-3"/>
    <n v="248.5"/>
    <d v="2022-09-11T00:00:00"/>
    <n v="374"/>
    <x v="0"/>
  </r>
  <r>
    <n v="88"/>
    <n v="375"/>
    <n v="281"/>
    <n v="2"/>
    <n v="562"/>
    <x v="82"/>
    <x v="9"/>
    <n v="167"/>
    <x v="3"/>
    <n v="265.47674418604652"/>
    <n v="5.8473128640883054E-2"/>
    <x v="3"/>
    <n v="0.18928779918272043"/>
    <n v="0.18928779918272043"/>
    <n v="236.27586206896552"/>
    <d v="2022-01-02T00:00:00"/>
    <n v="516"/>
    <x v="0"/>
  </r>
  <r>
    <n v="89"/>
    <n v="443"/>
    <n v="136"/>
    <n v="2"/>
    <n v="272"/>
    <x v="83"/>
    <x v="17"/>
    <n v="140"/>
    <x v="7"/>
    <n v="249.02380952380952"/>
    <n v="-0.45386748255091303"/>
    <x v="7"/>
    <n v="-0.50762195121951215"/>
    <n v="-0.50762195121951215"/>
    <n v="276.21052631578948"/>
    <d v="2022-03-07T00:00:00"/>
    <n v="300"/>
    <x v="2"/>
  </r>
  <r>
    <n v="90"/>
    <n v="30"/>
    <n v="142"/>
    <n v="5"/>
    <n v="710"/>
    <x v="84"/>
    <x v="15"/>
    <n v="423"/>
    <x v="14"/>
    <n v="273.72549019607845"/>
    <n v="-0.48123209169054448"/>
    <x v="22"/>
    <n v="-0.49328802039082409"/>
    <n v="-0.49328802039082409"/>
    <n v="280.23809523809524"/>
    <d v="2022-10-07T00:00:00"/>
    <n v="385"/>
    <x v="1"/>
  </r>
  <r>
    <n v="91"/>
    <n v="24"/>
    <n v="414"/>
    <n v="1"/>
    <n v="414"/>
    <x v="85"/>
    <x v="4"/>
    <n v="365"/>
    <x v="9"/>
    <n v="263.25423728813558"/>
    <n v="0.57262425959309815"/>
    <x v="43"/>
    <n v="0.44200626959247646"/>
    <n v="0.44200626959247646"/>
    <n v="287.10000000000002"/>
    <d v="2022-10-07T00:00:00"/>
    <n v="547"/>
    <x v="1"/>
  </r>
  <r>
    <n v="92"/>
    <n v="357"/>
    <n v="206"/>
    <n v="2"/>
    <n v="412"/>
    <x v="86"/>
    <x v="18"/>
    <n v="452"/>
    <x v="10"/>
    <n v="271.74545454545455"/>
    <n v="-0.24193764217850933"/>
    <x v="37"/>
    <n v="-0.24362850971922256"/>
    <n v="-0.24362850971922256"/>
    <n v="272.35294117647061"/>
    <d v="2022-07-27T00:00:00"/>
    <n v="655"/>
    <x v="2"/>
  </r>
  <r>
    <n v="93"/>
    <n v="265"/>
    <n v="66"/>
    <n v="1"/>
    <n v="66"/>
    <x v="87"/>
    <x v="16"/>
    <n v="424"/>
    <x v="10"/>
    <n v="271.74545454545455"/>
    <n v="-0.75712565234845441"/>
    <x v="15"/>
    <n v="-0.79152408528560148"/>
    <n v="-0.79152408528560148"/>
    <n v="316.58333333333331"/>
    <d v="2022-01-24T00:00:00"/>
    <n v="598"/>
    <x v="2"/>
  </r>
  <r>
    <n v="94"/>
    <n v="102"/>
    <n v="452"/>
    <n v="1"/>
    <n v="452"/>
    <x v="88"/>
    <x v="13"/>
    <n v="75"/>
    <x v="2"/>
    <n v="283.468085106383"/>
    <n v="0.59453576521804385"/>
    <x v="36"/>
    <n v="0.81162324649298601"/>
    <n v="0.81162324649298601"/>
    <n v="249.5"/>
    <d v="2022-08-23T00:00:00"/>
    <n v="422"/>
    <x v="3"/>
  </r>
  <r>
    <n v="95"/>
    <n v="212"/>
    <n v="175"/>
    <n v="1"/>
    <n v="175"/>
    <x v="89"/>
    <x v="19"/>
    <n v="385"/>
    <x v="14"/>
    <n v="273.72549019607845"/>
    <n v="-0.36067335243553011"/>
    <x v="44"/>
    <n v="-0.45409982174688057"/>
    <n v="-0.45409982174688057"/>
    <n v="320.57142857142856"/>
    <d v="2022-07-11T00:00:00"/>
    <n v="537"/>
    <x v="3"/>
  </r>
  <r>
    <n v="96"/>
    <n v="215"/>
    <n v="109"/>
    <n v="1"/>
    <n v="109"/>
    <x v="90"/>
    <x v="9"/>
    <n v="71"/>
    <x v="5"/>
    <n v="268.60344827586209"/>
    <n v="-0.59419731690095645"/>
    <x v="5"/>
    <n v="-0.61343233957663745"/>
    <n v="-0.61343233957663745"/>
    <n v="281.96875"/>
    <d v="2022-07-20T00:00:00"/>
    <n v="473"/>
    <x v="3"/>
  </r>
  <r>
    <n v="97"/>
    <n v="364"/>
    <n v="323"/>
    <n v="2"/>
    <n v="646"/>
    <x v="91"/>
    <x v="17"/>
    <n v="313"/>
    <x v="0"/>
    <n v="252.76271186440678"/>
    <n v="0.27787836116140285"/>
    <x v="45"/>
    <n v="0.10084202085004002"/>
    <n v="0.10084202085004002"/>
    <n v="293.41176470588238"/>
    <d v="2022-12-01T00:00:00"/>
    <n v="301"/>
    <x v="0"/>
  </r>
  <r>
    <n v="98"/>
    <n v="499"/>
    <n v="96"/>
    <n v="1"/>
    <n v="96"/>
    <x v="92"/>
    <x v="5"/>
    <n v="239"/>
    <x v="2"/>
    <n v="283.468085106383"/>
    <n v="-0.66133753659085792"/>
    <x v="46"/>
    <n v="-0.70152628603730927"/>
    <n v="-0.70152628603730927"/>
    <n v="321.63636363636363"/>
    <d v="2022-07-25T00:00:00"/>
    <n v="175"/>
    <x v="0"/>
  </r>
  <r>
    <n v="99"/>
    <n v="202"/>
    <n v="422"/>
    <n v="2"/>
    <n v="844"/>
    <x v="93"/>
    <x v="5"/>
    <n v="301"/>
    <x v="4"/>
    <n v="250.48780487804879"/>
    <n v="0.68471275559883149"/>
    <x v="25"/>
    <n v="0.3889641819941918"/>
    <n v="0.3889641819941918"/>
    <n v="303.8235294117647"/>
    <d v="2022-06-02T00:00:00"/>
    <n v="363"/>
    <x v="2"/>
  </r>
  <r>
    <n v="100"/>
    <n v="244"/>
    <n v="57"/>
    <n v="3"/>
    <n v="171"/>
    <x v="94"/>
    <x v="18"/>
    <n v="359"/>
    <x v="10"/>
    <n v="271.74545454545455"/>
    <n v="-0.79024488157366524"/>
    <x v="12"/>
    <n v="-0.73215859030837005"/>
    <n v="-0.73215859030837005"/>
    <n v="212.8125"/>
    <d v="2022-01-23T00:00:00"/>
    <n v="747"/>
    <x v="2"/>
  </r>
  <r>
    <n v="101"/>
    <n v="363"/>
    <n v="414"/>
    <n v="4"/>
    <n v="1656"/>
    <x v="95"/>
    <x v="17"/>
    <n v="474"/>
    <x v="16"/>
    <n v="300.31818181818181"/>
    <n v="0.37853791433328299"/>
    <x v="38"/>
    <n v="0.56818181818181812"/>
    <n v="0.56818181818181812"/>
    <n v="264"/>
    <d v="2022-02-13T00:00:00"/>
    <n v="605"/>
    <x v="2"/>
  </r>
  <r>
    <n v="102"/>
    <n v="212"/>
    <n v="320"/>
    <n v="5"/>
    <n v="1600"/>
    <x v="96"/>
    <x v="2"/>
    <n v="111"/>
    <x v="14"/>
    <n v="273.72549019607845"/>
    <n v="0.16905444126074487"/>
    <x v="44"/>
    <n v="-1.7825311942958333E-3"/>
    <n v="-1.7825311942958333E-3"/>
    <n v="320.57142857142856"/>
    <d v="2022-08-31T00:00:00"/>
    <n v="278"/>
    <x v="0"/>
  </r>
  <r>
    <n v="103"/>
    <n v="434"/>
    <n v="272"/>
    <n v="2"/>
    <n v="544"/>
    <x v="25"/>
    <x v="5"/>
    <n v="126"/>
    <x v="11"/>
    <n v="262.63492063492066"/>
    <n v="3.5658165115435736E-2"/>
    <x v="47"/>
    <n v="3.6900369003689537E-3"/>
    <n v="3.6900369003689537E-3"/>
    <n v="271"/>
    <d v="2022-09-18T00:00:00"/>
    <n v="352"/>
    <x v="0"/>
  </r>
  <r>
    <n v="104"/>
    <n v="305"/>
    <n v="419"/>
    <n v="4"/>
    <n v="1676"/>
    <x v="97"/>
    <x v="19"/>
    <n v="356"/>
    <x v="2"/>
    <n v="283.468085106383"/>
    <n v="0.47812054342115129"/>
    <x v="46"/>
    <n v="0.30271339739966097"/>
    <n v="0.30271339739966097"/>
    <n v="321.63636363636363"/>
    <d v="2022-01-09T00:00:00"/>
    <n v="601"/>
    <x v="4"/>
  </r>
  <r>
    <n v="105"/>
    <n v="37"/>
    <n v="478"/>
    <n v="4"/>
    <n v="1912"/>
    <x v="98"/>
    <x v="4"/>
    <n v="166"/>
    <x v="1"/>
    <n v="264.8679245283019"/>
    <n v="0.80467303034620308"/>
    <x v="1"/>
    <n v="1.0069979006298113"/>
    <n v="1.0069979006298113"/>
    <n v="238.16666666666666"/>
    <d v="2022-08-23T00:00:00"/>
    <n v="463"/>
    <x v="0"/>
  </r>
  <r>
    <n v="106"/>
    <n v="242"/>
    <n v="333"/>
    <n v="3"/>
    <n v="999"/>
    <x v="64"/>
    <x v="2"/>
    <n v="162"/>
    <x v="4"/>
    <n v="250.48780487804879"/>
    <n v="0.32940603700097371"/>
    <x v="25"/>
    <n v="9.603097773475322E-2"/>
    <n v="9.603097773475322E-2"/>
    <n v="303.8235294117647"/>
    <d v="2022-03-19T00:00:00"/>
    <n v="648"/>
    <x v="4"/>
  </r>
  <r>
    <n v="107"/>
    <n v="332"/>
    <n v="327"/>
    <n v="2"/>
    <n v="654"/>
    <x v="99"/>
    <x v="11"/>
    <n v="459"/>
    <x v="8"/>
    <n v="271.18181818181819"/>
    <n v="0.20583305397251084"/>
    <x v="48"/>
    <n v="0.16060337178349604"/>
    <n v="0.16060337178349604"/>
    <n v="281.75"/>
    <d v="2022-07-01T00:00:00"/>
    <n v="352"/>
    <x v="2"/>
  </r>
  <r>
    <n v="108"/>
    <n v="452"/>
    <n v="89"/>
    <n v="3"/>
    <n v="267"/>
    <x v="100"/>
    <x v="14"/>
    <n v="211"/>
    <x v="12"/>
    <n v="274.16279069767444"/>
    <n v="-0.67537534990245152"/>
    <x v="18"/>
    <n v="-0.64917467356491754"/>
    <n v="-0.64917467356491754"/>
    <n v="253.6875"/>
    <d v="2022-03-01T00:00:00"/>
    <n v="412"/>
    <x v="3"/>
  </r>
  <r>
    <n v="109"/>
    <n v="452"/>
    <n v="78"/>
    <n v="3"/>
    <n v="234"/>
    <x v="101"/>
    <x v="2"/>
    <n v="132"/>
    <x v="12"/>
    <n v="274.16279069767444"/>
    <n v="-0.71549749766731696"/>
    <x v="18"/>
    <n v="-0.69253510716925348"/>
    <n v="-0.69253510716925348"/>
    <n v="253.6875"/>
    <d v="2022-02-09T00:00:00"/>
    <n v="684"/>
    <x v="3"/>
  </r>
  <r>
    <n v="110"/>
    <n v="132"/>
    <n v="278"/>
    <n v="3"/>
    <n v="834"/>
    <x v="102"/>
    <x v="3"/>
    <n v="236"/>
    <x v="6"/>
    <n v="258.5128205128205"/>
    <n v="7.5381868676849928E-2"/>
    <x v="6"/>
    <n v="6.6576393590611627E-2"/>
    <n v="6.6576393590611627E-2"/>
    <n v="260.64705882352939"/>
    <d v="2022-09-16T00:00:00"/>
    <n v="193"/>
    <x v="0"/>
  </r>
  <r>
    <n v="111"/>
    <n v="457"/>
    <n v="211"/>
    <n v="4"/>
    <n v="844"/>
    <x v="103"/>
    <x v="9"/>
    <n v="333"/>
    <x v="5"/>
    <n v="268.60344827586209"/>
    <n v="-0.21445535656974135"/>
    <x v="49"/>
    <n v="-0.22497704315886136"/>
    <n v="-0.22497704315886136"/>
    <n v="272.25"/>
    <d v="2022-10-23T00:00:00"/>
    <n v="182"/>
    <x v="2"/>
  </r>
  <r>
    <n v="112"/>
    <n v="250"/>
    <n v="97"/>
    <n v="5"/>
    <n v="485"/>
    <x v="55"/>
    <x v="19"/>
    <n v="298"/>
    <x v="12"/>
    <n v="274.16279069767444"/>
    <n v="-0.64619560607345838"/>
    <x v="50"/>
    <n v="-0.654394299287411"/>
    <n v="-0.654394299287411"/>
    <n v="280.66666666666669"/>
    <d v="2022-09-17T00:00:00"/>
    <n v="393"/>
    <x v="3"/>
  </r>
  <r>
    <n v="113"/>
    <n v="195"/>
    <n v="240"/>
    <n v="2"/>
    <n v="480"/>
    <x v="104"/>
    <x v="6"/>
    <n v="273"/>
    <x v="16"/>
    <n v="300.31818181818181"/>
    <n v="-0.20084758589374907"/>
    <x v="51"/>
    <n v="-0.27528938097634625"/>
    <n v="-0.27528938097634625"/>
    <n v="331.16666666666669"/>
    <d v="2022-02-07T00:00:00"/>
    <n v="678"/>
    <x v="0"/>
  </r>
  <r>
    <n v="114"/>
    <n v="186"/>
    <n v="244"/>
    <n v="1"/>
    <n v="244"/>
    <x v="105"/>
    <x v="9"/>
    <n v="321"/>
    <x v="11"/>
    <n v="262.63492063492066"/>
    <n v="-7.0953704822918073E-2"/>
    <x v="21"/>
    <n v="2.2108447754247029E-2"/>
    <n v="2.2108447754247029E-2"/>
    <n v="238.72222222222223"/>
    <d v="2022-07-14T00:00:00"/>
    <n v="420"/>
    <x v="4"/>
  </r>
  <r>
    <n v="115"/>
    <n v="490"/>
    <n v="219"/>
    <n v="1"/>
    <n v="219"/>
    <x v="106"/>
    <x v="12"/>
    <n v="119"/>
    <x v="11"/>
    <n v="262.63492063492066"/>
    <n v="-0.16614287441073383"/>
    <x v="47"/>
    <n v="-0.19188191881918815"/>
    <n v="-0.19188191881918815"/>
    <n v="271"/>
    <d v="2022-05-09T00:00:00"/>
    <n v="258"/>
    <x v="2"/>
  </r>
  <r>
    <n v="116"/>
    <n v="72"/>
    <n v="162"/>
    <n v="1"/>
    <n v="162"/>
    <x v="107"/>
    <x v="9"/>
    <n v="472"/>
    <x v="17"/>
    <n v="267.85483870967744"/>
    <n v="-0.39519479737460106"/>
    <x v="35"/>
    <n v="-0.352671303833062"/>
    <n v="-0.352671303833062"/>
    <n v="250.25925925925927"/>
    <d v="2022-12-06T00:00:00"/>
    <n v="58"/>
    <x v="3"/>
  </r>
  <r>
    <n v="117"/>
    <n v="430"/>
    <n v="119"/>
    <n v="3"/>
    <n v="357"/>
    <x v="108"/>
    <x v="16"/>
    <n v="396"/>
    <x v="8"/>
    <n v="271.18181818181819"/>
    <n v="-0.56118002011397916"/>
    <x v="52"/>
    <n v="-0.5108919030004111"/>
    <n v="-0.5108919030004111"/>
    <n v="243.3"/>
    <d v="2022-11-06T00:00:00"/>
    <n v="370"/>
    <x v="3"/>
  </r>
  <r>
    <n v="118"/>
    <n v="223"/>
    <n v="174"/>
    <n v="2"/>
    <n v="348"/>
    <x v="109"/>
    <x v="6"/>
    <n v="269"/>
    <x v="8"/>
    <n v="271.18181818181819"/>
    <n v="-0.35836406302380153"/>
    <x v="8"/>
    <n v="-0.40299438552713662"/>
    <n v="-0.40299438552713662"/>
    <n v="291.45454545454544"/>
    <d v="2022-06-08T00:00:00"/>
    <n v="618"/>
    <x v="2"/>
  </r>
  <r>
    <n v="119"/>
    <n v="164"/>
    <n v="229"/>
    <n v="3"/>
    <n v="687"/>
    <x v="110"/>
    <x v="14"/>
    <n v="16"/>
    <x v="15"/>
    <n v="294.95238095238096"/>
    <n v="-0.22360348724572165"/>
    <x v="53"/>
    <n v="-0.29002254791431792"/>
    <n v="-0.29002254791431792"/>
    <n v="322.54545454545456"/>
    <d v="2022-06-01T00:00:00"/>
    <n v="630"/>
    <x v="3"/>
  </r>
  <r>
    <n v="120"/>
    <n v="223"/>
    <n v="411"/>
    <n v="5"/>
    <n v="2055"/>
    <x v="20"/>
    <x v="15"/>
    <n v="281"/>
    <x v="8"/>
    <n v="271.18181818181819"/>
    <n v="0.51558833389205505"/>
    <x v="8"/>
    <n v="0.41016843418590154"/>
    <n v="0.41016843418590154"/>
    <n v="291.45454545454544"/>
    <d v="2022-05-30T00:00:00"/>
    <n v="533"/>
    <x v="0"/>
  </r>
  <r>
    <n v="121"/>
    <n v="244"/>
    <n v="245"/>
    <n v="4"/>
    <n v="980"/>
    <x v="111"/>
    <x v="17"/>
    <n v="149"/>
    <x v="10"/>
    <n v="271.74545454545455"/>
    <n v="-9.8420982202595986E-2"/>
    <x v="12"/>
    <n v="0.15124816446402356"/>
    <n v="0.15124816446402356"/>
    <n v="212.8125"/>
    <d v="2022-11-17T00:00:00"/>
    <n v="78"/>
    <x v="4"/>
  </r>
  <r>
    <n v="122"/>
    <n v="393"/>
    <n v="113"/>
    <n v="5"/>
    <n v="565"/>
    <x v="112"/>
    <x v="11"/>
    <n v="71"/>
    <x v="6"/>
    <n v="258.5128205128205"/>
    <n v="-0.56288434834358259"/>
    <x v="54"/>
    <n v="-0.61389521640091127"/>
    <n v="-0.61389521640091127"/>
    <n v="292.66666666666669"/>
    <d v="2022-07-20T00:00:00"/>
    <n v="671"/>
    <x v="3"/>
  </r>
  <r>
    <n v="123"/>
    <n v="166"/>
    <n v="73"/>
    <n v="4"/>
    <n v="292"/>
    <x v="72"/>
    <x v="16"/>
    <n v="126"/>
    <x v="5"/>
    <n v="268.60344827586209"/>
    <n v="-0.72822389113550301"/>
    <x v="28"/>
    <n v="-0.69936353425683262"/>
    <n v="-0.69936353425683262"/>
    <n v="242.81818181818181"/>
    <d v="2022-09-18T00:00:00"/>
    <n v="494"/>
    <x v="0"/>
  </r>
  <r>
    <n v="124"/>
    <n v="249"/>
    <n v="368"/>
    <n v="2"/>
    <n v="736"/>
    <x v="113"/>
    <x v="14"/>
    <n v="380"/>
    <x v="8"/>
    <n v="271.18181818181819"/>
    <n v="0.35702313107609784"/>
    <x v="14"/>
    <n v="0.41452559174590342"/>
    <n v="0.41452559174590342"/>
    <n v="260.15789473684208"/>
    <d v="2022-01-02T00:00:00"/>
    <n v="750"/>
    <x v="2"/>
  </r>
  <r>
    <n v="125"/>
    <n v="83"/>
    <n v="351"/>
    <n v="1"/>
    <n v="351"/>
    <x v="114"/>
    <x v="7"/>
    <n v="11"/>
    <x v="5"/>
    <n v="268.60344827586209"/>
    <n v="0.30675909878682828"/>
    <x v="32"/>
    <n v="0.38090128755364794"/>
    <n v="0.38090128755364794"/>
    <n v="254.18181818181819"/>
    <d v="2022-05-09T00:00:00"/>
    <n v="671"/>
    <x v="4"/>
  </r>
  <r>
    <n v="126"/>
    <n v="242"/>
    <n v="221"/>
    <n v="5"/>
    <n v="1105"/>
    <x v="115"/>
    <x v="12"/>
    <n v="114"/>
    <x v="4"/>
    <n v="250.48780487804879"/>
    <n v="-0.11772151898734184"/>
    <x v="25"/>
    <n v="-0.27260406582768637"/>
    <n v="-0.27260406582768637"/>
    <n v="303.8235294117647"/>
    <d v="2022-11-24T00:00:00"/>
    <n v="136"/>
    <x v="2"/>
  </r>
  <r>
    <n v="127"/>
    <n v="281"/>
    <n v="442"/>
    <n v="5"/>
    <n v="2210"/>
    <x v="116"/>
    <x v="2"/>
    <n v="381"/>
    <x v="8"/>
    <n v="271.18181818181819"/>
    <n v="0.6299027824337915"/>
    <x v="14"/>
    <n v="0.69896823791219931"/>
    <n v="0.69896823791219931"/>
    <n v="260.15789473684208"/>
    <d v="2022-06-02T00:00:00"/>
    <n v="665"/>
    <x v="0"/>
  </r>
  <r>
    <n v="128"/>
    <n v="236"/>
    <n v="465"/>
    <n v="1"/>
    <n v="465"/>
    <x v="105"/>
    <x v="18"/>
    <n v="342"/>
    <x v="2"/>
    <n v="283.468085106383"/>
    <n v="0.64039630713803186"/>
    <x v="46"/>
    <n v="0.44573205200678356"/>
    <n v="0.44573205200678356"/>
    <n v="321.63636363636363"/>
    <d v="2022-01-09T00:00:00"/>
    <n v="606"/>
    <x v="4"/>
  </r>
  <r>
    <n v="129"/>
    <n v="379"/>
    <n v="380"/>
    <n v="1"/>
    <n v="380"/>
    <x v="117"/>
    <x v="18"/>
    <n v="276"/>
    <x v="9"/>
    <n v="263.25423728813558"/>
    <n v="0.44347154262168442"/>
    <x v="55"/>
    <n v="0.29398410896708271"/>
    <n v="0.29398410896708271"/>
    <n v="293.66666666666669"/>
    <d v="2022-03-12T00:00:00"/>
    <n v="628"/>
    <x v="4"/>
  </r>
  <r>
    <n v="130"/>
    <n v="37"/>
    <n v="313"/>
    <n v="1"/>
    <n v="313"/>
    <x v="118"/>
    <x v="8"/>
    <n v="293"/>
    <x v="1"/>
    <n v="264.8679245283019"/>
    <n v="0.18172104288360158"/>
    <x v="1"/>
    <n v="0.31420573827851639"/>
    <n v="0.31420573827851639"/>
    <n v="238.16666666666666"/>
    <d v="2022-01-12T00:00:00"/>
    <n v="436"/>
    <x v="1"/>
  </r>
  <r>
    <n v="131"/>
    <n v="431"/>
    <n v="141"/>
    <n v="5"/>
    <n v="705"/>
    <x v="119"/>
    <x v="10"/>
    <n v="386"/>
    <x v="4"/>
    <n v="250.48780487804879"/>
    <n v="-0.43709834469328146"/>
    <x v="56"/>
    <n v="-0.4306864064602961"/>
    <n v="-0.4306864064602961"/>
    <n v="247.66666666666666"/>
    <d v="2022-06-22T00:00:00"/>
    <n v="295"/>
    <x v="0"/>
  </r>
  <r>
    <n v="132"/>
    <n v="237"/>
    <n v="348"/>
    <n v="2"/>
    <n v="696"/>
    <x v="120"/>
    <x v="1"/>
    <n v="362"/>
    <x v="17"/>
    <n v="267.85483870967744"/>
    <n v="0.29921117601011615"/>
    <x v="27"/>
    <n v="0.20733520568313235"/>
    <n v="0.20733520568313235"/>
    <n v="288.23809523809524"/>
    <d v="2022-12-21T00:00:00"/>
    <n v="468"/>
    <x v="2"/>
  </r>
  <r>
    <n v="133"/>
    <n v="452"/>
    <n v="349"/>
    <n v="1"/>
    <n v="349"/>
    <x v="67"/>
    <x v="3"/>
    <n v="283"/>
    <x v="12"/>
    <n v="274.16279069767444"/>
    <n v="0.27296632453982528"/>
    <x v="18"/>
    <n v="0.37570830253757093"/>
    <n v="0.37570830253757093"/>
    <n v="253.6875"/>
    <d v="2022-11-24T00:00:00"/>
    <n v="111"/>
    <x v="4"/>
  </r>
  <r>
    <n v="134"/>
    <n v="382"/>
    <n v="379"/>
    <n v="5"/>
    <n v="1895"/>
    <x v="121"/>
    <x v="8"/>
    <n v="388"/>
    <x v="4"/>
    <n v="250.48780487804879"/>
    <n v="0.51304771178188902"/>
    <x v="25"/>
    <n v="0.24743465634075523"/>
    <n v="0.24743465634075523"/>
    <n v="303.8235294117647"/>
    <d v="2022-01-20T00:00:00"/>
    <n v="733"/>
    <x v="2"/>
  </r>
  <r>
    <n v="135"/>
    <n v="452"/>
    <n v="448"/>
    <n v="4"/>
    <n v="1792"/>
    <x v="122"/>
    <x v="18"/>
    <n v="437"/>
    <x v="12"/>
    <n v="274.16279069767444"/>
    <n v="0.63406565442361518"/>
    <x v="18"/>
    <n v="0.76595220497659522"/>
    <n v="0.76595220497659522"/>
    <n v="253.6875"/>
    <d v="2022-01-15T00:00:00"/>
    <n v="858"/>
    <x v="0"/>
  </r>
  <r>
    <n v="136"/>
    <n v="463"/>
    <n v="173"/>
    <n v="2"/>
    <n v="346"/>
    <x v="123"/>
    <x v="14"/>
    <n v="450"/>
    <x v="7"/>
    <n v="249.02380952380952"/>
    <n v="-0.30528731236255857"/>
    <x v="39"/>
    <n v="-0.22142214221422141"/>
    <n v="-0.22142214221422141"/>
    <n v="222.2"/>
    <d v="2022-02-27T00:00:00"/>
    <n v="419"/>
    <x v="2"/>
  </r>
  <r>
    <n v="137"/>
    <n v="494"/>
    <n v="304"/>
    <n v="3"/>
    <n v="912"/>
    <x v="124"/>
    <x v="6"/>
    <n v="136"/>
    <x v="11"/>
    <n v="262.63492063492066"/>
    <n v="0.15750030218783984"/>
    <x v="47"/>
    <n v="0.12177121771217703"/>
    <n v="0.12177121771217703"/>
    <n v="271"/>
    <d v="2022-10-26T00:00:00"/>
    <n v="210"/>
    <x v="3"/>
  </r>
  <r>
    <n v="138"/>
    <n v="394"/>
    <n v="493"/>
    <n v="3"/>
    <n v="1479"/>
    <x v="9"/>
    <x v="4"/>
    <n v="61"/>
    <x v="7"/>
    <n v="249.02380952380952"/>
    <n v="0.97973037575294009"/>
    <x v="39"/>
    <n v="1.2187218721872188"/>
    <n v="1.2187218721872188"/>
    <n v="222.2"/>
    <d v="2022-07-27T00:00:00"/>
    <n v="263"/>
    <x v="4"/>
  </r>
  <r>
    <n v="139"/>
    <n v="380"/>
    <n v="344"/>
    <n v="5"/>
    <n v="1720"/>
    <x v="81"/>
    <x v="4"/>
    <n v="364"/>
    <x v="17"/>
    <n v="267.85483870967744"/>
    <n v="0.2842777142168964"/>
    <x v="35"/>
    <n v="0.37457451531744845"/>
    <n v="0.37457451531744845"/>
    <n v="250.25925925925927"/>
    <d v="2022-11-18T00:00:00"/>
    <n v="306"/>
    <x v="2"/>
  </r>
  <r>
    <n v="140"/>
    <n v="449"/>
    <n v="470"/>
    <n v="4"/>
    <n v="1880"/>
    <x v="125"/>
    <x v="10"/>
    <n v="496"/>
    <x v="10"/>
    <n v="271.74545454545455"/>
    <n v="0.72955974842767302"/>
    <x v="10"/>
    <n v="0.5102827763496145"/>
    <n v="0.5102827763496145"/>
    <n v="311.2"/>
    <d v="2022-11-02T00:00:00"/>
    <n v="243"/>
    <x v="3"/>
  </r>
  <r>
    <n v="141"/>
    <n v="309"/>
    <n v="498"/>
    <n v="1"/>
    <n v="498"/>
    <x v="126"/>
    <x v="10"/>
    <n v="464"/>
    <x v="17"/>
    <n v="267.85483870967744"/>
    <n v="0.85921599325585585"/>
    <x v="27"/>
    <n v="0.72773831158103408"/>
    <n v="0.72773831158103408"/>
    <n v="288.23809523809524"/>
    <d v="2022-09-23T00:00:00"/>
    <n v="545"/>
    <x v="2"/>
  </r>
  <r>
    <n v="142"/>
    <n v="112"/>
    <n v="351"/>
    <n v="3"/>
    <n v="1053"/>
    <x v="27"/>
    <x v="10"/>
    <n v="419"/>
    <x v="15"/>
    <n v="294.95238095238096"/>
    <n v="0.19002260251856629"/>
    <x v="53"/>
    <n v="8.8218714768883766E-2"/>
    <n v="8.8218714768883766E-2"/>
    <n v="322.54545454545456"/>
    <d v="2022-11-04T00:00:00"/>
    <n v="499"/>
    <x v="4"/>
  </r>
  <r>
    <n v="143"/>
    <n v="81"/>
    <n v="116"/>
    <n v="1"/>
    <n v="116"/>
    <x v="53"/>
    <x v="19"/>
    <n v="247"/>
    <x v="8"/>
    <n v="271.18181818181819"/>
    <n v="-0.57224270868253435"/>
    <x v="48"/>
    <n v="-0.58828748890860694"/>
    <n v="-0.58828748890860694"/>
    <n v="281.75"/>
    <d v="2022-07-20T00:00:00"/>
    <n v="594"/>
    <x v="0"/>
  </r>
  <r>
    <n v="144"/>
    <n v="4"/>
    <n v="314"/>
    <n v="4"/>
    <n v="1256"/>
    <x v="127"/>
    <x v="6"/>
    <n v="380"/>
    <x v="13"/>
    <n v="258.375"/>
    <n v="0.21528785679729068"/>
    <x v="20"/>
    <n v="0.16423118865866959"/>
    <n v="0.16423118865866959"/>
    <n v="269.70588235294116"/>
    <d v="2022-01-02T00:00:00"/>
    <n v="773"/>
    <x v="2"/>
  </r>
  <r>
    <n v="145"/>
    <n v="209"/>
    <n v="284"/>
    <n v="5"/>
    <n v="1420"/>
    <x v="128"/>
    <x v="4"/>
    <n v="75"/>
    <x v="16"/>
    <n v="300.31818181818181"/>
    <n v="-5.4336309974269748E-2"/>
    <x v="57"/>
    <n v="-0.1029690461149716"/>
    <n v="-0.1029690461149716"/>
    <n v="316.60000000000002"/>
    <d v="2022-08-23T00:00:00"/>
    <n v="371"/>
    <x v="3"/>
  </r>
  <r>
    <n v="146"/>
    <n v="156"/>
    <n v="332"/>
    <n v="1"/>
    <n v="332"/>
    <x v="129"/>
    <x v="9"/>
    <n v="356"/>
    <x v="12"/>
    <n v="274.16279069767444"/>
    <n v="0.21095936890321476"/>
    <x v="50"/>
    <n v="0.18289786223277904"/>
    <n v="0.18289786223277904"/>
    <n v="280.66666666666669"/>
    <d v="2022-01-09T00:00:00"/>
    <n v="499"/>
    <x v="4"/>
  </r>
  <r>
    <n v="147"/>
    <n v="441"/>
    <n v="239"/>
    <n v="2"/>
    <n v="478"/>
    <x v="130"/>
    <x v="16"/>
    <n v="487"/>
    <x v="8"/>
    <n v="271.18181818181819"/>
    <n v="-0.11867247737177344"/>
    <x v="14"/>
    <n v="-8.1327129273720322E-2"/>
    <n v="-8.1327129273720322E-2"/>
    <n v="260.15789473684208"/>
    <d v="2022-09-11T00:00:00"/>
    <n v="288"/>
    <x v="2"/>
  </r>
  <r>
    <n v="148"/>
    <n v="180"/>
    <n v="86"/>
    <n v="4"/>
    <n v="344"/>
    <x v="24"/>
    <x v="9"/>
    <n v="73"/>
    <x v="14"/>
    <n v="273.72549019607845"/>
    <n v="-0.68581661891117474"/>
    <x v="58"/>
    <n v="-0.6443831840110269"/>
    <n v="-0.6443831840110269"/>
    <n v="241.83333333333334"/>
    <d v="2022-04-14T00:00:00"/>
    <n v="661"/>
    <x v="3"/>
  </r>
  <r>
    <n v="149"/>
    <n v="438"/>
    <n v="154"/>
    <n v="4"/>
    <n v="616"/>
    <x v="131"/>
    <x v="4"/>
    <n v="139"/>
    <x v="7"/>
    <n v="249.02380952380952"/>
    <n v="-0.38158523759441632"/>
    <x v="59"/>
    <n v="-0.40054495912806531"/>
    <n v="-0.40054495912806531"/>
    <n v="256.89999999999998"/>
    <d v="2022-03-28T00:00:00"/>
    <n v="616"/>
    <x v="1"/>
  </r>
  <r>
    <n v="150"/>
    <n v="232"/>
    <n v="109"/>
    <n v="4"/>
    <n v="436"/>
    <x v="44"/>
    <x v="12"/>
    <n v="407"/>
    <x v="15"/>
    <n v="294.95238095238096"/>
    <n v="-0.63044882144010339"/>
    <x v="23"/>
    <n v="-0.65811234673510122"/>
    <n v="-0.65811234673510122"/>
    <n v="318.81818181818181"/>
    <d v="2022-03-01T00:00:00"/>
    <n v="766"/>
    <x v="1"/>
  </r>
  <r>
    <n v="151"/>
    <n v="206"/>
    <n v="73"/>
    <n v="5"/>
    <n v="365"/>
    <x v="132"/>
    <x v="2"/>
    <n v="115"/>
    <x v="15"/>
    <n v="294.95238095238096"/>
    <n v="-0.75250242169841786"/>
    <x v="41"/>
    <n v="-0.73433077234128596"/>
    <n v="-0.73433077234128596"/>
    <n v="274.77777777777777"/>
    <d v="2022-09-28T00:00:00"/>
    <n v="478"/>
    <x v="1"/>
  </r>
  <r>
    <n v="152"/>
    <n v="295"/>
    <n v="230"/>
    <n v="4"/>
    <n v="920"/>
    <x v="133"/>
    <x v="4"/>
    <n v="258"/>
    <x v="2"/>
    <n v="283.468085106383"/>
    <n v="-0.18862118141559714"/>
    <x v="36"/>
    <n v="-7.8156312625250468E-2"/>
    <n v="-7.8156312625250468E-2"/>
    <n v="249.5"/>
    <d v="2022-06-05T00:00:00"/>
    <n v="273"/>
    <x v="3"/>
  </r>
  <r>
    <n v="153"/>
    <n v="204"/>
    <n v="88"/>
    <n v="4"/>
    <n v="352"/>
    <x v="133"/>
    <x v="16"/>
    <n v="349"/>
    <x v="2"/>
    <n v="283.468085106383"/>
    <n v="-0.68955940854161979"/>
    <x v="2"/>
    <n v="-0.62141491395793502"/>
    <n v="-0.62141491395793502"/>
    <n v="232.44444444444446"/>
    <d v="2022-04-22T00:00:00"/>
    <n v="317"/>
    <x v="2"/>
  </r>
  <r>
    <n v="154"/>
    <n v="399"/>
    <n v="231"/>
    <n v="2"/>
    <n v="462"/>
    <x v="89"/>
    <x v="15"/>
    <n v="325"/>
    <x v="16"/>
    <n v="300.31818181818181"/>
    <n v="-0.2308158014227335"/>
    <x v="24"/>
    <n v="-0.18007572172266928"/>
    <n v="-0.18007572172266928"/>
    <n v="281.73333333333335"/>
    <d v="2022-11-10T00:00:00"/>
    <n v="415"/>
    <x v="4"/>
  </r>
  <r>
    <n v="155"/>
    <n v="221"/>
    <n v="477"/>
    <n v="4"/>
    <n v="1908"/>
    <x v="134"/>
    <x v="7"/>
    <n v="276"/>
    <x v="14"/>
    <n v="273.72549019607845"/>
    <n v="0.74262177650429795"/>
    <x v="22"/>
    <n v="0.70212404418011887"/>
    <n v="0.70212404418011887"/>
    <n v="280.23809523809524"/>
    <d v="2022-03-12T00:00:00"/>
    <n v="553"/>
    <x v="4"/>
  </r>
  <r>
    <n v="156"/>
    <n v="333"/>
    <n v="74"/>
    <n v="2"/>
    <n v="148"/>
    <x v="135"/>
    <x v="8"/>
    <n v="328"/>
    <x v="6"/>
    <n v="258.5128205128205"/>
    <n v="-0.71374727236659385"/>
    <x v="26"/>
    <n v="-0.65804066543438078"/>
    <n v="-0.65804066543438078"/>
    <n v="216.4"/>
    <d v="2022-01-07T00:00:00"/>
    <n v="585"/>
    <x v="2"/>
  </r>
  <r>
    <n v="157"/>
    <n v="498"/>
    <n v="430"/>
    <n v="5"/>
    <n v="2150"/>
    <x v="136"/>
    <x v="17"/>
    <n v="250"/>
    <x v="15"/>
    <n v="294.95238095238096"/>
    <n v="0.4578624475298676"/>
    <x v="41"/>
    <n v="0.5649009300444805"/>
    <n v="0.5649009300444805"/>
    <n v="274.77777777777777"/>
    <d v="2022-10-22T00:00:00"/>
    <n v="250"/>
    <x v="2"/>
  </r>
  <r>
    <n v="158"/>
    <n v="476"/>
    <n v="286"/>
    <n v="2"/>
    <n v="572"/>
    <x v="62"/>
    <x v="11"/>
    <n v="397"/>
    <x v="6"/>
    <n v="258.5128205128205"/>
    <n v="0.10632810950208293"/>
    <x v="60"/>
    <n v="-1.3415101571483401E-2"/>
    <n v="-1.3415101571483401E-2"/>
    <n v="289.88888888888891"/>
    <d v="2022-06-16T00:00:00"/>
    <n v="245"/>
    <x v="1"/>
  </r>
  <r>
    <n v="159"/>
    <n v="126"/>
    <n v="273"/>
    <n v="3"/>
    <n v="819"/>
    <x v="137"/>
    <x v="8"/>
    <n v="153"/>
    <x v="0"/>
    <n v="252.76271186440678"/>
    <n v="8.006437336551997E-2"/>
    <x v="45"/>
    <n v="-6.9566960705693792E-2"/>
    <n v="-6.9566960705693792E-2"/>
    <n v="293.41176470588238"/>
    <d v="2022-08-29T00:00:00"/>
    <n v="249"/>
    <x v="2"/>
  </r>
  <r>
    <n v="160"/>
    <n v="255"/>
    <n v="279"/>
    <n v="3"/>
    <n v="837"/>
    <x v="138"/>
    <x v="2"/>
    <n v="286"/>
    <x v="7"/>
    <n v="249.02380952380952"/>
    <n v="0.12037479682570029"/>
    <x v="59"/>
    <n v="8.6025690930323195E-2"/>
    <n v="8.6025690930323195E-2"/>
    <n v="256.89999999999998"/>
    <d v="2022-01-02T00:00:00"/>
    <n v="518"/>
    <x v="4"/>
  </r>
  <r>
    <n v="161"/>
    <n v="138"/>
    <n v="210"/>
    <n v="2"/>
    <n v="420"/>
    <x v="139"/>
    <x v="5"/>
    <n v="14"/>
    <x v="11"/>
    <n v="262.63492063492066"/>
    <n v="-0.20041097546234743"/>
    <x v="47"/>
    <n v="-0.22509225092250917"/>
    <n v="-0.22509225092250917"/>
    <n v="271"/>
    <d v="2022-08-02T00:00:00"/>
    <n v="237"/>
    <x v="4"/>
  </r>
  <r>
    <n v="162"/>
    <n v="403"/>
    <n v="229"/>
    <n v="1"/>
    <n v="229"/>
    <x v="140"/>
    <x v="9"/>
    <n v="32"/>
    <x v="8"/>
    <n v="271.18181818181819"/>
    <n v="-0.15554810593362389"/>
    <x v="52"/>
    <n v="-5.8775174681463205E-2"/>
    <n v="-5.8775174681463205E-2"/>
    <n v="243.3"/>
    <d v="2022-12-27T00:00:00"/>
    <n v="69"/>
    <x v="0"/>
  </r>
  <r>
    <n v="163"/>
    <n v="280"/>
    <n v="192"/>
    <n v="2"/>
    <n v="384"/>
    <x v="141"/>
    <x v="0"/>
    <n v="49"/>
    <x v="11"/>
    <n v="262.63492063492066"/>
    <n v="-0.26894717756557485"/>
    <x v="21"/>
    <n v="-0.19571794275075638"/>
    <n v="-0.19571794275075638"/>
    <n v="238.72222222222223"/>
    <d v="2022-04-21T00:00:00"/>
    <n v="611"/>
    <x v="4"/>
  </r>
  <r>
    <n v="164"/>
    <n v="356"/>
    <n v="373"/>
    <n v="1"/>
    <n v="373"/>
    <x v="142"/>
    <x v="2"/>
    <n v="115"/>
    <x v="2"/>
    <n v="283.468085106383"/>
    <n v="0.31584477970427072"/>
    <x v="46"/>
    <n v="0.15969474279253815"/>
    <n v="0.15969474279253815"/>
    <n v="321.63636363636363"/>
    <d v="2022-09-28T00:00:00"/>
    <n v="459"/>
    <x v="1"/>
  </r>
  <r>
    <n v="165"/>
    <n v="41"/>
    <n v="315"/>
    <n v="3"/>
    <n v="945"/>
    <x v="143"/>
    <x v="13"/>
    <n v="420"/>
    <x v="13"/>
    <n v="258.375"/>
    <n v="0.21915820029027566"/>
    <x v="30"/>
    <n v="-8.9887640449437534E-3"/>
    <n v="-8.9887640449437534E-3"/>
    <n v="317.85714285714283"/>
    <d v="2022-05-17T00:00:00"/>
    <n v="504"/>
    <x v="3"/>
  </r>
  <r>
    <n v="166"/>
    <n v="379"/>
    <n v="321"/>
    <n v="5"/>
    <n v="1605"/>
    <x v="9"/>
    <x v="9"/>
    <n v="47"/>
    <x v="9"/>
    <n v="263.25423728813558"/>
    <n v="0.21935359258305431"/>
    <x v="55"/>
    <n v="9.3076049943246142E-2"/>
    <n v="9.3076049943246142E-2"/>
    <n v="293.66666666666669"/>
    <d v="2022-05-12T00:00:00"/>
    <n v="339"/>
    <x v="1"/>
  </r>
  <r>
    <n v="167"/>
    <n v="282"/>
    <n v="189"/>
    <n v="2"/>
    <n v="378"/>
    <x v="19"/>
    <x v="9"/>
    <n v="202"/>
    <x v="13"/>
    <n v="258.375"/>
    <n v="-0.26850507982583449"/>
    <x v="30"/>
    <n v="-0.40539325842696627"/>
    <n v="-0.40539325842696627"/>
    <n v="317.85714285714283"/>
    <d v="2022-07-24T00:00:00"/>
    <n v="392"/>
    <x v="1"/>
  </r>
  <r>
    <n v="168"/>
    <n v="459"/>
    <n v="405"/>
    <n v="3"/>
    <n v="1215"/>
    <x v="144"/>
    <x v="2"/>
    <n v="37"/>
    <x v="18"/>
    <n v="255.11627906976744"/>
    <n v="0.58751139471285319"/>
    <x v="61"/>
    <n v="0.4765625"/>
    <n v="0.4765625"/>
    <n v="274.28571428571428"/>
    <d v="2022-06-16T00:00:00"/>
    <n v="221"/>
    <x v="3"/>
  </r>
  <r>
    <n v="169"/>
    <n v="402"/>
    <n v="426"/>
    <n v="2"/>
    <n v="852"/>
    <x v="26"/>
    <x v="17"/>
    <n v="366"/>
    <x v="16"/>
    <n v="300.31818181818181"/>
    <n v="0.41849553503859549"/>
    <x v="51"/>
    <n v="0.28636134876698538"/>
    <n v="0.28636134876698538"/>
    <n v="331.16666666666669"/>
    <d v="2022-09-23T00:00:00"/>
    <n v="272"/>
    <x v="0"/>
  </r>
  <r>
    <n v="170"/>
    <n v="320"/>
    <n v="271"/>
    <n v="1"/>
    <n v="271"/>
    <x v="145"/>
    <x v="19"/>
    <n v="434"/>
    <x v="17"/>
    <n v="267.85483870967744"/>
    <n v="1.1742036490636432E-2"/>
    <x v="35"/>
    <n v="8.2877016427408634E-2"/>
    <n v="8.2877016427408634E-2"/>
    <n v="250.25925925925927"/>
    <d v="2022-06-18T00:00:00"/>
    <n v="682"/>
    <x v="3"/>
  </r>
  <r>
    <n v="171"/>
    <n v="19"/>
    <n v="96"/>
    <n v="4"/>
    <n v="384"/>
    <x v="146"/>
    <x v="1"/>
    <n v="172"/>
    <x v="10"/>
    <n v="271.74545454545455"/>
    <n v="-0.6467282215977519"/>
    <x v="37"/>
    <n v="-0.64751619870410371"/>
    <n v="-0.64751619870410371"/>
    <n v="272.35294117647061"/>
    <d v="2022-06-25T00:00:00"/>
    <n v="304"/>
    <x v="2"/>
  </r>
  <r>
    <n v="172"/>
    <n v="447"/>
    <n v="65"/>
    <n v="1"/>
    <n v="65"/>
    <x v="147"/>
    <x v="3"/>
    <n v="52"/>
    <x v="9"/>
    <n v="263.25423728813558"/>
    <n v="-0.75309039402523825"/>
    <x v="33"/>
    <n v="-0.7384305835010061"/>
    <n v="-0.7384305835010061"/>
    <n v="248.5"/>
    <d v="2022-12-22T00:00:00"/>
    <n v="424"/>
    <x v="2"/>
  </r>
  <r>
    <n v="173"/>
    <n v="406"/>
    <n v="426"/>
    <n v="1"/>
    <n v="426"/>
    <x v="148"/>
    <x v="4"/>
    <n v="395"/>
    <x v="5"/>
    <n v="268.60344827586209"/>
    <n v="0.58598112844213346"/>
    <x v="5"/>
    <n v="0.51080571871882974"/>
    <n v="0.51080571871882974"/>
    <n v="281.96875"/>
    <d v="2022-11-25T00:00:00"/>
    <n v="399"/>
    <x v="0"/>
  </r>
  <r>
    <n v="174"/>
    <n v="391"/>
    <n v="356"/>
    <n v="2"/>
    <n v="712"/>
    <x v="149"/>
    <x v="4"/>
    <n v="46"/>
    <x v="6"/>
    <n v="258.5128205128205"/>
    <n v="0.37710771672287247"/>
    <x v="60"/>
    <n v="0.22805672671521648"/>
    <n v="0.22805672671521648"/>
    <n v="289.88888888888891"/>
    <d v="2022-03-16T00:00:00"/>
    <n v="539"/>
    <x v="4"/>
  </r>
  <r>
    <n v="175"/>
    <n v="82"/>
    <n v="233"/>
    <n v="2"/>
    <n v="466"/>
    <x v="150"/>
    <x v="16"/>
    <n v="361"/>
    <x v="11"/>
    <n v="262.63492063492066"/>
    <n v="-0.11283693944155693"/>
    <x v="62"/>
    <n v="0.38690476190476186"/>
    <n v="0.38690476190476186"/>
    <n v="168"/>
    <d v="2022-09-27T00:00:00"/>
    <n v="538"/>
    <x v="0"/>
  </r>
  <r>
    <n v="176"/>
    <n v="243"/>
    <n v="494"/>
    <n v="5"/>
    <n v="2470"/>
    <x v="151"/>
    <x v="19"/>
    <n v="358"/>
    <x v="13"/>
    <n v="258.375"/>
    <n v="0.91194968553459121"/>
    <x v="20"/>
    <n v="0.83162486368593247"/>
    <n v="0.83162486368593247"/>
    <n v="269.70588235294116"/>
    <d v="2022-07-29T00:00:00"/>
    <n v="582"/>
    <x v="3"/>
  </r>
  <r>
    <n v="177"/>
    <n v="432"/>
    <n v="305"/>
    <n v="3"/>
    <n v="915"/>
    <x v="152"/>
    <x v="14"/>
    <n v="44"/>
    <x v="3"/>
    <n v="265.47674418604652"/>
    <n v="0.14887652752836056"/>
    <x v="3"/>
    <n v="0.29086398131932278"/>
    <n v="0.29086398131932278"/>
    <n v="236.27586206896552"/>
    <d v="2022-05-20T00:00:00"/>
    <n v="712"/>
    <x v="1"/>
  </r>
  <r>
    <n v="178"/>
    <n v="159"/>
    <n v="173"/>
    <n v="4"/>
    <n v="692"/>
    <x v="149"/>
    <x v="2"/>
    <n v="416"/>
    <x v="18"/>
    <n v="255.11627906976744"/>
    <n v="-0.32187784867821334"/>
    <x v="61"/>
    <n v="-0.36927083333333333"/>
    <n v="-0.36927083333333333"/>
    <n v="274.28571428571428"/>
    <d v="2022-05-22T00:00:00"/>
    <n v="472"/>
    <x v="4"/>
  </r>
  <r>
    <n v="179"/>
    <n v="197"/>
    <n v="177"/>
    <n v="2"/>
    <n v="354"/>
    <x v="153"/>
    <x v="15"/>
    <n v="153"/>
    <x v="2"/>
    <n v="283.468085106383"/>
    <n v="-0.37559108308939437"/>
    <x v="2"/>
    <n v="-0.23852772466539196"/>
    <n v="-0.23852772466539196"/>
    <n v="232.44444444444446"/>
    <d v="2022-08-29T00:00:00"/>
    <n v="363"/>
    <x v="2"/>
  </r>
  <r>
    <n v="180"/>
    <n v="110"/>
    <n v="261"/>
    <n v="1"/>
    <n v="261"/>
    <x v="154"/>
    <x v="13"/>
    <n v="223"/>
    <x v="3"/>
    <n v="265.47674418604652"/>
    <n v="-1.6863037098681644E-2"/>
    <x v="16"/>
    <n v="-5.6657223796033995E-2"/>
    <n v="-5.6657223796033995E-2"/>
    <n v="276.67567567567568"/>
    <d v="2022-11-28T00:00:00"/>
    <n v="432"/>
    <x v="3"/>
  </r>
  <r>
    <n v="181"/>
    <n v="288"/>
    <n v="198"/>
    <n v="5"/>
    <n v="990"/>
    <x v="155"/>
    <x v="18"/>
    <n v="74"/>
    <x v="11"/>
    <n v="262.63492063492066"/>
    <n v="-0.24610177686449908"/>
    <x v="62"/>
    <n v="0.1785714285714286"/>
    <n v="0.1785714285714286"/>
    <n v="168"/>
    <d v="2022-10-23T00:00:00"/>
    <n v="355"/>
    <x v="2"/>
  </r>
  <r>
    <n v="182"/>
    <n v="7"/>
    <n v="114"/>
    <n v="3"/>
    <n v="342"/>
    <x v="20"/>
    <x v="14"/>
    <n v="180"/>
    <x v="11"/>
    <n v="262.63492063492066"/>
    <n v="-0.56593738667956006"/>
    <x v="21"/>
    <n v="-0.52245752850826155"/>
    <n v="-0.52245752850826155"/>
    <n v="238.72222222222223"/>
    <d v="2022-02-24T00:00:00"/>
    <n v="628"/>
    <x v="1"/>
  </r>
  <r>
    <n v="183"/>
    <n v="385"/>
    <n v="427"/>
    <n v="3"/>
    <n v="1281"/>
    <x v="92"/>
    <x v="19"/>
    <n v="359"/>
    <x v="3"/>
    <n v="265.47674418604652"/>
    <n v="0.60842713853970465"/>
    <x v="19"/>
    <n v="0.29679734953064618"/>
    <n v="0.29679734953064618"/>
    <n v="329.27272727272725"/>
    <d v="2022-01-23T00:00:00"/>
    <n v="358"/>
    <x v="2"/>
  </r>
  <r>
    <n v="184"/>
    <n v="493"/>
    <n v="376"/>
    <n v="1"/>
    <n v="376"/>
    <x v="156"/>
    <x v="0"/>
    <n v="134"/>
    <x v="4"/>
    <n v="250.48780487804879"/>
    <n v="0.50107108081791618"/>
    <x v="25"/>
    <n v="0.23756050338818979"/>
    <n v="0.23756050338818979"/>
    <n v="303.8235294117647"/>
    <d v="2022-07-11T00:00:00"/>
    <n v="500"/>
    <x v="2"/>
  </r>
  <r>
    <n v="185"/>
    <n v="158"/>
    <n v="51"/>
    <n v="2"/>
    <n v="102"/>
    <x v="154"/>
    <x v="3"/>
    <n v="159"/>
    <x v="0"/>
    <n v="252.76271186440678"/>
    <n v="-0.7982297324481995"/>
    <x v="11"/>
    <n v="-0.78773584905660377"/>
    <n v="-0.78773584905660377"/>
    <n v="240.26666666666668"/>
    <d v="2022-05-05T00:00:00"/>
    <n v="639"/>
    <x v="0"/>
  </r>
  <r>
    <n v="186"/>
    <n v="446"/>
    <n v="316"/>
    <n v="2"/>
    <n v="632"/>
    <x v="119"/>
    <x v="8"/>
    <n v="328"/>
    <x v="14"/>
    <n v="273.72549019607845"/>
    <n v="0.15444126074498565"/>
    <x v="44"/>
    <n v="-1.426024955436711E-2"/>
    <n v="-1.426024955436711E-2"/>
    <n v="320.57142857142856"/>
    <d v="2022-01-07T00:00:00"/>
    <n v="461"/>
    <x v="2"/>
  </r>
  <r>
    <n v="187"/>
    <n v="428"/>
    <n v="156"/>
    <n v="1"/>
    <n v="156"/>
    <x v="157"/>
    <x v="8"/>
    <n v="325"/>
    <x v="17"/>
    <n v="267.85483870967744"/>
    <n v="-0.41759499006443068"/>
    <x v="35"/>
    <n v="-0.3766464407281338"/>
    <n v="-0.3766464407281338"/>
    <n v="250.25925925925927"/>
    <d v="2022-11-10T00:00:00"/>
    <n v="546"/>
    <x v="4"/>
  </r>
  <r>
    <n v="188"/>
    <n v="192"/>
    <n v="215"/>
    <n v="1"/>
    <n v="215"/>
    <x v="158"/>
    <x v="18"/>
    <n v="106"/>
    <x v="10"/>
    <n v="271.74545454545455"/>
    <n v="-0.2088184129532985"/>
    <x v="37"/>
    <n v="-0.21058315334773225"/>
    <n v="-0.21058315334773225"/>
    <n v="272.35294117647061"/>
    <d v="2022-10-24T00:00:00"/>
    <n v="553"/>
    <x v="3"/>
  </r>
  <r>
    <n v="189"/>
    <n v="41"/>
    <n v="59"/>
    <n v="1"/>
    <n v="59"/>
    <x v="67"/>
    <x v="1"/>
    <n v="65"/>
    <x v="13"/>
    <n v="258.375"/>
    <n v="-0.77164973391388481"/>
    <x v="30"/>
    <n v="-0.81438202247191005"/>
    <n v="-0.81438202247191005"/>
    <n v="317.85714285714283"/>
    <d v="2022-03-03T00:00:00"/>
    <n v="377"/>
    <x v="3"/>
  </r>
  <r>
    <n v="190"/>
    <n v="69"/>
    <n v="88"/>
    <n v="4"/>
    <n v="352"/>
    <x v="159"/>
    <x v="4"/>
    <n v="346"/>
    <x v="14"/>
    <n v="273.72549019607845"/>
    <n v="-0.67851002865329513"/>
    <x v="63"/>
    <n v="-0.6695117787640833"/>
    <n v="-0.6695117787640833"/>
    <n v="266.27272727272725"/>
    <d v="2022-03-16T00:00:00"/>
    <n v="673"/>
    <x v="2"/>
  </r>
  <r>
    <n v="191"/>
    <n v="270"/>
    <n v="484"/>
    <n v="4"/>
    <n v="1936"/>
    <x v="160"/>
    <x v="0"/>
    <n v="457"/>
    <x v="1"/>
    <n v="264.8679245283019"/>
    <n v="0.82732582989029768"/>
    <x v="64"/>
    <n v="1.0429124164614842"/>
    <n v="1.0429124164614842"/>
    <n v="236.91666666666666"/>
    <d v="2022-02-03T00:00:00"/>
    <n v="489"/>
    <x v="4"/>
  </r>
  <r>
    <n v="192"/>
    <n v="345"/>
    <n v="257"/>
    <n v="1"/>
    <n v="257"/>
    <x v="161"/>
    <x v="1"/>
    <n v="255"/>
    <x v="17"/>
    <n v="267.85483870967744"/>
    <n v="-4.0525079785632578E-2"/>
    <x v="27"/>
    <n v="-0.10837601189492818"/>
    <n v="-0.10837601189492818"/>
    <n v="288.23809523809524"/>
    <d v="2022-08-20T00:00:00"/>
    <n v="176"/>
    <x v="3"/>
  </r>
  <r>
    <n v="193"/>
    <n v="348"/>
    <n v="497"/>
    <n v="3"/>
    <n v="1491"/>
    <x v="162"/>
    <x v="0"/>
    <n v="42"/>
    <x v="14"/>
    <n v="273.72549019607845"/>
    <n v="0.81568767908309447"/>
    <x v="63"/>
    <n v="0.8665073403892114"/>
    <n v="0.8665073403892114"/>
    <n v="266.27272727272725"/>
    <d v="2022-08-10T00:00:00"/>
    <n v="493"/>
    <x v="4"/>
  </r>
  <r>
    <n v="194"/>
    <n v="102"/>
    <n v="115"/>
    <n v="2"/>
    <n v="230"/>
    <x v="163"/>
    <x v="8"/>
    <n v="385"/>
    <x v="2"/>
    <n v="283.468085106383"/>
    <n v="-0.59431059070779857"/>
    <x v="36"/>
    <n v="-0.53907815631262523"/>
    <n v="-0.53907815631262523"/>
    <n v="249.5"/>
    <d v="2022-07-11T00:00:00"/>
    <n v="627"/>
    <x v="3"/>
  </r>
  <r>
    <n v="195"/>
    <n v="321"/>
    <n v="368"/>
    <n v="1"/>
    <n v="368"/>
    <x v="164"/>
    <x v="17"/>
    <n v="436"/>
    <x v="10"/>
    <n v="271.74545454545455"/>
    <n v="0.35420848387528436"/>
    <x v="12"/>
    <n v="0.7292217327459618"/>
    <n v="0.7292217327459618"/>
    <n v="212.8125"/>
    <d v="2022-05-02T00:00:00"/>
    <n v="510"/>
    <x v="2"/>
  </r>
  <r>
    <n v="196"/>
    <n v="176"/>
    <n v="113"/>
    <n v="4"/>
    <n v="452"/>
    <x v="165"/>
    <x v="14"/>
    <n v="175"/>
    <x v="0"/>
    <n v="252.76271186440678"/>
    <n v="-0.55294038758130493"/>
    <x v="0"/>
    <n v="-0.53014553014553012"/>
    <n v="-0.53014553014553012"/>
    <n v="240.5"/>
    <d v="2022-01-04T00:00:00"/>
    <n v="770"/>
    <x v="2"/>
  </r>
  <r>
    <n v="197"/>
    <n v="341"/>
    <n v="194"/>
    <n v="3"/>
    <n v="582"/>
    <x v="166"/>
    <x v="7"/>
    <n v="274"/>
    <x v="3"/>
    <n v="265.47674418604652"/>
    <n v="-0.26923919232622318"/>
    <x v="19"/>
    <n v="-0.41082274986195466"/>
    <n v="-0.41082274986195466"/>
    <n v="329.27272727272725"/>
    <d v="2022-02-15T00:00:00"/>
    <n v="648"/>
    <x v="2"/>
  </r>
  <r>
    <n v="198"/>
    <n v="473"/>
    <n v="171"/>
    <n v="4"/>
    <n v="684"/>
    <x v="18"/>
    <x v="19"/>
    <n v="266"/>
    <x v="16"/>
    <n v="300.31818181818181"/>
    <n v="-0.43060390494929623"/>
    <x v="24"/>
    <n v="-0.39304306672976819"/>
    <n v="-0.39304306672976819"/>
    <n v="281.73333333333335"/>
    <d v="2022-08-22T00:00:00"/>
    <n v="263"/>
    <x v="2"/>
  </r>
  <r>
    <n v="199"/>
    <n v="482"/>
    <n v="321"/>
    <n v="2"/>
    <n v="642"/>
    <x v="92"/>
    <x v="2"/>
    <n v="481"/>
    <x v="18"/>
    <n v="255.11627906976744"/>
    <n v="0.25824977210574285"/>
    <x v="34"/>
    <n v="0.28242163491087879"/>
    <n v="0.28242163491087879"/>
    <n v="250.30769230769232"/>
    <d v="2022-07-14T00:00:00"/>
    <n v="186"/>
    <x v="1"/>
  </r>
  <r>
    <n v="200"/>
    <n v="169"/>
    <n v="386"/>
    <n v="5"/>
    <n v="1930"/>
    <x v="167"/>
    <x v="10"/>
    <n v="59"/>
    <x v="12"/>
    <n v="274.16279069767444"/>
    <n v="0.4079226397489184"/>
    <x v="65"/>
    <n v="0.49434187016080999"/>
    <n v="0.49434187016080999"/>
    <n v="258.30769230769232"/>
    <d v="2022-07-28T00:00:00"/>
    <n v="197"/>
    <x v="2"/>
  </r>
  <r>
    <n v="201"/>
    <n v="397"/>
    <n v="148"/>
    <n v="1"/>
    <n v="148"/>
    <x v="168"/>
    <x v="13"/>
    <n v="47"/>
    <x v="9"/>
    <n v="263.25423728813558"/>
    <n v="-0.43780582024208081"/>
    <x v="9"/>
    <n v="-0.42587282847023111"/>
    <n v="-0.42587282847023111"/>
    <n v="257.78260869565219"/>
    <d v="2022-05-12T00:00:00"/>
    <n v="317"/>
    <x v="1"/>
  </r>
  <r>
    <n v="202"/>
    <n v="436"/>
    <n v="291"/>
    <n v="2"/>
    <n v="582"/>
    <x v="99"/>
    <x v="13"/>
    <n v="385"/>
    <x v="4"/>
    <n v="250.48780487804879"/>
    <n v="0.16173320350535536"/>
    <x v="56"/>
    <n v="0.17496635262449534"/>
    <n v="0.17496635262449534"/>
    <n v="247.66666666666666"/>
    <d v="2022-07-11T00:00:00"/>
    <n v="342"/>
    <x v="3"/>
  </r>
  <r>
    <n v="203"/>
    <n v="369"/>
    <n v="74"/>
    <n v="1"/>
    <n v="74"/>
    <x v="47"/>
    <x v="10"/>
    <n v="411"/>
    <x v="15"/>
    <n v="294.95238095238096"/>
    <n v="-0.74911204391346464"/>
    <x v="41"/>
    <n v="-0.73069146785281036"/>
    <n v="-0.73069146785281036"/>
    <n v="274.77777777777777"/>
    <d v="2022-04-22T00:00:00"/>
    <n v="535"/>
    <x v="4"/>
  </r>
  <r>
    <n v="204"/>
    <n v="361"/>
    <n v="245"/>
    <n v="1"/>
    <n v="245"/>
    <x v="169"/>
    <x v="16"/>
    <n v="259"/>
    <x v="10"/>
    <n v="271.74545454545455"/>
    <n v="-9.8420982202595986E-2"/>
    <x v="12"/>
    <n v="0.15124816446402356"/>
    <n v="0.15124816446402356"/>
    <n v="212.8125"/>
    <d v="2022-05-26T00:00:00"/>
    <n v="471"/>
    <x v="1"/>
  </r>
  <r>
    <n v="205"/>
    <n v="226"/>
    <n v="339"/>
    <n v="4"/>
    <n v="1356"/>
    <x v="170"/>
    <x v="7"/>
    <n v="337"/>
    <x v="11"/>
    <n v="262.63492063492066"/>
    <n v="0.29076513961078199"/>
    <x v="17"/>
    <n v="8.8865096359743045E-2"/>
    <n v="8.8865096359743045E-2"/>
    <n v="311.33333333333331"/>
    <d v="2022-11-10T00:00:00"/>
    <n v="376"/>
    <x v="2"/>
  </r>
  <r>
    <n v="206"/>
    <n v="87"/>
    <n v="487"/>
    <n v="1"/>
    <n v="487"/>
    <x v="171"/>
    <x v="9"/>
    <n v="172"/>
    <x v="7"/>
    <n v="249.02380952380952"/>
    <n v="0.95563629410077455"/>
    <x v="7"/>
    <n v="0.76314786585365857"/>
    <n v="0.76314786585365857"/>
    <n v="276.21052631578948"/>
    <d v="2022-06-25T00:00:00"/>
    <n v="282"/>
    <x v="2"/>
  </r>
  <r>
    <n v="207"/>
    <n v="376"/>
    <n v="335"/>
    <n v="5"/>
    <n v="1675"/>
    <x v="172"/>
    <x v="9"/>
    <n v="130"/>
    <x v="17"/>
    <n v="267.85483870967744"/>
    <n v="0.25067742518215197"/>
    <x v="66"/>
    <n v="0.22430333485609877"/>
    <n v="0.22430333485609877"/>
    <n v="273.625"/>
    <d v="2022-10-29T00:00:00"/>
    <n v="120"/>
    <x v="4"/>
  </r>
  <r>
    <n v="208"/>
    <n v="255"/>
    <n v="214"/>
    <n v="2"/>
    <n v="428"/>
    <x v="173"/>
    <x v="4"/>
    <n v="354"/>
    <x v="7"/>
    <n v="249.02380952380952"/>
    <n v="-0.14064442107276032"/>
    <x v="59"/>
    <n v="-0.16699104710003887"/>
    <n v="-0.16699104710003887"/>
    <n v="256.89999999999998"/>
    <d v="2022-09-07T00:00:00"/>
    <n v="220"/>
    <x v="0"/>
  </r>
  <r>
    <n v="209"/>
    <n v="111"/>
    <n v="452"/>
    <n v="4"/>
    <n v="1808"/>
    <x v="83"/>
    <x v="7"/>
    <n v="329"/>
    <x v="0"/>
    <n v="252.76271186440678"/>
    <n v="0.78823844967478029"/>
    <x v="11"/>
    <n v="0.88124306326304103"/>
    <n v="0.88124306326304103"/>
    <n v="240.26666666666668"/>
    <d v="2022-04-02T00:00:00"/>
    <n v="274"/>
    <x v="1"/>
  </r>
  <r>
    <n v="210"/>
    <n v="344"/>
    <n v="172"/>
    <n v="5"/>
    <n v="860"/>
    <x v="174"/>
    <x v="10"/>
    <n v="186"/>
    <x v="5"/>
    <n v="268.60344827586209"/>
    <n v="-0.35965081199050009"/>
    <x v="32"/>
    <n v="-0.32331902718168815"/>
    <n v="-0.32331902718168815"/>
    <n v="254.18181818181819"/>
    <d v="2022-12-19T00:00:00"/>
    <n v="178"/>
    <x v="1"/>
  </r>
  <r>
    <n v="211"/>
    <n v="462"/>
    <n v="104"/>
    <n v="4"/>
    <n v="416"/>
    <x v="175"/>
    <x v="12"/>
    <n v="448"/>
    <x v="13"/>
    <n v="258.375"/>
    <n v="-0.59748427672955973"/>
    <x v="20"/>
    <n v="-0.61439476553980366"/>
    <n v="-0.61439476553980366"/>
    <n v="269.70588235294116"/>
    <d v="2022-07-28T00:00:00"/>
    <n v="335"/>
    <x v="2"/>
  </r>
  <r>
    <n v="212"/>
    <n v="279"/>
    <n v="433"/>
    <n v="4"/>
    <n v="1732"/>
    <x v="176"/>
    <x v="17"/>
    <n v="377"/>
    <x v="18"/>
    <n v="255.11627906976744"/>
    <n v="0.69726526891522322"/>
    <x v="67"/>
    <n v="0.71882236189216009"/>
    <n v="0.71882236189216009"/>
    <n v="251.91666666666666"/>
    <d v="2022-08-21T00:00:00"/>
    <n v="471"/>
    <x v="0"/>
  </r>
  <r>
    <n v="213"/>
    <n v="322"/>
    <n v="79"/>
    <n v="5"/>
    <n v="395"/>
    <x v="177"/>
    <x v="5"/>
    <n v="316"/>
    <x v="18"/>
    <n v="255.11627906976744"/>
    <n v="-0.69033728350045576"/>
    <x v="67"/>
    <n v="-0.68640423420443275"/>
    <n v="-0.68640423420443275"/>
    <n v="251.91666666666666"/>
    <d v="2022-08-14T00:00:00"/>
    <n v="321"/>
    <x v="4"/>
  </r>
  <r>
    <n v="214"/>
    <n v="494"/>
    <n v="181"/>
    <n v="1"/>
    <n v="181"/>
    <x v="170"/>
    <x v="16"/>
    <n v="356"/>
    <x v="11"/>
    <n v="262.63492063492066"/>
    <n v="-0.31083041218421381"/>
    <x v="47"/>
    <n v="-0.33210332103321039"/>
    <n v="-0.33210332103321039"/>
    <n v="271"/>
    <d v="2022-01-09T00:00:00"/>
    <n v="681"/>
    <x v="4"/>
  </r>
  <r>
    <n v="215"/>
    <n v="317"/>
    <n v="196"/>
    <n v="3"/>
    <n v="588"/>
    <x v="178"/>
    <x v="8"/>
    <n v="159"/>
    <x v="5"/>
    <n v="268.60344827586209"/>
    <n v="-0.27029976250080245"/>
    <x v="5"/>
    <n v="-0.30488750969743983"/>
    <n v="-0.30488750969743983"/>
    <n v="281.96875"/>
    <d v="2022-05-05T00:00:00"/>
    <n v="685"/>
    <x v="0"/>
  </r>
  <r>
    <n v="216"/>
    <n v="223"/>
    <n v="174"/>
    <n v="1"/>
    <n v="174"/>
    <x v="179"/>
    <x v="2"/>
    <n v="287"/>
    <x v="8"/>
    <n v="271.18181818181819"/>
    <n v="-0.35836406302380153"/>
    <x v="8"/>
    <n v="-0.40299438552713662"/>
    <n v="-0.40299438552713662"/>
    <n v="291.45454545454544"/>
    <d v="2022-02-16T00:00:00"/>
    <n v="414"/>
    <x v="2"/>
  </r>
  <r>
    <n v="217"/>
    <n v="25"/>
    <n v="356"/>
    <n v="3"/>
    <n v="1068"/>
    <x v="180"/>
    <x v="7"/>
    <n v="322"/>
    <x v="14"/>
    <n v="273.72549019607845"/>
    <n v="0.30057306590257871"/>
    <x v="58"/>
    <n v="0.47208821502412124"/>
    <n v="0.47208821502412124"/>
    <n v="241.83333333333334"/>
    <d v="2022-11-21T00:00:00"/>
    <n v="132"/>
    <x v="3"/>
  </r>
  <r>
    <n v="218"/>
    <n v="392"/>
    <n v="125"/>
    <n v="5"/>
    <n v="625"/>
    <x v="181"/>
    <x v="1"/>
    <n v="62"/>
    <x v="7"/>
    <n v="249.02380952380952"/>
    <n v="-0.49803996557988339"/>
    <x v="39"/>
    <n v="-0.43744374437443745"/>
    <n v="-0.43744374437443745"/>
    <n v="222.2"/>
    <d v="2022-04-20T00:00:00"/>
    <n v="611"/>
    <x v="2"/>
  </r>
  <r>
    <n v="219"/>
    <n v="410"/>
    <n v="228"/>
    <n v="2"/>
    <n v="456"/>
    <x v="182"/>
    <x v="14"/>
    <n v="295"/>
    <x v="14"/>
    <n v="273.72549019607845"/>
    <n v="-0.16704871060171922"/>
    <x v="44"/>
    <n v="-0.28877005347593576"/>
    <n v="-0.28877005347593576"/>
    <n v="320.57142857142856"/>
    <d v="2022-01-27T00:00:00"/>
    <n v="636"/>
    <x v="2"/>
  </r>
  <r>
    <n v="220"/>
    <n v="498"/>
    <n v="472"/>
    <n v="5"/>
    <n v="2360"/>
    <x v="183"/>
    <x v="9"/>
    <n v="171"/>
    <x v="15"/>
    <n v="294.95238095238096"/>
    <n v="0.60025831449790124"/>
    <x v="41"/>
    <n v="0.71775171856045294"/>
    <n v="0.71775171856045294"/>
    <n v="274.77777777777777"/>
    <d v="2022-05-29T00:00:00"/>
    <n v="485"/>
    <x v="2"/>
  </r>
  <r>
    <n v="221"/>
    <n v="304"/>
    <n v="163"/>
    <n v="3"/>
    <n v="489"/>
    <x v="184"/>
    <x v="6"/>
    <n v="392"/>
    <x v="17"/>
    <n v="267.85483870967744"/>
    <n v="-0.39146143192629623"/>
    <x v="27"/>
    <n v="-0.43449529159094669"/>
    <n v="-0.43449529159094669"/>
    <n v="288.23809523809524"/>
    <d v="2022-12-24T00:00:00"/>
    <n v="220"/>
    <x v="2"/>
  </r>
  <r>
    <n v="222"/>
    <n v="333"/>
    <n v="70"/>
    <n v="1"/>
    <n v="70"/>
    <x v="185"/>
    <x v="8"/>
    <n v="229"/>
    <x v="6"/>
    <n v="258.5128205128205"/>
    <n v="-0.72922039277921047"/>
    <x v="26"/>
    <n v="-0.67652495378927913"/>
    <n v="-0.67652495378927913"/>
    <n v="216.4"/>
    <d v="2022-07-24T00:00:00"/>
    <n v="310"/>
    <x v="1"/>
  </r>
  <r>
    <n v="223"/>
    <n v="207"/>
    <n v="208"/>
    <n v="5"/>
    <n v="1040"/>
    <x v="111"/>
    <x v="0"/>
    <n v="253"/>
    <x v="0"/>
    <n v="252.76271186440678"/>
    <n v="-0.17709381076912767"/>
    <x v="68"/>
    <n v="-3.6399735274652567E-2"/>
    <n v="-3.6399735274652567E-2"/>
    <n v="215.85714285714286"/>
    <d v="2022-07-08T00:00:00"/>
    <n v="210"/>
    <x v="1"/>
  </r>
  <r>
    <n v="224"/>
    <n v="348"/>
    <n v="417"/>
    <n v="4"/>
    <n v="1668"/>
    <x v="186"/>
    <x v="10"/>
    <n v="235"/>
    <x v="14"/>
    <n v="273.72549019607845"/>
    <n v="0.52342406876790815"/>
    <x v="63"/>
    <n v="0.56606350290201446"/>
    <n v="0.56606350290201446"/>
    <n v="266.27272727272725"/>
    <d v="2022-03-15T00:00:00"/>
    <n v="370"/>
    <x v="0"/>
  </r>
  <r>
    <n v="225"/>
    <n v="4"/>
    <n v="198"/>
    <n v="5"/>
    <n v="990"/>
    <x v="187"/>
    <x v="0"/>
    <n v="156"/>
    <x v="13"/>
    <n v="258.375"/>
    <n v="-0.23367198838896952"/>
    <x v="20"/>
    <n v="-0.26586695747001088"/>
    <n v="-0.26586695747001088"/>
    <n v="269.70588235294116"/>
    <d v="2022-12-10T00:00:00"/>
    <n v="446"/>
    <x v="3"/>
  </r>
  <r>
    <n v="226"/>
    <n v="317"/>
    <n v="196"/>
    <n v="2"/>
    <n v="392"/>
    <x v="188"/>
    <x v="14"/>
    <n v="327"/>
    <x v="5"/>
    <n v="268.60344827586209"/>
    <n v="-0.27029976250080245"/>
    <x v="5"/>
    <n v="-0.30488750969743983"/>
    <n v="-0.30488750969743983"/>
    <n v="281.96875"/>
    <d v="2022-01-04T00:00:00"/>
    <n v="865"/>
    <x v="4"/>
  </r>
  <r>
    <n v="227"/>
    <n v="131"/>
    <n v="376"/>
    <n v="1"/>
    <n v="376"/>
    <x v="189"/>
    <x v="9"/>
    <n v="275"/>
    <x v="5"/>
    <n v="268.60344827586209"/>
    <n v="0.39983310867193"/>
    <x v="32"/>
    <n v="0.4792560801144492"/>
    <n v="0.4792560801144492"/>
    <n v="254.18181818181819"/>
    <d v="2022-03-31T00:00:00"/>
    <n v="776"/>
    <x v="4"/>
  </r>
  <r>
    <n v="228"/>
    <n v="96"/>
    <n v="362"/>
    <n v="4"/>
    <n v="1448"/>
    <x v="48"/>
    <x v="1"/>
    <n v="330"/>
    <x v="1"/>
    <n v="264.8679245283019"/>
    <n v="0.36671890582704081"/>
    <x v="69"/>
    <n v="0.32261600292290837"/>
    <n v="0.32261600292290837"/>
    <n v="273.7"/>
    <d v="2022-09-11T00:00:00"/>
    <n v="583"/>
    <x v="0"/>
  </r>
  <r>
    <n v="229"/>
    <n v="311"/>
    <n v="345"/>
    <n v="5"/>
    <n v="1725"/>
    <x v="157"/>
    <x v="15"/>
    <n v="177"/>
    <x v="3"/>
    <n v="265.47674418604652"/>
    <n v="0.29954885900748973"/>
    <x v="16"/>
    <n v="0.24694734785581707"/>
    <n v="0.24694734785581707"/>
    <n v="276.67567567567568"/>
    <d v="2022-10-23T00:00:00"/>
    <n v="564"/>
    <x v="4"/>
  </r>
  <r>
    <n v="230"/>
    <n v="268"/>
    <n v="81"/>
    <n v="3"/>
    <n v="243"/>
    <x v="136"/>
    <x v="17"/>
    <n v="407"/>
    <x v="13"/>
    <n v="258.375"/>
    <n v="-0.68650217706821481"/>
    <x v="34"/>
    <n v="-0.55389457120377661"/>
    <n v="-0.55389457120377661"/>
    <n v="181.57142857142858"/>
    <d v="2022-03-01T00:00:00"/>
    <n v="485"/>
    <x v="1"/>
  </r>
  <r>
    <n v="231"/>
    <n v="495"/>
    <n v="97"/>
    <n v="4"/>
    <n v="388"/>
    <x v="190"/>
    <x v="4"/>
    <n v="181"/>
    <x v="8"/>
    <n v="271.18181818181819"/>
    <n v="-0.64230640295005026"/>
    <x v="8"/>
    <n v="-0.66718652526512789"/>
    <n v="-0.66718652526512789"/>
    <n v="291.45454545454544"/>
    <d v="2022-01-07T00:00:00"/>
    <n v="841"/>
    <x v="3"/>
  </r>
  <r>
    <n v="232"/>
    <n v="436"/>
    <n v="184"/>
    <n v="4"/>
    <n v="736"/>
    <x v="191"/>
    <x v="2"/>
    <n v="166"/>
    <x v="4"/>
    <n v="250.48780487804879"/>
    <n v="-0.26543330087633887"/>
    <x v="56"/>
    <n v="-0.25706594885598921"/>
    <n v="-0.25706594885598921"/>
    <n v="247.66666666666666"/>
    <d v="2022-08-23T00:00:00"/>
    <n v="351"/>
    <x v="0"/>
  </r>
  <r>
    <n v="233"/>
    <n v="358"/>
    <n v="172"/>
    <n v="1"/>
    <n v="172"/>
    <x v="116"/>
    <x v="15"/>
    <n v="478"/>
    <x v="17"/>
    <n v="267.85483870967744"/>
    <n v="-0.3578611428915518"/>
    <x v="70"/>
    <n v="-0.35820895522388063"/>
    <n v="-0.35820895522388063"/>
    <n v="268"/>
    <d v="2022-06-14T00:00:00"/>
    <n v="653"/>
    <x v="3"/>
  </r>
  <r>
    <n v="234"/>
    <n v="160"/>
    <n v="288"/>
    <n v="2"/>
    <n v="576"/>
    <x v="192"/>
    <x v="10"/>
    <n v="429"/>
    <x v="18"/>
    <n v="255.11627906976744"/>
    <n v="0.12889699179580671"/>
    <x v="34"/>
    <n v="0.15058389674247064"/>
    <n v="0.15058389674247064"/>
    <n v="250.30769230769232"/>
    <d v="2022-03-05T00:00:00"/>
    <n v="371"/>
    <x v="4"/>
  </r>
  <r>
    <n v="235"/>
    <n v="23"/>
    <n v="174"/>
    <n v="3"/>
    <n v="522"/>
    <x v="193"/>
    <x v="13"/>
    <n v="181"/>
    <x v="6"/>
    <n v="258.5128205128205"/>
    <n v="-0.32691926205118027"/>
    <x v="26"/>
    <n v="-0.1959334565619224"/>
    <n v="-0.1959334565619224"/>
    <n v="216.4"/>
    <d v="2022-01-07T00:00:00"/>
    <n v="828"/>
    <x v="3"/>
  </r>
  <r>
    <n v="236"/>
    <n v="49"/>
    <n v="292"/>
    <n v="3"/>
    <n v="876"/>
    <x v="194"/>
    <x v="1"/>
    <n v="431"/>
    <x v="13"/>
    <n v="258.375"/>
    <n v="0.1301402999516208"/>
    <x v="30"/>
    <n v="-8.1348314606741523E-2"/>
    <n v="-8.1348314606741523E-2"/>
    <n v="317.85714285714283"/>
    <d v="2022-03-03T00:00:00"/>
    <n v="436"/>
    <x v="2"/>
  </r>
  <r>
    <n v="237"/>
    <n v="485"/>
    <n v="243"/>
    <n v="3"/>
    <n v="729"/>
    <x v="195"/>
    <x v="13"/>
    <n v="34"/>
    <x v="3"/>
    <n v="265.47674418604652"/>
    <n v="-8.4665586264289772E-2"/>
    <x v="3"/>
    <n v="2.8458844133099737E-2"/>
    <n v="2.8458844133099737E-2"/>
    <n v="236.27586206896552"/>
    <d v="2022-04-03T00:00:00"/>
    <n v="333"/>
    <x v="4"/>
  </r>
  <r>
    <n v="238"/>
    <n v="131"/>
    <n v="382"/>
    <n v="5"/>
    <n v="1910"/>
    <x v="196"/>
    <x v="5"/>
    <n v="147"/>
    <x v="5"/>
    <n v="268.60344827586209"/>
    <n v="0.42217087104435436"/>
    <x v="32"/>
    <n v="0.5028612303290414"/>
    <n v="0.5028612303290414"/>
    <n v="254.18181818181819"/>
    <d v="2022-09-23T00:00:00"/>
    <n v="538"/>
    <x v="2"/>
  </r>
  <r>
    <n v="239"/>
    <n v="270"/>
    <n v="308"/>
    <n v="1"/>
    <n v="308"/>
    <x v="197"/>
    <x v="1"/>
    <n v="496"/>
    <x v="1"/>
    <n v="264.8679245283019"/>
    <n v="0.16284370993018937"/>
    <x v="64"/>
    <n v="0.30003517411185365"/>
    <n v="0.30003517411185365"/>
    <n v="236.91666666666666"/>
    <d v="2022-11-02T00:00:00"/>
    <n v="455"/>
    <x v="3"/>
  </r>
  <r>
    <n v="240"/>
    <n v="345"/>
    <n v="357"/>
    <n v="4"/>
    <n v="1428"/>
    <x v="198"/>
    <x v="14"/>
    <n v="202"/>
    <x v="17"/>
    <n v="267.85483870967744"/>
    <n v="0.33281146504486059"/>
    <x v="27"/>
    <n v="0.23855939203700638"/>
    <n v="0.23855939203700638"/>
    <n v="288.23809523809524"/>
    <d v="2022-07-24T00:00:00"/>
    <n v="291"/>
    <x v="1"/>
  </r>
  <r>
    <n v="241"/>
    <n v="40"/>
    <n v="82"/>
    <n v="1"/>
    <n v="82"/>
    <x v="199"/>
    <x v="4"/>
    <n v="312"/>
    <x v="19"/>
    <n v="286.92307692307691"/>
    <n v="-0.71420911528150133"/>
    <x v="71"/>
    <n v="0"/>
    <n v="0"/>
    <n v="82"/>
    <d v="2022-11-21T00:00:00"/>
    <n v="125"/>
    <x v="2"/>
  </r>
  <r>
    <n v="242"/>
    <n v="275"/>
    <n v="219"/>
    <n v="1"/>
    <n v="219"/>
    <x v="200"/>
    <x v="16"/>
    <n v="41"/>
    <x v="11"/>
    <n v="262.63492063492066"/>
    <n v="-0.16614287441073383"/>
    <x v="47"/>
    <n v="-0.19188191881918815"/>
    <n v="-0.19188191881918815"/>
    <n v="271"/>
    <d v="2022-10-08T00:00:00"/>
    <n v="186"/>
    <x v="2"/>
  </r>
  <r>
    <n v="243"/>
    <n v="205"/>
    <n v="117"/>
    <n v="5"/>
    <n v="585"/>
    <x v="201"/>
    <x v="19"/>
    <n v="389"/>
    <x v="3"/>
    <n v="265.47674418604652"/>
    <n v="-0.559283430423547"/>
    <x v="3"/>
    <n v="-0.50481611208406307"/>
    <n v="-0.50481611208406307"/>
    <n v="236.27586206896552"/>
    <d v="2022-11-11T00:00:00"/>
    <n v="130"/>
    <x v="2"/>
  </r>
  <r>
    <n v="244"/>
    <n v="219"/>
    <n v="474"/>
    <n v="5"/>
    <n v="2370"/>
    <x v="202"/>
    <x v="10"/>
    <n v="24"/>
    <x v="9"/>
    <n v="263.25423728813558"/>
    <n v="0.80054081895441676"/>
    <x v="43"/>
    <n v="0.65099268547544398"/>
    <n v="0.65099268547544398"/>
    <n v="287.10000000000002"/>
    <d v="2022-02-17T00:00:00"/>
    <n v="691"/>
    <x v="0"/>
  </r>
  <r>
    <n v="245"/>
    <n v="425"/>
    <n v="334"/>
    <n v="2"/>
    <n v="668"/>
    <x v="0"/>
    <x v="7"/>
    <n v="25"/>
    <x v="1"/>
    <n v="264.8679245283019"/>
    <n v="0.2610058412879328"/>
    <x v="13"/>
    <n v="4.0997362742747567E-2"/>
    <n v="4.0997362742747567E-2"/>
    <n v="320.84615384615387"/>
    <d v="2022-01-21T00:00:00"/>
    <n v="605"/>
    <x v="4"/>
  </r>
  <r>
    <n v="246"/>
    <n v="452"/>
    <n v="220"/>
    <n v="5"/>
    <n v="1100"/>
    <x v="203"/>
    <x v="4"/>
    <n v="411"/>
    <x v="12"/>
    <n v="274.16279069767444"/>
    <n v="-0.19755704470268898"/>
    <x v="18"/>
    <n v="-0.13279132791327908"/>
    <n v="-0.13279132791327908"/>
    <n v="253.6875"/>
    <d v="2022-04-22T00:00:00"/>
    <n v="278"/>
    <x v="4"/>
  </r>
  <r>
    <n v="247"/>
    <n v="285"/>
    <n v="282"/>
    <n v="5"/>
    <n v="1410"/>
    <x v="204"/>
    <x v="16"/>
    <n v="106"/>
    <x v="3"/>
    <n v="265.47674418604652"/>
    <n v="6.2239936927861228E-2"/>
    <x v="16"/>
    <n v="1.9243919116928687E-2"/>
    <n v="1.9243919116928687E-2"/>
    <n v="276.67567567567568"/>
    <d v="2022-10-24T00:00:00"/>
    <n v="547"/>
    <x v="3"/>
  </r>
  <r>
    <n v="248"/>
    <n v="435"/>
    <n v="499"/>
    <n v="5"/>
    <n v="2495"/>
    <x v="92"/>
    <x v="4"/>
    <n v="175"/>
    <x v="10"/>
    <n v="271.74545454545455"/>
    <n v="0.83627726482001874"/>
    <x v="37"/>
    <n v="0.83218142548596097"/>
    <n v="0.83218142548596097"/>
    <n v="272.35294117647061"/>
    <d v="2022-01-04T00:00:00"/>
    <n v="377"/>
    <x v="2"/>
  </r>
  <r>
    <n v="249"/>
    <n v="26"/>
    <n v="170"/>
    <n v="1"/>
    <n v="170"/>
    <x v="184"/>
    <x v="17"/>
    <n v="286"/>
    <x v="10"/>
    <n v="271.74545454545455"/>
    <n v="-0.37441455907935239"/>
    <x v="12"/>
    <n v="-0.2011747430249633"/>
    <n v="-0.2011747430249633"/>
    <n v="212.8125"/>
    <d v="2022-01-02T00:00:00"/>
    <n v="576"/>
    <x v="4"/>
  </r>
  <r>
    <n v="250"/>
    <n v="157"/>
    <n v="52"/>
    <n v="1"/>
    <n v="52"/>
    <x v="205"/>
    <x v="0"/>
    <n v="249"/>
    <x v="11"/>
    <n v="262.63492063492066"/>
    <n v="-0.80200652725734312"/>
    <x v="21"/>
    <n v="-0.78217360949499648"/>
    <n v="-0.78217360949499648"/>
    <n v="238.72222222222223"/>
    <d v="2022-08-08T00:00:00"/>
    <n v="180"/>
    <x v="2"/>
  </r>
  <r>
    <n v="251"/>
    <n v="273"/>
    <n v="156"/>
    <n v="5"/>
    <n v="780"/>
    <x v="119"/>
    <x v="15"/>
    <n v="168"/>
    <x v="17"/>
    <n v="267.85483870967744"/>
    <n v="-0.41759499006443068"/>
    <x v="66"/>
    <n v="-0.42987665600730929"/>
    <n v="-0.42987665600730929"/>
    <n v="273.625"/>
    <d v="2022-05-25T00:00:00"/>
    <n v="323"/>
    <x v="0"/>
  </r>
  <r>
    <n v="252"/>
    <n v="340"/>
    <n v="450"/>
    <n v="3"/>
    <n v="1350"/>
    <x v="206"/>
    <x v="7"/>
    <n v="121"/>
    <x v="11"/>
    <n v="262.63492063492066"/>
    <n v="0.71340505258068387"/>
    <x v="17"/>
    <n v="0.4453961456102784"/>
    <n v="0.4453961456102784"/>
    <n v="311.33333333333331"/>
    <d v="2022-07-21T00:00:00"/>
    <n v="170"/>
    <x v="2"/>
  </r>
  <r>
    <n v="253"/>
    <n v="34"/>
    <n v="366"/>
    <n v="4"/>
    <n v="1464"/>
    <x v="131"/>
    <x v="6"/>
    <n v="259"/>
    <x v="18"/>
    <n v="255.11627906976744"/>
    <n v="0.4346399270738377"/>
    <x v="72"/>
    <n v="0.45185719437432392"/>
    <n v="0.45185719437432392"/>
    <n v="252.09090909090909"/>
    <d v="2022-05-26T00:00:00"/>
    <n v="557"/>
    <x v="1"/>
  </r>
  <r>
    <n v="254"/>
    <n v="296"/>
    <n v="210"/>
    <n v="1"/>
    <n v="210"/>
    <x v="168"/>
    <x v="1"/>
    <n v="255"/>
    <x v="18"/>
    <n v="255.11627906976744"/>
    <n v="-0.17684594348222427"/>
    <x v="34"/>
    <n v="-0.16103257529194837"/>
    <n v="-0.16103257529194837"/>
    <n v="250.30769230769232"/>
    <d v="2022-08-20T00:00:00"/>
    <n v="217"/>
    <x v="3"/>
  </r>
  <r>
    <n v="255"/>
    <n v="116"/>
    <n v="379"/>
    <n v="4"/>
    <n v="1516"/>
    <x v="207"/>
    <x v="14"/>
    <n v="405"/>
    <x v="1"/>
    <n v="264.8679245283019"/>
    <n v="0.43090183786864222"/>
    <x v="13"/>
    <n v="0.1812514984416207"/>
    <n v="0.1812514984416207"/>
    <n v="320.84615384615387"/>
    <d v="2022-08-25T00:00:00"/>
    <n v="463"/>
    <x v="3"/>
  </r>
  <r>
    <n v="256"/>
    <n v="117"/>
    <n v="102"/>
    <n v="4"/>
    <n v="408"/>
    <x v="208"/>
    <x v="16"/>
    <n v="376"/>
    <x v="3"/>
    <n v="265.47674418604652"/>
    <n v="-0.61578555472822039"/>
    <x v="29"/>
    <n v="-0.56698113207547163"/>
    <n v="-0.56698113207547163"/>
    <n v="235.55555555555554"/>
    <d v="2022-06-18T00:00:00"/>
    <n v="599"/>
    <x v="1"/>
  </r>
  <r>
    <n v="257"/>
    <n v="239"/>
    <n v="380"/>
    <n v="5"/>
    <n v="1900"/>
    <x v="37"/>
    <x v="0"/>
    <n v="489"/>
    <x v="9"/>
    <n v="263.25423728813558"/>
    <n v="0.44347154262168442"/>
    <x v="33"/>
    <n v="0.52917505030181089"/>
    <n v="0.52917505030181089"/>
    <n v="248.5"/>
    <d v="2022-01-26T00:00:00"/>
    <n v="542"/>
    <x v="2"/>
  </r>
  <r>
    <n v="258"/>
    <n v="201"/>
    <n v="355"/>
    <n v="5"/>
    <n v="1775"/>
    <x v="110"/>
    <x v="11"/>
    <n v="483"/>
    <x v="2"/>
    <n v="283.468085106383"/>
    <n v="0.25234556781505657"/>
    <x v="36"/>
    <n v="0.42284569138276562"/>
    <n v="0.42284569138276562"/>
    <n v="249.5"/>
    <d v="2022-10-21T00:00:00"/>
    <n v="488"/>
    <x v="2"/>
  </r>
  <r>
    <n v="259"/>
    <n v="377"/>
    <n v="403"/>
    <n v="4"/>
    <n v="1612"/>
    <x v="209"/>
    <x v="16"/>
    <n v="107"/>
    <x v="19"/>
    <n v="286.92307692307691"/>
    <n v="0.40455764075067036"/>
    <x v="40"/>
    <n v="0.4730429485226928"/>
    <n v="0.4730429485226928"/>
    <n v="273.58333333333331"/>
    <d v="2022-07-02T00:00:00"/>
    <n v="593"/>
    <x v="4"/>
  </r>
  <r>
    <n v="260"/>
    <n v="485"/>
    <n v="101"/>
    <n v="1"/>
    <n v="101"/>
    <x v="94"/>
    <x v="13"/>
    <n v="51"/>
    <x v="3"/>
    <n v="265.47674418604652"/>
    <n v="-0.61955236301519867"/>
    <x v="3"/>
    <n v="-0.57253356684179801"/>
    <n v="-0.57253356684179801"/>
    <n v="236.27586206896552"/>
    <d v="2022-02-13T00:00:00"/>
    <n v="726"/>
    <x v="0"/>
  </r>
  <r>
    <n v="261"/>
    <n v="251"/>
    <n v="294"/>
    <n v="1"/>
    <n v="294"/>
    <x v="96"/>
    <x v="4"/>
    <n v="47"/>
    <x v="4"/>
    <n v="250.48780487804879"/>
    <n v="0.17370983446932819"/>
    <x v="56"/>
    <n v="0.18707940780619126"/>
    <n v="0.18707940780619126"/>
    <n v="247.66666666666666"/>
    <d v="2022-05-12T00:00:00"/>
    <n v="389"/>
    <x v="1"/>
  </r>
  <r>
    <n v="262"/>
    <n v="409"/>
    <n v="299"/>
    <n v="1"/>
    <n v="299"/>
    <x v="114"/>
    <x v="2"/>
    <n v="411"/>
    <x v="12"/>
    <n v="274.16279069767444"/>
    <n v="9.0592925608618202E-2"/>
    <x v="65"/>
    <n v="0.15753424657534243"/>
    <n v="0.15753424657534243"/>
    <n v="258.30769230769232"/>
    <d v="2022-04-22T00:00:00"/>
    <n v="688"/>
    <x v="4"/>
  </r>
  <r>
    <n v="263"/>
    <n v="422"/>
    <n v="349"/>
    <n v="2"/>
    <n v="698"/>
    <x v="210"/>
    <x v="10"/>
    <n v="160"/>
    <x v="7"/>
    <n v="249.02380952380952"/>
    <n v="0.40147241610096573"/>
    <x v="59"/>
    <n v="0.35850525496302077"/>
    <n v="0.35850525496302077"/>
    <n v="256.89999999999998"/>
    <d v="2022-03-29T00:00:00"/>
    <n v="396"/>
    <x v="0"/>
  </r>
  <r>
    <n v="264"/>
    <n v="222"/>
    <n v="500"/>
    <n v="2"/>
    <n v="1000"/>
    <x v="211"/>
    <x v="18"/>
    <n v="9"/>
    <x v="15"/>
    <n v="294.95238095238096"/>
    <n v="0.6951888924765901"/>
    <x v="23"/>
    <n v="0.56829198745366405"/>
    <n v="0.56829198745366405"/>
    <n v="318.81818181818181"/>
    <d v="2022-12-05T00:00:00"/>
    <n v="257"/>
    <x v="4"/>
  </r>
  <r>
    <n v="265"/>
    <n v="497"/>
    <n v="387"/>
    <n v="2"/>
    <n v="774"/>
    <x v="212"/>
    <x v="7"/>
    <n v="456"/>
    <x v="17"/>
    <n v="267.85483870967744"/>
    <n v="0.44481242849400848"/>
    <x v="35"/>
    <n v="0.5463963297321297"/>
    <n v="0.5463963297321297"/>
    <n v="250.25925925925927"/>
    <d v="2022-02-26T00:00:00"/>
    <n v="327"/>
    <x v="2"/>
  </r>
  <r>
    <n v="266"/>
    <n v="217"/>
    <n v="412"/>
    <n v="2"/>
    <n v="824"/>
    <x v="25"/>
    <x v="11"/>
    <n v="110"/>
    <x v="10"/>
    <n v="271.74545454545455"/>
    <n v="0.51612471564298135"/>
    <x v="10"/>
    <n v="0.32390745501285356"/>
    <n v="0.32390745501285356"/>
    <n v="311.2"/>
    <d v="2022-01-19T00:00:00"/>
    <n v="594"/>
    <x v="0"/>
  </r>
  <r>
    <n v="267"/>
    <n v="351"/>
    <n v="155"/>
    <n v="5"/>
    <n v="775"/>
    <x v="81"/>
    <x v="9"/>
    <n v="216"/>
    <x v="14"/>
    <n v="273.72549019607845"/>
    <n v="-0.43373925501432664"/>
    <x v="58"/>
    <n v="-0.35906271536871126"/>
    <n v="-0.35906271536871126"/>
    <n v="241.83333333333334"/>
    <d v="2022-04-04T00:00:00"/>
    <n v="534"/>
    <x v="4"/>
  </r>
  <r>
    <n v="268"/>
    <n v="494"/>
    <n v="214"/>
    <n v="1"/>
    <n v="214"/>
    <x v="119"/>
    <x v="6"/>
    <n v="424"/>
    <x v="11"/>
    <n v="262.63492063492066"/>
    <n v="-0.18518070832829692"/>
    <x v="47"/>
    <n v="-0.21033210332103325"/>
    <n v="-0.21033210332103325"/>
    <n v="271"/>
    <d v="2022-01-24T00:00:00"/>
    <n v="444"/>
    <x v="2"/>
  </r>
  <r>
    <n v="269"/>
    <n v="464"/>
    <n v="290"/>
    <n v="3"/>
    <n v="870"/>
    <x v="134"/>
    <x v="14"/>
    <n v="77"/>
    <x v="11"/>
    <n v="262.63492063492066"/>
    <n v="0.10419436721866293"/>
    <x v="47"/>
    <n v="7.0110701107011009E-2"/>
    <n v="7.0110701107011009E-2"/>
    <n v="271"/>
    <d v="2022-03-24T00:00:00"/>
    <n v="541"/>
    <x v="2"/>
  </r>
  <r>
    <n v="270"/>
    <n v="462"/>
    <n v="271"/>
    <n v="2"/>
    <n v="542"/>
    <x v="45"/>
    <x v="0"/>
    <n v="192"/>
    <x v="13"/>
    <n v="258.375"/>
    <n v="4.8863086598935679E-2"/>
    <x v="20"/>
    <n v="4.7982551799345963E-3"/>
    <n v="4.7982551799345963E-3"/>
    <n v="269.70588235294116"/>
    <d v="2022-01-11T00:00:00"/>
    <n v="404"/>
    <x v="2"/>
  </r>
  <r>
    <n v="271"/>
    <n v="102"/>
    <n v="326"/>
    <n v="2"/>
    <n v="652"/>
    <x v="213"/>
    <x v="16"/>
    <n v="130"/>
    <x v="2"/>
    <n v="283.468085106383"/>
    <n v="0.15004128199354483"/>
    <x v="36"/>
    <n v="0.30661322645290578"/>
    <n v="0.30661322645290578"/>
    <n v="249.5"/>
    <d v="2022-10-29T00:00:00"/>
    <n v="279"/>
    <x v="4"/>
  </r>
  <r>
    <n v="272"/>
    <n v="345"/>
    <n v="420"/>
    <n v="2"/>
    <n v="840"/>
    <x v="214"/>
    <x v="11"/>
    <n v="308"/>
    <x v="17"/>
    <n v="267.85483870967744"/>
    <n v="0.56801348828807119"/>
    <x v="27"/>
    <n v="0.45712869651412524"/>
    <n v="0.45712869651412524"/>
    <n v="288.23809523809524"/>
    <d v="2022-01-01T00:00:00"/>
    <n v="475"/>
    <x v="1"/>
  </r>
  <r>
    <n v="273"/>
    <n v="445"/>
    <n v="71"/>
    <n v="4"/>
    <n v="284"/>
    <x v="215"/>
    <x v="17"/>
    <n v="455"/>
    <x v="0"/>
    <n v="252.76271186440678"/>
    <n v="-0.71910413732984646"/>
    <x v="11"/>
    <n v="-0.7044950055493896"/>
    <n v="-0.7044950055493896"/>
    <n v="240.26666666666668"/>
    <d v="2022-09-16T00:00:00"/>
    <n v="430"/>
    <x v="3"/>
  </r>
  <r>
    <n v="274"/>
    <n v="241"/>
    <n v="400"/>
    <n v="3"/>
    <n v="1200"/>
    <x v="178"/>
    <x v="17"/>
    <n v="490"/>
    <x v="19"/>
    <n v="286.92307692307691"/>
    <n v="0.39410187667560326"/>
    <x v="40"/>
    <n v="0.46207736826073731"/>
    <n v="0.46207736826073731"/>
    <n v="273.58333333333331"/>
    <d v="2022-02-11T00:00:00"/>
    <n v="768"/>
    <x v="2"/>
  </r>
  <r>
    <n v="275"/>
    <n v="258"/>
    <n v="109"/>
    <n v="2"/>
    <n v="218"/>
    <x v="216"/>
    <x v="2"/>
    <n v="480"/>
    <x v="6"/>
    <n v="258.5128205128205"/>
    <n v="-0.5783574687561992"/>
    <x v="26"/>
    <n v="-0.4963031423290204"/>
    <n v="-0.4963031423290204"/>
    <n v="216.4"/>
    <d v="2022-01-07T00:00:00"/>
    <n v="848"/>
    <x v="0"/>
  </r>
  <r>
    <n v="276"/>
    <n v="376"/>
    <n v="217"/>
    <n v="1"/>
    <n v="217"/>
    <x v="217"/>
    <x v="4"/>
    <n v="321"/>
    <x v="17"/>
    <n v="267.85483870967744"/>
    <n v="-0.18985969771782985"/>
    <x v="66"/>
    <n v="-0.20694380995888528"/>
    <n v="-0.20694380995888528"/>
    <n v="273.625"/>
    <d v="2022-07-14T00:00:00"/>
    <n v="443"/>
    <x v="4"/>
  </r>
  <r>
    <n v="277"/>
    <n v="7"/>
    <n v="104"/>
    <n v="1"/>
    <n v="104"/>
    <x v="63"/>
    <x v="7"/>
    <n v="496"/>
    <x v="11"/>
    <n v="262.63492063492066"/>
    <n v="-0.60401305451468634"/>
    <x v="21"/>
    <n v="-0.56434721898999296"/>
    <n v="-0.56434721898999296"/>
    <n v="238.72222222222223"/>
    <d v="2022-11-02T00:00:00"/>
    <n v="122"/>
    <x v="3"/>
  </r>
  <r>
    <n v="278"/>
    <n v="428"/>
    <n v="428"/>
    <n v="4"/>
    <n v="1712"/>
    <x v="21"/>
    <x v="10"/>
    <n v="203"/>
    <x v="17"/>
    <n v="267.85483870967744"/>
    <n v="0.59788041187451069"/>
    <x v="35"/>
    <n v="0.71022643184845347"/>
    <n v="0.71022643184845347"/>
    <n v="250.25925925925927"/>
    <d v="2022-05-04T00:00:00"/>
    <n v="438"/>
    <x v="2"/>
  </r>
  <r>
    <n v="279"/>
    <n v="216"/>
    <n v="83"/>
    <n v="3"/>
    <n v="249"/>
    <x v="100"/>
    <x v="9"/>
    <n v="457"/>
    <x v="7"/>
    <n v="249.02380952380952"/>
    <n v="-0.66669853714504246"/>
    <x v="39"/>
    <n v="-0.62646264626462644"/>
    <n v="-0.62646264626462644"/>
    <n v="222.2"/>
    <d v="2022-02-03T00:00:00"/>
    <n v="438"/>
    <x v="4"/>
  </r>
  <r>
    <n v="280"/>
    <n v="272"/>
    <n v="113"/>
    <n v="3"/>
    <n v="339"/>
    <x v="171"/>
    <x v="15"/>
    <n v="21"/>
    <x v="18"/>
    <n v="255.11627906976744"/>
    <n v="-0.55706472196900636"/>
    <x v="72"/>
    <n v="-0.55174900829426621"/>
    <n v="-0.55174900829426621"/>
    <n v="252.09090909090909"/>
    <d v="2022-11-16T00:00:00"/>
    <n v="138"/>
    <x v="1"/>
  </r>
  <r>
    <n v="281"/>
    <n v="236"/>
    <n v="221"/>
    <n v="4"/>
    <n v="884"/>
    <x v="218"/>
    <x v="11"/>
    <n v="333"/>
    <x v="2"/>
    <n v="283.468085106383"/>
    <n v="-0.22037078736020421"/>
    <x v="46"/>
    <n v="-0.31288863764838892"/>
    <n v="-0.31288863764838892"/>
    <n v="321.63636363636363"/>
    <d v="2022-10-23T00:00:00"/>
    <n v="309"/>
    <x v="2"/>
  </r>
  <r>
    <n v="282"/>
    <n v="225"/>
    <n v="114"/>
    <n v="3"/>
    <n v="342"/>
    <x v="219"/>
    <x v="7"/>
    <n v="405"/>
    <x v="1"/>
    <n v="264.8679245283019"/>
    <n v="-0.56959680866220264"/>
    <x v="1"/>
    <n v="-0.52134359692092369"/>
    <n v="-0.52134359692092369"/>
    <n v="238.16666666666666"/>
    <d v="2022-08-25T00:00:00"/>
    <n v="328"/>
    <x v="3"/>
  </r>
  <r>
    <n v="283"/>
    <n v="167"/>
    <n v="488"/>
    <n v="3"/>
    <n v="1464"/>
    <x v="75"/>
    <x v="0"/>
    <n v="32"/>
    <x v="10"/>
    <n v="271.74545454545455"/>
    <n v="0.79579820687809444"/>
    <x v="12"/>
    <n v="1.2930983847283408"/>
    <n v="1.2930983847283408"/>
    <n v="212.8125"/>
    <d v="2022-12-27T00:00:00"/>
    <n v="242"/>
    <x v="0"/>
  </r>
  <r>
    <n v="284"/>
    <n v="467"/>
    <n v="421"/>
    <n v="5"/>
    <n v="2105"/>
    <x v="124"/>
    <x v="6"/>
    <n v="334"/>
    <x v="3"/>
    <n v="265.47674418604652"/>
    <n v="0.58582628881783538"/>
    <x v="3"/>
    <n v="0.78181552831290135"/>
    <n v="0.78181552831290135"/>
    <n v="236.27586206896552"/>
    <d v="2022-11-16T00:00:00"/>
    <n v="189"/>
    <x v="3"/>
  </r>
  <r>
    <n v="285"/>
    <n v="430"/>
    <n v="380"/>
    <n v="1"/>
    <n v="380"/>
    <x v="220"/>
    <x v="19"/>
    <n v="449"/>
    <x v="8"/>
    <n v="271.18181818181819"/>
    <n v="0.40127388535031838"/>
    <x v="52"/>
    <n v="0.56185778873818326"/>
    <n v="0.56185778873818326"/>
    <n v="243.3"/>
    <d v="2022-03-25T00:00:00"/>
    <n v="746"/>
    <x v="4"/>
  </r>
  <r>
    <n v="286"/>
    <n v="139"/>
    <n v="232"/>
    <n v="3"/>
    <n v="696"/>
    <x v="91"/>
    <x v="18"/>
    <n v="302"/>
    <x v="9"/>
    <n v="263.25423728813558"/>
    <n v="-0.11872263713623488"/>
    <x v="9"/>
    <n v="-0.10001686625063255"/>
    <n v="-0.10001686625063255"/>
    <n v="257.78260869565219"/>
    <d v="2022-10-25T00:00:00"/>
    <n v="338"/>
    <x v="2"/>
  </r>
  <r>
    <n v="287"/>
    <n v="351"/>
    <n v="93"/>
    <n v="3"/>
    <n v="279"/>
    <x v="221"/>
    <x v="12"/>
    <n v="341"/>
    <x v="14"/>
    <n v="273.72549019607845"/>
    <n v="-0.66024355300859594"/>
    <x v="58"/>
    <n v="-0.61543762922122669"/>
    <n v="-0.61543762922122669"/>
    <n v="241.83333333333334"/>
    <d v="2022-06-12T00:00:00"/>
    <n v="668"/>
    <x v="2"/>
  </r>
  <r>
    <n v="288"/>
    <n v="404"/>
    <n v="136"/>
    <n v="2"/>
    <n v="272"/>
    <x v="64"/>
    <x v="3"/>
    <n v="62"/>
    <x v="9"/>
    <n v="263.25423728813558"/>
    <n v="-0.48338913211434453"/>
    <x v="9"/>
    <n v="-0.47242368021588799"/>
    <n v="-0.47242368021588799"/>
    <n v="257.78260869565219"/>
    <d v="2022-04-20T00:00:00"/>
    <n v="616"/>
    <x v="2"/>
  </r>
  <r>
    <n v="289"/>
    <n v="237"/>
    <n v="157"/>
    <n v="5"/>
    <n v="785"/>
    <x v="76"/>
    <x v="16"/>
    <n v="366"/>
    <x v="17"/>
    <n v="267.85483870967744"/>
    <n v="-0.41386162461612575"/>
    <x v="27"/>
    <n v="-0.45531141582686274"/>
    <n v="-0.45531141582686274"/>
    <n v="288.23809523809524"/>
    <d v="2022-09-23T00:00:00"/>
    <n v="119"/>
    <x v="0"/>
  </r>
  <r>
    <n v="290"/>
    <n v="323"/>
    <n v="363"/>
    <n v="4"/>
    <n v="1452"/>
    <x v="222"/>
    <x v="7"/>
    <n v="463"/>
    <x v="6"/>
    <n v="258.5128205128205"/>
    <n v="0.40418567744495149"/>
    <x v="6"/>
    <n v="0.39268788083953976"/>
    <n v="0.39268788083953976"/>
    <n v="260.64705882352939"/>
    <d v="2022-11-04T00:00:00"/>
    <n v="493"/>
    <x v="3"/>
  </r>
  <r>
    <n v="291"/>
    <n v="457"/>
    <n v="289"/>
    <n v="5"/>
    <n v="1445"/>
    <x v="128"/>
    <x v="16"/>
    <n v="421"/>
    <x v="5"/>
    <n v="268.60344827586209"/>
    <n v="7.5935554271776118E-2"/>
    <x v="49"/>
    <n v="6.1524334251606971E-2"/>
    <n v="6.1524334251606971E-2"/>
    <n v="272.25"/>
    <d v="2022-02-28T00:00:00"/>
    <n v="547"/>
    <x v="2"/>
  </r>
  <r>
    <n v="292"/>
    <n v="328"/>
    <n v="448"/>
    <n v="4"/>
    <n v="1792"/>
    <x v="218"/>
    <x v="10"/>
    <n v="86"/>
    <x v="14"/>
    <n v="273.72549019607845"/>
    <n v="0.63667621776504291"/>
    <x v="58"/>
    <n v="0.85251550654720876"/>
    <n v="0.85251550654720876"/>
    <n v="241.83333333333334"/>
    <d v="2022-05-11T00:00:00"/>
    <n v="474"/>
    <x v="0"/>
  </r>
  <r>
    <n v="293"/>
    <n v="424"/>
    <n v="226"/>
    <n v="2"/>
    <n v="452"/>
    <x v="177"/>
    <x v="9"/>
    <n v="397"/>
    <x v="2"/>
    <n v="283.468085106383"/>
    <n v="-0.20273211739097807"/>
    <x v="31"/>
    <n v="-0.30047619047619056"/>
    <n v="-0.30047619047619056"/>
    <n v="323.07692307692309"/>
    <d v="2022-06-16T00:00:00"/>
    <n v="380"/>
    <x v="1"/>
  </r>
  <r>
    <n v="294"/>
    <n v="86"/>
    <n v="261"/>
    <n v="5"/>
    <n v="1305"/>
    <x v="223"/>
    <x v="2"/>
    <n v="319"/>
    <x v="0"/>
    <n v="252.76271186440678"/>
    <n v="3.2589016294508166E-2"/>
    <x v="45"/>
    <n v="-0.11046511627906985"/>
    <n v="-0.11046511627906985"/>
    <n v="293.41176470588238"/>
    <d v="2022-04-23T00:00:00"/>
    <n v="327"/>
    <x v="0"/>
  </r>
  <r>
    <n v="295"/>
    <n v="17"/>
    <n v="253"/>
    <n v="3"/>
    <n v="759"/>
    <x v="150"/>
    <x v="15"/>
    <n v="290"/>
    <x v="7"/>
    <n v="249.02380952380952"/>
    <n v="1.5967109666316093E-2"/>
    <x v="7"/>
    <n v="-8.4032012195122019E-2"/>
    <n v="-8.4032012195122019E-2"/>
    <n v="276.21052631578948"/>
    <d v="2022-08-04T00:00:00"/>
    <n v="592"/>
    <x v="2"/>
  </r>
  <r>
    <n v="296"/>
    <n v="43"/>
    <n v="457"/>
    <n v="3"/>
    <n v="1371"/>
    <x v="224"/>
    <x v="8"/>
    <n v="13"/>
    <x v="2"/>
    <n v="283.468085106383"/>
    <n v="0.61217443518726999"/>
    <x v="31"/>
    <n v="0.41452380952380952"/>
    <n v="0.41452380952380952"/>
    <n v="323.07692307692309"/>
    <d v="2022-06-12T00:00:00"/>
    <n v="219"/>
    <x v="2"/>
  </r>
  <r>
    <n v="297"/>
    <n v="5"/>
    <n v="65"/>
    <n v="5"/>
    <n v="325"/>
    <x v="170"/>
    <x v="14"/>
    <n v="302"/>
    <x v="3"/>
    <n v="265.47674418604652"/>
    <n v="-0.75515746134641493"/>
    <x v="29"/>
    <n v="-0.72405660377358494"/>
    <n v="-0.72405660377358494"/>
    <n v="235.55555555555554"/>
    <d v="2022-10-25T00:00:00"/>
    <n v="392"/>
    <x v="2"/>
  </r>
  <r>
    <n v="298"/>
    <n v="298"/>
    <n v="65"/>
    <n v="1"/>
    <n v="65"/>
    <x v="225"/>
    <x v="19"/>
    <n v="453"/>
    <x v="18"/>
    <n v="255.11627906976744"/>
    <n v="-0.74521422060164078"/>
    <x v="67"/>
    <n v="-0.74197816738339395"/>
    <n v="-0.74197816738339395"/>
    <n v="251.91666666666666"/>
    <d v="2022-03-15T00:00:00"/>
    <n v="350"/>
    <x v="2"/>
  </r>
  <r>
    <n v="299"/>
    <n v="436"/>
    <n v="320"/>
    <n v="3"/>
    <n v="960"/>
    <x v="85"/>
    <x v="13"/>
    <n v="16"/>
    <x v="4"/>
    <n v="250.48780487804879"/>
    <n v="0.27750730282375846"/>
    <x v="56"/>
    <n v="0.29205921938088841"/>
    <n v="0.29205921938088841"/>
    <n v="247.66666666666666"/>
    <d v="2022-06-01T00:00:00"/>
    <n v="675"/>
    <x v="3"/>
  </r>
  <r>
    <n v="300"/>
    <n v="421"/>
    <n v="145"/>
    <n v="4"/>
    <n v="580"/>
    <x v="226"/>
    <x v="13"/>
    <n v="120"/>
    <x v="8"/>
    <n v="271.18181818181819"/>
    <n v="-0.46530338585316799"/>
    <x v="8"/>
    <n v="-0.50249532127261376"/>
    <n v="-0.50249532127261376"/>
    <n v="291.45454545454544"/>
    <d v="2022-05-10T00:00:00"/>
    <n v="632"/>
    <x v="2"/>
  </r>
  <r>
    <n v="301"/>
    <n v="223"/>
    <n v="467"/>
    <n v="5"/>
    <n v="2335"/>
    <x v="132"/>
    <x v="4"/>
    <n v="295"/>
    <x v="8"/>
    <n v="271.18181818181819"/>
    <n v="0.72209185383841756"/>
    <x v="8"/>
    <n v="0.60230817217716792"/>
    <n v="0.60230817217716792"/>
    <n v="291.45454545454544"/>
    <d v="2022-01-27T00:00:00"/>
    <n v="722"/>
    <x v="2"/>
  </r>
  <r>
    <n v="302"/>
    <n v="483"/>
    <n v="124"/>
    <n v="4"/>
    <n v="496"/>
    <x v="227"/>
    <x v="6"/>
    <n v="381"/>
    <x v="19"/>
    <n v="286.92307692307691"/>
    <n v="-0.56782841823056296"/>
    <x v="42"/>
    <n v="-0.60341151385927505"/>
    <n v="-0.60341151385927505"/>
    <n v="312.66666666666669"/>
    <d v="2022-06-02T00:00:00"/>
    <n v="585"/>
    <x v="0"/>
  </r>
  <r>
    <n v="303"/>
    <n v="414"/>
    <n v="406"/>
    <n v="3"/>
    <n v="1218"/>
    <x v="52"/>
    <x v="3"/>
    <n v="287"/>
    <x v="12"/>
    <n v="274.16279069767444"/>
    <n v="0.48087199932140123"/>
    <x v="18"/>
    <n v="0.60039418576003944"/>
    <n v="0.60039418576003944"/>
    <n v="253.6875"/>
    <d v="2022-02-16T00:00:00"/>
    <n v="638"/>
    <x v="2"/>
  </r>
  <r>
    <n v="304"/>
    <n v="389"/>
    <n v="76"/>
    <n v="4"/>
    <n v="304"/>
    <x v="228"/>
    <x v="10"/>
    <n v="415"/>
    <x v="8"/>
    <n v="271.18181818181819"/>
    <n v="-0.71974522292993637"/>
    <x v="52"/>
    <n v="-0.6876284422523633"/>
    <n v="-0.6876284422523633"/>
    <n v="243.3"/>
    <d v="2022-04-10T00:00:00"/>
    <n v="406"/>
    <x v="3"/>
  </r>
  <r>
    <n v="305"/>
    <n v="367"/>
    <n v="79"/>
    <n v="5"/>
    <n v="395"/>
    <x v="229"/>
    <x v="18"/>
    <n v="292"/>
    <x v="19"/>
    <n v="286.92307692307691"/>
    <n v="-0.72466487935656843"/>
    <x v="40"/>
    <n v="-0.71123971976850442"/>
    <n v="-0.71123971976850442"/>
    <n v="273.58333333333331"/>
    <d v="2022-02-16T00:00:00"/>
    <n v="499"/>
    <x v="2"/>
  </r>
  <r>
    <n v="306"/>
    <n v="128"/>
    <n v="466"/>
    <n v="1"/>
    <n v="466"/>
    <x v="230"/>
    <x v="19"/>
    <n v="389"/>
    <x v="10"/>
    <n v="271.74545454545455"/>
    <n v="0.71484009099424584"/>
    <x v="15"/>
    <n v="0.47196630692287456"/>
    <n v="0.47196630692287456"/>
    <n v="316.58333333333331"/>
    <d v="2022-11-11T00:00:00"/>
    <n v="108"/>
    <x v="2"/>
  </r>
  <r>
    <n v="307"/>
    <n v="368"/>
    <n v="265"/>
    <n v="5"/>
    <n v="1325"/>
    <x v="231"/>
    <x v="7"/>
    <n v="106"/>
    <x v="11"/>
    <n v="262.63492063492066"/>
    <n v="9.0051976308471726E-3"/>
    <x v="47"/>
    <n v="-2.2140221402214055E-2"/>
    <n v="-2.2140221402214055E-2"/>
    <n v="271"/>
    <d v="2022-10-24T00:00:00"/>
    <n v="334"/>
    <x v="3"/>
  </r>
  <r>
    <n v="308"/>
    <n v="74"/>
    <n v="397"/>
    <n v="2"/>
    <n v="794"/>
    <x v="169"/>
    <x v="11"/>
    <n v="458"/>
    <x v="19"/>
    <n v="286.92307692307691"/>
    <n v="0.38364611260053638"/>
    <x v="73"/>
    <n v="0.23965651834504298"/>
    <n v="0.23965651834504298"/>
    <n v="320.25"/>
    <d v="2022-05-13T00:00:00"/>
    <n v="484"/>
    <x v="2"/>
  </r>
  <r>
    <n v="309"/>
    <n v="276"/>
    <n v="359"/>
    <n v="2"/>
    <n v="718"/>
    <x v="191"/>
    <x v="5"/>
    <n v="203"/>
    <x v="19"/>
    <n v="286.92307692307691"/>
    <n v="0.25120643431635403"/>
    <x v="42"/>
    <n v="0.14818763326226003"/>
    <n v="0.14818763326226003"/>
    <n v="312.66666666666669"/>
    <d v="2022-05-04T00:00:00"/>
    <n v="462"/>
    <x v="2"/>
  </r>
  <r>
    <n v="310"/>
    <n v="149"/>
    <n v="168"/>
    <n v="4"/>
    <n v="672"/>
    <x v="232"/>
    <x v="1"/>
    <n v="1"/>
    <x v="17"/>
    <n v="267.85483870967744"/>
    <n v="-0.37279460468477155"/>
    <x v="35"/>
    <n v="-0.3286961669379902"/>
    <n v="-0.3286961669379902"/>
    <n v="250.25925925925927"/>
    <d v="2022-01-24T00:00:00"/>
    <n v="351"/>
    <x v="2"/>
  </r>
  <r>
    <n v="311"/>
    <n v="229"/>
    <n v="156"/>
    <n v="4"/>
    <n v="624"/>
    <x v="233"/>
    <x v="14"/>
    <n v="204"/>
    <x v="10"/>
    <n v="271.74545454545455"/>
    <n v="-0.42593336009634686"/>
    <x v="12"/>
    <n v="-0.2669603524229075"/>
    <n v="-0.2669603524229075"/>
    <n v="212.8125"/>
    <d v="2022-11-02T00:00:00"/>
    <n v="301"/>
    <x v="2"/>
  </r>
  <r>
    <n v="312"/>
    <n v="28"/>
    <n v="78"/>
    <n v="4"/>
    <n v="312"/>
    <x v="234"/>
    <x v="14"/>
    <n v="490"/>
    <x v="18"/>
    <n v="255.11627906976744"/>
    <n v="-0.69425706472196902"/>
    <x v="61"/>
    <n v="-0.71562499999999996"/>
    <n v="-0.71562499999999996"/>
    <n v="274.28571428571428"/>
    <d v="2022-02-11T00:00:00"/>
    <n v="352"/>
    <x v="2"/>
  </r>
  <r>
    <n v="313"/>
    <n v="260"/>
    <n v="489"/>
    <n v="3"/>
    <n v="1467"/>
    <x v="235"/>
    <x v="17"/>
    <n v="98"/>
    <x v="1"/>
    <n v="264.8679245283019"/>
    <n v="0.84620316284370989"/>
    <x v="13"/>
    <n v="0.52409494126108847"/>
    <n v="0.52409494126108847"/>
    <n v="320.84615384615387"/>
    <d v="2022-03-17T00:00:00"/>
    <n v="660"/>
    <x v="2"/>
  </r>
  <r>
    <n v="314"/>
    <n v="140"/>
    <n v="106"/>
    <n v="3"/>
    <n v="318"/>
    <x v="144"/>
    <x v="3"/>
    <n v="181"/>
    <x v="13"/>
    <n v="258.375"/>
    <n v="-0.58974358974358976"/>
    <x v="20"/>
    <n v="-0.60697928026172299"/>
    <n v="-0.60697928026172299"/>
    <n v="269.70588235294116"/>
    <d v="2022-01-07T00:00:00"/>
    <n v="381"/>
    <x v="3"/>
  </r>
  <r>
    <n v="315"/>
    <n v="270"/>
    <n v="204"/>
    <n v="3"/>
    <n v="612"/>
    <x v="118"/>
    <x v="13"/>
    <n v="226"/>
    <x v="1"/>
    <n v="264.8679245283019"/>
    <n v="-0.22980481550078358"/>
    <x v="64"/>
    <n v="-0.13893774182201901"/>
    <n v="-0.13893774182201901"/>
    <n v="236.91666666666666"/>
    <d v="2022-05-21T00:00:00"/>
    <n v="307"/>
    <x v="2"/>
  </r>
  <r>
    <n v="316"/>
    <n v="67"/>
    <n v="317"/>
    <n v="4"/>
    <n v="1268"/>
    <x v="236"/>
    <x v="4"/>
    <n v="322"/>
    <x v="9"/>
    <n v="263.25423728813558"/>
    <n v="0.20415915529229989"/>
    <x v="43"/>
    <n v="0.10414489724834541"/>
    <n v="0.10414489724834541"/>
    <n v="287.10000000000002"/>
    <d v="2022-11-21T00:00:00"/>
    <n v="336"/>
    <x v="3"/>
  </r>
  <r>
    <n v="317"/>
    <n v="448"/>
    <n v="442"/>
    <n v="1"/>
    <n v="442"/>
    <x v="28"/>
    <x v="15"/>
    <n v="296"/>
    <x v="9"/>
    <n v="263.25423728813558"/>
    <n v="0.67898532062838024"/>
    <x v="9"/>
    <n v="0.7146230392983639"/>
    <n v="0.7146230392983639"/>
    <n v="257.78260869565219"/>
    <d v="2022-07-16T00:00:00"/>
    <n v="282"/>
    <x v="0"/>
  </r>
  <r>
    <n v="318"/>
    <n v="331"/>
    <n v="88"/>
    <n v="3"/>
    <n v="264"/>
    <x v="237"/>
    <x v="0"/>
    <n v="458"/>
    <x v="1"/>
    <n v="264.8679245283019"/>
    <n v="-0.66775894001994596"/>
    <x v="69"/>
    <n v="-0.67848008768724877"/>
    <n v="-0.67848008768724877"/>
    <n v="273.7"/>
    <d v="2022-05-13T00:00:00"/>
    <n v="517"/>
    <x v="2"/>
  </r>
  <r>
    <n v="319"/>
    <n v="325"/>
    <n v="99"/>
    <n v="2"/>
    <n v="198"/>
    <x v="238"/>
    <x v="8"/>
    <n v="11"/>
    <x v="5"/>
    <n v="268.60344827586209"/>
    <n v="-0.63142692085499719"/>
    <x v="28"/>
    <n v="-0.59228753275926627"/>
    <n v="-0.59228753275926627"/>
    <n v="242.81818181818181"/>
    <d v="2022-05-09T00:00:00"/>
    <n v="494"/>
    <x v="4"/>
  </r>
  <r>
    <n v="320"/>
    <n v="346"/>
    <n v="178"/>
    <n v="5"/>
    <n v="890"/>
    <x v="235"/>
    <x v="14"/>
    <n v="75"/>
    <x v="8"/>
    <n v="271.18181818181819"/>
    <n v="-0.34361381159906135"/>
    <x v="8"/>
    <n v="-0.38927011852776039"/>
    <n v="-0.38927011852776039"/>
    <n v="291.45454545454544"/>
    <d v="2022-08-23T00:00:00"/>
    <n v="501"/>
    <x v="3"/>
  </r>
  <r>
    <n v="321"/>
    <n v="397"/>
    <n v="299"/>
    <n v="3"/>
    <n v="897"/>
    <x v="239"/>
    <x v="7"/>
    <n v="29"/>
    <x v="9"/>
    <n v="263.25423728813558"/>
    <n v="0.13578418748390431"/>
    <x v="9"/>
    <n v="0.15989205599595202"/>
    <n v="0.15989205599595202"/>
    <n v="257.78260869565219"/>
    <d v="2022-05-23T00:00:00"/>
    <n v="360"/>
    <x v="2"/>
  </r>
  <r>
    <n v="322"/>
    <n v="115"/>
    <n v="479"/>
    <n v="1"/>
    <n v="479"/>
    <x v="141"/>
    <x v="12"/>
    <n v="297"/>
    <x v="11"/>
    <n v="262.63492063492066"/>
    <n v="0.82382448930255037"/>
    <x v="21"/>
    <n v="1.0065161740749358"/>
    <n v="1.0065161740749358"/>
    <n v="238.72222222222223"/>
    <d v="2022-04-15T00:00:00"/>
    <n v="617"/>
    <x v="3"/>
  </r>
  <r>
    <n v="323"/>
    <n v="360"/>
    <n v="463"/>
    <n v="3"/>
    <n v="1389"/>
    <x v="240"/>
    <x v="19"/>
    <n v="497"/>
    <x v="1"/>
    <n v="264.8679245283019"/>
    <n v="0.74804103148596668"/>
    <x v="64"/>
    <n v="0.95427365459022173"/>
    <n v="0.95427365459022173"/>
    <n v="236.91666666666666"/>
    <d v="2022-09-22T00:00:00"/>
    <n v="432"/>
    <x v="0"/>
  </r>
  <r>
    <n v="324"/>
    <n v="230"/>
    <n v="431"/>
    <n v="3"/>
    <n v="1293"/>
    <x v="181"/>
    <x v="18"/>
    <n v="191"/>
    <x v="5"/>
    <n v="268.60344827586209"/>
    <n v="0.60459593041915394"/>
    <x v="5"/>
    <n v="0.52853818020613996"/>
    <n v="0.52853818020613996"/>
    <n v="281.96875"/>
    <d v="2022-11-01T00:00:00"/>
    <n v="416"/>
    <x v="3"/>
  </r>
  <r>
    <n v="325"/>
    <n v="229"/>
    <n v="173"/>
    <n v="4"/>
    <n v="692"/>
    <x v="123"/>
    <x v="16"/>
    <n v="327"/>
    <x v="10"/>
    <n v="271.74545454545455"/>
    <n v="-0.36337481600428212"/>
    <x v="12"/>
    <n v="-0.18707782672540385"/>
    <n v="-0.18707782672540385"/>
    <n v="212.8125"/>
    <d v="2022-01-04T00:00:00"/>
    <n v="473"/>
    <x v="4"/>
  </r>
  <r>
    <n v="326"/>
    <n v="486"/>
    <n v="213"/>
    <n v="1"/>
    <n v="213"/>
    <x v="241"/>
    <x v="18"/>
    <n v="58"/>
    <x v="1"/>
    <n v="264.8679245283019"/>
    <n v="-0.19582561618464167"/>
    <x v="1"/>
    <n v="-0.10566829951014689"/>
    <n v="-0.10566829951014689"/>
    <n v="238.16666666666666"/>
    <d v="2022-03-08T00:00:00"/>
    <n v="651"/>
    <x v="1"/>
  </r>
  <r>
    <n v="327"/>
    <n v="353"/>
    <n v="115"/>
    <n v="2"/>
    <n v="230"/>
    <x v="242"/>
    <x v="13"/>
    <n v="446"/>
    <x v="3"/>
    <n v="265.47674418604652"/>
    <n v="-0.56681704699750335"/>
    <x v="16"/>
    <n v="-0.5843508840480609"/>
    <n v="-0.5843508840480609"/>
    <n v="276.67567567567568"/>
    <d v="2022-04-20T00:00:00"/>
    <n v="416"/>
    <x v="4"/>
  </r>
  <r>
    <n v="328"/>
    <n v="65"/>
    <n v="455"/>
    <n v="5"/>
    <n v="2275"/>
    <x v="243"/>
    <x v="9"/>
    <n v="117"/>
    <x v="16"/>
    <n v="300.31818181818181"/>
    <n v="0.51505978507643402"/>
    <x v="24"/>
    <n v="0.61500236630383331"/>
    <n v="0.61500236630383331"/>
    <n v="281.73333333333335"/>
    <d v="2022-05-25T00:00:00"/>
    <n v="664"/>
    <x v="3"/>
  </r>
  <r>
    <n v="329"/>
    <n v="490"/>
    <n v="176"/>
    <n v="3"/>
    <n v="528"/>
    <x v="87"/>
    <x v="15"/>
    <n v="32"/>
    <x v="11"/>
    <n v="262.63492063492066"/>
    <n v="-0.3298682461017769"/>
    <x v="47"/>
    <n v="-0.35055350553505538"/>
    <n v="-0.35055350553505538"/>
    <n v="271"/>
    <d v="2022-12-27T00:00:00"/>
    <n v="261"/>
    <x v="0"/>
  </r>
  <r>
    <n v="330"/>
    <n v="188"/>
    <n v="154"/>
    <n v="4"/>
    <n v="616"/>
    <x v="244"/>
    <x v="18"/>
    <n v="187"/>
    <x v="15"/>
    <n v="294.95238095238096"/>
    <n v="-0.47788182111721023"/>
    <x v="74"/>
    <n v="-0.20413436692506459"/>
    <n v="-0.20413436692506459"/>
    <n v="193.5"/>
    <d v="2022-10-14T00:00:00"/>
    <n v="395"/>
    <x v="2"/>
  </r>
  <r>
    <n v="331"/>
    <n v="17"/>
    <n v="212"/>
    <n v="3"/>
    <n v="636"/>
    <x v="245"/>
    <x v="16"/>
    <n v="111"/>
    <x v="7"/>
    <n v="249.02380952380952"/>
    <n v="-0.14867578162348216"/>
    <x v="7"/>
    <n v="-0.23246951219512202"/>
    <n v="-0.23246951219512202"/>
    <n v="276.21052631578948"/>
    <d v="2022-08-31T00:00:00"/>
    <n v="562"/>
    <x v="0"/>
  </r>
  <r>
    <n v="332"/>
    <n v="405"/>
    <n v="389"/>
    <n v="5"/>
    <n v="1945"/>
    <x v="118"/>
    <x v="6"/>
    <n v="231"/>
    <x v="16"/>
    <n v="300.31818181818181"/>
    <n v="0.29529287119721515"/>
    <x v="51"/>
    <n v="0.17463512833417205"/>
    <n v="0.17463512833417205"/>
    <n v="331.16666666666669"/>
    <d v="2022-07-10T00:00:00"/>
    <n v="257"/>
    <x v="2"/>
  </r>
  <r>
    <n v="333"/>
    <n v="23"/>
    <n v="476"/>
    <n v="3"/>
    <n v="1428"/>
    <x v="246"/>
    <x v="2"/>
    <n v="283"/>
    <x v="6"/>
    <n v="258.5128205128205"/>
    <n v="0.8413013291013689"/>
    <x v="26"/>
    <n v="1.1996303142329019"/>
    <n v="1.1996303142329019"/>
    <n v="216.4"/>
    <d v="2022-11-24T00:00:00"/>
    <n v="213"/>
    <x v="4"/>
  </r>
  <r>
    <n v="334"/>
    <n v="99"/>
    <n v="51"/>
    <n v="5"/>
    <n v="255"/>
    <x v="56"/>
    <x v="8"/>
    <n v="265"/>
    <x v="4"/>
    <n v="250.48780487804879"/>
    <n v="-0.79639727361246349"/>
    <x v="75"/>
    <n v="-0.75480769230769229"/>
    <n v="-0.75480769230769229"/>
    <n v="208"/>
    <d v="2022-07-14T00:00:00"/>
    <n v="667"/>
    <x v="0"/>
  </r>
  <r>
    <n v="335"/>
    <n v="196"/>
    <n v="452"/>
    <n v="2"/>
    <n v="904"/>
    <x v="209"/>
    <x v="0"/>
    <n v="136"/>
    <x v="17"/>
    <n v="267.85483870967744"/>
    <n v="0.68748118263382896"/>
    <x v="27"/>
    <n v="0.56814802577234436"/>
    <n v="0.56814802577234436"/>
    <n v="288.23809523809524"/>
    <d v="2022-10-26T00:00:00"/>
    <n v="477"/>
    <x v="3"/>
  </r>
  <r>
    <n v="336"/>
    <n v="415"/>
    <n v="222"/>
    <n v="3"/>
    <n v="666"/>
    <x v="247"/>
    <x v="17"/>
    <n v="395"/>
    <x v="14"/>
    <n v="273.72549019607845"/>
    <n v="-0.18896848137535827"/>
    <x v="22"/>
    <n v="-0.20781648258283769"/>
    <n v="-0.20781648258283769"/>
    <n v="280.23809523809524"/>
    <d v="2022-11-25T00:00:00"/>
    <n v="271"/>
    <x v="0"/>
  </r>
  <r>
    <n v="337"/>
    <n v="328"/>
    <n v="100"/>
    <n v="1"/>
    <n v="100"/>
    <x v="93"/>
    <x v="5"/>
    <n v="391"/>
    <x v="14"/>
    <n v="273.72549019607845"/>
    <n v="-0.63467048710601714"/>
    <x v="58"/>
    <n v="-0.58649207443142659"/>
    <n v="-0.58649207443142659"/>
    <n v="241.83333333333334"/>
    <d v="2022-04-24T00:00:00"/>
    <n v="402"/>
    <x v="4"/>
  </r>
  <r>
    <n v="338"/>
    <n v="271"/>
    <n v="382"/>
    <n v="1"/>
    <n v="382"/>
    <x v="248"/>
    <x v="1"/>
    <n v="355"/>
    <x v="11"/>
    <n v="262.63492063492066"/>
    <n v="0.45449051130182516"/>
    <x v="47"/>
    <n v="0.40959409594095941"/>
    <n v="0.40959409594095941"/>
    <n v="271"/>
    <d v="2022-03-11T00:00:00"/>
    <n v="551"/>
    <x v="2"/>
  </r>
  <r>
    <n v="339"/>
    <n v="204"/>
    <n v="279"/>
    <n v="4"/>
    <n v="1116"/>
    <x v="249"/>
    <x v="4"/>
    <n v="277"/>
    <x v="2"/>
    <n v="283.468085106383"/>
    <n v="-1.5762215717180839E-2"/>
    <x v="2"/>
    <n v="0.2002868068833652"/>
    <n v="0.2002868068833652"/>
    <n v="232.44444444444446"/>
    <d v="2022-07-08T00:00:00"/>
    <n v="477"/>
    <x v="2"/>
  </r>
  <r>
    <n v="340"/>
    <n v="60"/>
    <n v="500"/>
    <n v="2"/>
    <n v="1000"/>
    <x v="30"/>
    <x v="19"/>
    <n v="145"/>
    <x v="7"/>
    <n v="249.02380952380952"/>
    <n v="1.0078401376804664"/>
    <x v="7"/>
    <n v="0.8102134146341462"/>
    <n v="0.8102134146341462"/>
    <n v="276.21052631578948"/>
    <d v="2022-04-02T00:00:00"/>
    <n v="472"/>
    <x v="3"/>
  </r>
  <r>
    <n v="341"/>
    <n v="76"/>
    <n v="92"/>
    <n v="2"/>
    <n v="184"/>
    <x v="250"/>
    <x v="0"/>
    <n v="104"/>
    <x v="2"/>
    <n v="283.468085106383"/>
    <n v="-0.67544847256623886"/>
    <x v="2"/>
    <n v="-0.60420650095602291"/>
    <n v="-0.60420650095602291"/>
    <n v="232.44444444444446"/>
    <d v="2022-07-30T00:00:00"/>
    <n v="460"/>
    <x v="0"/>
  </r>
  <r>
    <n v="342"/>
    <n v="201"/>
    <n v="179"/>
    <n v="5"/>
    <n v="895"/>
    <x v="251"/>
    <x v="6"/>
    <n v="109"/>
    <x v="2"/>
    <n v="283.468085106383"/>
    <n v="-0.36853561510170385"/>
    <x v="36"/>
    <n v="-0.28256513026052099"/>
    <n v="-0.28256513026052099"/>
    <n v="249.5"/>
    <d v="2022-06-20T00:00:00"/>
    <n v="359"/>
    <x v="3"/>
  </r>
  <r>
    <n v="343"/>
    <n v="462"/>
    <n v="209"/>
    <n v="4"/>
    <n v="836"/>
    <x v="17"/>
    <x v="14"/>
    <n v="369"/>
    <x v="13"/>
    <n v="258.375"/>
    <n v="-0.19109820996613447"/>
    <x v="20"/>
    <n v="-0.22508178844056703"/>
    <n v="-0.22508178844056703"/>
    <n v="269.70588235294116"/>
    <d v="2022-04-27T00:00:00"/>
    <n v="438"/>
    <x v="2"/>
  </r>
  <r>
    <n v="344"/>
    <n v="210"/>
    <n v="486"/>
    <n v="5"/>
    <n v="2430"/>
    <x v="252"/>
    <x v="3"/>
    <n v="78"/>
    <x v="19"/>
    <n v="286.92307692307691"/>
    <n v="0.69383378016085806"/>
    <x v="40"/>
    <n v="0.77642400243679566"/>
    <n v="0.77642400243679566"/>
    <n v="273.58333333333331"/>
    <d v="2022-04-07T00:00:00"/>
    <n v="692"/>
    <x v="3"/>
  </r>
  <r>
    <n v="345"/>
    <n v="404"/>
    <n v="123"/>
    <n v="1"/>
    <n v="123"/>
    <x v="253"/>
    <x v="12"/>
    <n v="298"/>
    <x v="9"/>
    <n v="263.25423728813558"/>
    <n v="-0.53277105330929686"/>
    <x v="9"/>
    <n v="-0.52285376960701635"/>
    <n v="-0.52285376960701635"/>
    <n v="257.78260869565219"/>
    <d v="2022-09-17T00:00:00"/>
    <n v="525"/>
    <x v="3"/>
  </r>
  <r>
    <n v="346"/>
    <n v="178"/>
    <n v="179"/>
    <n v="1"/>
    <n v="179"/>
    <x v="254"/>
    <x v="13"/>
    <n v="130"/>
    <x v="9"/>
    <n v="263.25423728813558"/>
    <n v="-0.3200489312387329"/>
    <x v="9"/>
    <n v="-0.30561646146061738"/>
    <n v="-0.30561646146061738"/>
    <n v="257.78260869565219"/>
    <d v="2022-10-29T00:00:00"/>
    <n v="75"/>
    <x v="4"/>
  </r>
  <r>
    <n v="347"/>
    <n v="423"/>
    <n v="218"/>
    <n v="3"/>
    <n v="654"/>
    <x v="255"/>
    <x v="8"/>
    <n v="66"/>
    <x v="14"/>
    <n v="273.72549019607845"/>
    <n v="-0.20358166189111759"/>
    <x v="22"/>
    <n v="-0.22209005947323701"/>
    <n v="-0.22209005947323701"/>
    <n v="280.23809523809524"/>
    <d v="2022-08-04T00:00:00"/>
    <n v="259"/>
    <x v="2"/>
  </r>
  <r>
    <n v="348"/>
    <n v="70"/>
    <n v="51"/>
    <n v="1"/>
    <n v="51"/>
    <x v="121"/>
    <x v="1"/>
    <n v="261"/>
    <x v="13"/>
    <n v="258.375"/>
    <n v="-0.8026124818577649"/>
    <x v="34"/>
    <n v="-0.71911880409126672"/>
    <n v="-0.71911880409126672"/>
    <n v="181.57142857142858"/>
    <d v="2022-10-14T00:00:00"/>
    <n v="466"/>
    <x v="2"/>
  </r>
  <r>
    <n v="349"/>
    <n v="335"/>
    <n v="392"/>
    <n v="5"/>
    <n v="1960"/>
    <x v="256"/>
    <x v="8"/>
    <n v="307"/>
    <x v="16"/>
    <n v="300.31818181818181"/>
    <n v="0.30528227637354322"/>
    <x v="51"/>
    <n v="0.18369401107196781"/>
    <n v="0.18369401107196781"/>
    <n v="331.16666666666669"/>
    <d v="2022-07-22T00:00:00"/>
    <n v="453"/>
    <x v="1"/>
  </r>
  <r>
    <n v="350"/>
    <n v="427"/>
    <n v="273"/>
    <n v="5"/>
    <n v="1365"/>
    <x v="48"/>
    <x v="14"/>
    <n v="190"/>
    <x v="16"/>
    <n v="300.31818181818181"/>
    <n v="-9.0964128954139523E-2"/>
    <x v="57"/>
    <n v="-0.13771320277953258"/>
    <n v="-0.13771320277953258"/>
    <n v="316.60000000000002"/>
    <d v="2022-05-08T00:00:00"/>
    <n v="709"/>
    <x v="1"/>
  </r>
  <r>
    <n v="351"/>
    <n v="137"/>
    <n v="154"/>
    <n v="1"/>
    <n v="154"/>
    <x v="164"/>
    <x v="16"/>
    <n v="144"/>
    <x v="12"/>
    <n v="274.16279069767444"/>
    <n v="-0.43828993129188232"/>
    <x v="18"/>
    <n v="-0.39295392953929542"/>
    <n v="-0.39295392953929542"/>
    <n v="253.6875"/>
    <d v="2022-05-24T00:00:00"/>
    <n v="488"/>
    <x v="3"/>
  </r>
  <r>
    <n v="352"/>
    <n v="303"/>
    <n v="68"/>
    <n v="4"/>
    <n v="272"/>
    <x v="36"/>
    <x v="16"/>
    <n v="76"/>
    <x v="12"/>
    <n v="274.16279069767444"/>
    <n v="-0.75197217745355838"/>
    <x v="65"/>
    <n v="-0.73674806432400242"/>
    <n v="-0.73674806432400242"/>
    <n v="258.30769230769232"/>
    <d v="2022-01-14T00:00:00"/>
    <n v="372"/>
    <x v="1"/>
  </r>
  <r>
    <n v="353"/>
    <n v="23"/>
    <n v="380"/>
    <n v="1"/>
    <n v="380"/>
    <x v="217"/>
    <x v="8"/>
    <n v="84"/>
    <x v="6"/>
    <n v="258.5128205128205"/>
    <n v="0.46994643919857171"/>
    <x v="26"/>
    <n v="0.75600739371534198"/>
    <n v="0.75600739371534198"/>
    <n v="216.4"/>
    <d v="2022-09-01T00:00:00"/>
    <n v="394"/>
    <x v="4"/>
  </r>
  <r>
    <n v="354"/>
    <n v="398"/>
    <n v="417"/>
    <n v="4"/>
    <n v="1668"/>
    <x v="128"/>
    <x v="15"/>
    <n v="81"/>
    <x v="5"/>
    <n v="268.60344827586209"/>
    <n v="0.55247448488349682"/>
    <x v="5"/>
    <n v="0.47888728804167124"/>
    <n v="0.47888728804167124"/>
    <n v="281.96875"/>
    <d v="2022-09-21T00:00:00"/>
    <n v="342"/>
    <x v="2"/>
  </r>
  <r>
    <n v="355"/>
    <n v="8"/>
    <n v="404"/>
    <n v="1"/>
    <n v="404"/>
    <x v="93"/>
    <x v="14"/>
    <n v="157"/>
    <x v="3"/>
    <n v="265.47674418604652"/>
    <n v="0.52179054793920554"/>
    <x v="16"/>
    <n v="0.46019341603985531"/>
    <n v="0.46019341603985531"/>
    <n v="276.67567567567568"/>
    <d v="2022-08-10T00:00:00"/>
    <n v="294"/>
    <x v="2"/>
  </r>
  <r>
    <n v="356"/>
    <n v="485"/>
    <n v="193"/>
    <n v="1"/>
    <n v="193"/>
    <x v="175"/>
    <x v="12"/>
    <n v="57"/>
    <x v="3"/>
    <n v="265.47674418604652"/>
    <n v="-0.27300600061320135"/>
    <x v="3"/>
    <n v="-0.18315820198482202"/>
    <n v="-0.18315820198482202"/>
    <n v="236.27586206896552"/>
    <d v="2022-04-18T00:00:00"/>
    <n v="436"/>
    <x v="2"/>
  </r>
  <r>
    <n v="357"/>
    <n v="60"/>
    <n v="320"/>
    <n v="4"/>
    <n v="1280"/>
    <x v="257"/>
    <x v="10"/>
    <n v="273"/>
    <x v="7"/>
    <n v="249.02380952380952"/>
    <n v="0.28501768811549866"/>
    <x v="7"/>
    <n v="0.15853658536585358"/>
    <n v="0.15853658536585358"/>
    <n v="276.21052631578948"/>
    <d v="2022-02-07T00:00:00"/>
    <n v="693"/>
    <x v="0"/>
  </r>
  <r>
    <n v="358"/>
    <n v="290"/>
    <n v="470"/>
    <n v="5"/>
    <n v="2350"/>
    <x v="103"/>
    <x v="12"/>
    <n v="479"/>
    <x v="0"/>
    <n v="252.76271186440678"/>
    <n v="0.85945148528129822"/>
    <x v="0"/>
    <n v="0.95426195426195437"/>
    <n v="0.95426195426195437"/>
    <n v="240.5"/>
    <d v="2022-08-20T00:00:00"/>
    <n v="246"/>
    <x v="2"/>
  </r>
  <r>
    <n v="359"/>
    <n v="386"/>
    <n v="424"/>
    <n v="3"/>
    <n v="1272"/>
    <x v="218"/>
    <x v="19"/>
    <n v="406"/>
    <x v="18"/>
    <n v="255.11627906976744"/>
    <n v="0.6619872379216043"/>
    <x v="67"/>
    <n v="0.68309626199139939"/>
    <n v="0.68309626199139939"/>
    <n v="251.91666666666666"/>
    <d v="2022-11-30T00:00:00"/>
    <n v="271"/>
    <x v="3"/>
  </r>
  <r>
    <n v="360"/>
    <n v="348"/>
    <n v="147"/>
    <n v="4"/>
    <n v="588"/>
    <x v="201"/>
    <x v="14"/>
    <n v="157"/>
    <x v="14"/>
    <n v="273.72549019607845"/>
    <n v="-0.4629656160458453"/>
    <x v="63"/>
    <n v="-0.44793444861727549"/>
    <n v="-0.44793444861727549"/>
    <n v="266.27272727272725"/>
    <d v="2022-08-10T00:00:00"/>
    <n v="223"/>
    <x v="2"/>
  </r>
  <r>
    <n v="361"/>
    <n v="350"/>
    <n v="319"/>
    <n v="3"/>
    <n v="957"/>
    <x v="258"/>
    <x v="0"/>
    <n v="56"/>
    <x v="12"/>
    <n v="274.16279069767444"/>
    <n v="0.16354228518110103"/>
    <x v="50"/>
    <n v="0.13657957244655572"/>
    <n v="0.13657957244655572"/>
    <n v="280.66666666666669"/>
    <d v="2022-04-11T00:00:00"/>
    <n v="723"/>
    <x v="4"/>
  </r>
  <r>
    <n v="362"/>
    <n v="126"/>
    <n v="479"/>
    <n v="2"/>
    <n v="958"/>
    <x v="210"/>
    <x v="16"/>
    <n v="10"/>
    <x v="0"/>
    <n v="252.76271186440678"/>
    <n v="0.89505800308455719"/>
    <x v="45"/>
    <n v="0.63251804330392924"/>
    <n v="0.63251804330392924"/>
    <n v="293.41176470588238"/>
    <d v="2022-11-16T00:00:00"/>
    <n v="164"/>
    <x v="3"/>
  </r>
  <r>
    <n v="363"/>
    <n v="258"/>
    <n v="181"/>
    <n v="5"/>
    <n v="905"/>
    <x v="259"/>
    <x v="19"/>
    <n v="174"/>
    <x v="6"/>
    <n v="258.5128205128205"/>
    <n v="-0.29984130132910136"/>
    <x v="26"/>
    <n v="-0.16358595194085035"/>
    <n v="-0.16358595194085035"/>
    <n v="216.4"/>
    <d v="2022-08-06T00:00:00"/>
    <n v="275"/>
    <x v="4"/>
  </r>
  <r>
    <n v="364"/>
    <n v="325"/>
    <n v="361"/>
    <n v="5"/>
    <n v="1805"/>
    <x v="244"/>
    <x v="3"/>
    <n v="110"/>
    <x v="5"/>
    <n v="268.60344827586209"/>
    <n v="0.34398870274086901"/>
    <x v="28"/>
    <n v="0.48670909771621118"/>
    <n v="0.48670909771621118"/>
    <n v="242.81818181818181"/>
    <d v="2022-01-19T00:00:00"/>
    <n v="663"/>
    <x v="0"/>
  </r>
  <r>
    <n v="365"/>
    <n v="320"/>
    <n v="254"/>
    <n v="1"/>
    <n v="254"/>
    <x v="72"/>
    <x v="11"/>
    <n v="72"/>
    <x v="17"/>
    <n v="267.85483870967744"/>
    <n v="-5.172517613054739E-2"/>
    <x v="35"/>
    <n v="1.494746189137186E-2"/>
    <n v="1.494746189137186E-2"/>
    <n v="250.25925925925927"/>
    <d v="2022-12-11T00:00:00"/>
    <n v="410"/>
    <x v="4"/>
  </r>
  <r>
    <n v="366"/>
    <n v="329"/>
    <n v="187"/>
    <n v="4"/>
    <n v="748"/>
    <x v="260"/>
    <x v="12"/>
    <n v="307"/>
    <x v="1"/>
    <n v="264.8679245283019"/>
    <n v="-0.29398774754238499"/>
    <x v="64"/>
    <n v="-0.21069293000351741"/>
    <n v="-0.21069293000351741"/>
    <n v="236.91666666666666"/>
    <d v="2022-07-22T00:00:00"/>
    <n v="510"/>
    <x v="1"/>
  </r>
  <r>
    <n v="367"/>
    <n v="226"/>
    <n v="155"/>
    <n v="4"/>
    <n v="620"/>
    <x v="167"/>
    <x v="13"/>
    <n v="202"/>
    <x v="11"/>
    <n v="262.63492063492066"/>
    <n v="-0.40982714855554214"/>
    <x v="17"/>
    <n v="-0.50214132762312635"/>
    <n v="-0.50214132762312635"/>
    <n v="311.33333333333331"/>
    <d v="2022-07-24T00:00:00"/>
    <n v="201"/>
    <x v="1"/>
  </r>
  <r>
    <n v="368"/>
    <n v="270"/>
    <n v="78"/>
    <n v="4"/>
    <n v="312"/>
    <x v="261"/>
    <x v="16"/>
    <n v="157"/>
    <x v="1"/>
    <n v="264.8679245283019"/>
    <n v="-0.70551360592677015"/>
    <x v="64"/>
    <n v="-0.67077031304959545"/>
    <n v="-0.67077031304959545"/>
    <n v="236.91666666666666"/>
    <d v="2022-08-10T00:00:00"/>
    <n v="149"/>
    <x v="2"/>
  </r>
  <r>
    <n v="369"/>
    <n v="233"/>
    <n v="478"/>
    <n v="2"/>
    <n v="956"/>
    <x v="37"/>
    <x v="14"/>
    <n v="270"/>
    <x v="9"/>
    <n v="263.25423728813558"/>
    <n v="0.8157352562451714"/>
    <x v="9"/>
    <n v="0.85427559453533464"/>
    <n v="0.85427559453533464"/>
    <n v="257.78260869565219"/>
    <d v="2022-09-23T00:00:00"/>
    <n v="302"/>
    <x v="4"/>
  </r>
  <r>
    <n v="370"/>
    <n v="178"/>
    <n v="176"/>
    <n v="5"/>
    <n v="880"/>
    <x v="87"/>
    <x v="9"/>
    <n v="65"/>
    <x v="9"/>
    <n v="263.25423728813558"/>
    <n v="-0.33144475920679883"/>
    <x v="9"/>
    <n v="-0.31725417439703152"/>
    <n v="-0.31725417439703152"/>
    <n v="257.78260869565219"/>
    <d v="2022-03-03T00:00:00"/>
    <n v="560"/>
    <x v="3"/>
  </r>
  <r>
    <n v="371"/>
    <n v="293"/>
    <n v="179"/>
    <n v="4"/>
    <n v="716"/>
    <x v="240"/>
    <x v="3"/>
    <n v="38"/>
    <x v="17"/>
    <n v="267.85483870967744"/>
    <n v="-0.33172758475341724"/>
    <x v="35"/>
    <n v="-0.28474174929702534"/>
    <n v="-0.28474174929702534"/>
    <n v="250.25925925925927"/>
    <d v="2022-09-15T00:00:00"/>
    <n v="439"/>
    <x v="4"/>
  </r>
  <r>
    <n v="372"/>
    <n v="286"/>
    <n v="122"/>
    <n v="5"/>
    <n v="610"/>
    <x v="191"/>
    <x v="5"/>
    <n v="356"/>
    <x v="9"/>
    <n v="263.25423728813558"/>
    <n v="-0.53656966263198558"/>
    <x v="9"/>
    <n v="-0.52673300725248784"/>
    <n v="-0.52673300725248784"/>
    <n v="257.78260869565219"/>
    <d v="2022-01-09T00:00:00"/>
    <n v="577"/>
    <x v="4"/>
  </r>
  <r>
    <n v="373"/>
    <n v="11"/>
    <n v="199"/>
    <n v="4"/>
    <n v="796"/>
    <x v="262"/>
    <x v="9"/>
    <n v="296"/>
    <x v="16"/>
    <n v="300.31818181818181"/>
    <n v="-0.33736945663690021"/>
    <x v="57"/>
    <n v="-0.37144662034112452"/>
    <n v="-0.37144662034112452"/>
    <n v="316.60000000000002"/>
    <d v="2022-07-16T00:00:00"/>
    <n v="616"/>
    <x v="0"/>
  </r>
  <r>
    <n v="374"/>
    <n v="441"/>
    <n v="173"/>
    <n v="3"/>
    <n v="519"/>
    <x v="6"/>
    <x v="6"/>
    <n v="62"/>
    <x v="8"/>
    <n v="271.18181818181819"/>
    <n v="-0.36205162587998663"/>
    <x v="14"/>
    <n v="-0.33501921909771393"/>
    <n v="-0.33501921909771393"/>
    <n v="260.15789473684208"/>
    <d v="2022-04-20T00:00:00"/>
    <n v="678"/>
    <x v="2"/>
  </r>
  <r>
    <n v="375"/>
    <n v="19"/>
    <n v="142"/>
    <n v="3"/>
    <n v="426"/>
    <x v="211"/>
    <x v="2"/>
    <n v="18"/>
    <x v="10"/>
    <n v="271.74545454545455"/>
    <n v="-0.47745216111334132"/>
    <x v="37"/>
    <n v="-0.47861771058315339"/>
    <n v="-0.47861771058315339"/>
    <n v="272.35294117647061"/>
    <d v="2022-01-17T00:00:00"/>
    <n v="579"/>
    <x v="3"/>
  </r>
  <r>
    <n v="376"/>
    <n v="340"/>
    <n v="157"/>
    <n v="2"/>
    <n v="314"/>
    <x v="263"/>
    <x v="10"/>
    <n v="376"/>
    <x v="11"/>
    <n v="262.63492063492066"/>
    <n v="-0.40221201498851689"/>
    <x v="17"/>
    <n v="-0.49571734475374729"/>
    <n v="-0.49571734475374729"/>
    <n v="311.33333333333331"/>
    <d v="2022-06-18T00:00:00"/>
    <n v="345"/>
    <x v="1"/>
  </r>
  <r>
    <n v="377"/>
    <n v="142"/>
    <n v="160"/>
    <n v="4"/>
    <n v="640"/>
    <x v="29"/>
    <x v="2"/>
    <n v="459"/>
    <x v="12"/>
    <n v="274.16279069767444"/>
    <n v="-0.41640512342013747"/>
    <x v="65"/>
    <n v="-0.3805836807623586"/>
    <n v="-0.3805836807623586"/>
    <n v="258.30769230769232"/>
    <d v="2022-07-01T00:00:00"/>
    <n v="671"/>
    <x v="2"/>
  </r>
  <r>
    <n v="378"/>
    <n v="452"/>
    <n v="325"/>
    <n v="2"/>
    <n v="650"/>
    <x v="264"/>
    <x v="7"/>
    <n v="88"/>
    <x v="12"/>
    <n v="274.16279069767444"/>
    <n v="0.18542709305284588"/>
    <x v="18"/>
    <n v="0.28110372012811036"/>
    <n v="0.28110372012811036"/>
    <n v="253.6875"/>
    <d v="2022-03-10T00:00:00"/>
    <n v="530"/>
    <x v="3"/>
  </r>
  <r>
    <n v="379"/>
    <n v="340"/>
    <n v="457"/>
    <n v="1"/>
    <n v="457"/>
    <x v="212"/>
    <x v="5"/>
    <n v="325"/>
    <x v="11"/>
    <n v="262.63492063492066"/>
    <n v="0.74005802006527244"/>
    <x v="17"/>
    <n v="0.4678800856531049"/>
    <n v="0.4678800856531049"/>
    <n v="311.33333333333331"/>
    <d v="2022-11-10T00:00:00"/>
    <n v="70"/>
    <x v="4"/>
  </r>
  <r>
    <n v="380"/>
    <n v="466"/>
    <n v="425"/>
    <n v="5"/>
    <n v="2125"/>
    <x v="265"/>
    <x v="13"/>
    <n v="129"/>
    <x v="12"/>
    <n v="274.16279069767444"/>
    <n v="0.55017389091525981"/>
    <x v="76"/>
    <n v="0.15113759479956657"/>
    <n v="0.15113759479956657"/>
    <n v="369.2"/>
    <d v="2022-11-03T00:00:00"/>
    <n v="264"/>
    <x v="1"/>
  </r>
  <r>
    <n v="381"/>
    <n v="71"/>
    <n v="125"/>
    <n v="4"/>
    <n v="500"/>
    <x v="248"/>
    <x v="9"/>
    <n v="19"/>
    <x v="2"/>
    <n v="283.468085106383"/>
    <n v="-0.55903325076934629"/>
    <x v="36"/>
    <n v="-0.49899799599198402"/>
    <n v="-0.49899799599198402"/>
    <n v="249.5"/>
    <d v="2022-12-07T00:00:00"/>
    <n v="280"/>
    <x v="2"/>
  </r>
  <r>
    <n v="382"/>
    <n v="451"/>
    <n v="227"/>
    <n v="3"/>
    <n v="681"/>
    <x v="266"/>
    <x v="10"/>
    <n v="304"/>
    <x v="13"/>
    <n v="258.375"/>
    <n v="-0.12143202709240442"/>
    <x v="20"/>
    <n v="-0.15834242093784068"/>
    <n v="-0.15834242093784068"/>
    <n v="269.70588235294116"/>
    <d v="2022-11-21T00:00:00"/>
    <n v="212"/>
    <x v="2"/>
  </r>
  <r>
    <n v="383"/>
    <n v="116"/>
    <n v="426"/>
    <n v="5"/>
    <n v="2130"/>
    <x v="69"/>
    <x v="17"/>
    <n v="285"/>
    <x v="1"/>
    <n v="264.8679245283019"/>
    <n v="0.60834876763071666"/>
    <x v="13"/>
    <n v="0.32773915128266595"/>
    <n v="0.32773915128266595"/>
    <n v="320.84615384615387"/>
    <d v="2022-12-27T00:00:00"/>
    <n v="71"/>
    <x v="4"/>
  </r>
  <r>
    <n v="384"/>
    <n v="480"/>
    <n v="70"/>
    <n v="1"/>
    <n v="70"/>
    <x v="212"/>
    <x v="2"/>
    <n v="464"/>
    <x v="15"/>
    <n v="294.95238095238096"/>
    <n v="-0.76267355505327739"/>
    <x v="53"/>
    <n v="-0.78297632468996614"/>
    <n v="-0.78297632468996614"/>
    <n v="322.54545454545456"/>
    <d v="2022-09-23T00:00:00"/>
    <n v="118"/>
    <x v="2"/>
  </r>
  <r>
    <n v="385"/>
    <n v="409"/>
    <n v="386"/>
    <n v="1"/>
    <n v="386"/>
    <x v="231"/>
    <x v="5"/>
    <n v="461"/>
    <x v="12"/>
    <n v="274.16279069767444"/>
    <n v="0.4079226397489184"/>
    <x v="65"/>
    <n v="0.49434187016080999"/>
    <n v="0.49434187016080999"/>
    <n v="258.30769230769232"/>
    <d v="2022-04-16T00:00:00"/>
    <n v="525"/>
    <x v="0"/>
  </r>
  <r>
    <n v="386"/>
    <n v="129"/>
    <n v="235"/>
    <n v="2"/>
    <n v="470"/>
    <x v="267"/>
    <x v="2"/>
    <n v="149"/>
    <x v="10"/>
    <n v="271.74545454545455"/>
    <n v="-0.13522012578616349"/>
    <x v="10"/>
    <n v="-0.24485861182519275"/>
    <n v="-0.24485861182519275"/>
    <n v="311.2"/>
    <d v="2022-11-17T00:00:00"/>
    <n v="325"/>
    <x v="4"/>
  </r>
  <r>
    <n v="387"/>
    <n v="283"/>
    <n v="107"/>
    <n v="3"/>
    <n v="321"/>
    <x v="152"/>
    <x v="10"/>
    <n v="222"/>
    <x v="17"/>
    <n v="267.85483870967744"/>
    <n v="-0.60052989703137238"/>
    <x v="27"/>
    <n v="-0.62877911779283002"/>
    <n v="-0.62877911779283002"/>
    <n v="288.23809523809524"/>
    <d v="2022-05-13T00:00:00"/>
    <n v="719"/>
    <x v="3"/>
  </r>
  <r>
    <n v="388"/>
    <n v="36"/>
    <n v="83"/>
    <n v="4"/>
    <n v="332"/>
    <x v="176"/>
    <x v="5"/>
    <n v="333"/>
    <x v="3"/>
    <n v="265.47674418604652"/>
    <n v="-0.6873549121808068"/>
    <x v="29"/>
    <n v="-0.64764150943396226"/>
    <n v="-0.64764150943396226"/>
    <n v="235.55555555555554"/>
    <d v="2022-10-23T00:00:00"/>
    <n v="408"/>
    <x v="2"/>
  </r>
  <r>
    <n v="389"/>
    <n v="290"/>
    <n v="50"/>
    <n v="5"/>
    <n v="250"/>
    <x v="268"/>
    <x v="9"/>
    <n v="495"/>
    <x v="0"/>
    <n v="252.76271186440678"/>
    <n v="-0.80218601220411723"/>
    <x v="0"/>
    <n v="-0.79209979209979209"/>
    <n v="-0.79209979209979209"/>
    <n v="240.5"/>
    <d v="2022-04-03T00:00:00"/>
    <n v="398"/>
    <x v="0"/>
  </r>
  <r>
    <n v="390"/>
    <n v="229"/>
    <n v="269"/>
    <n v="5"/>
    <n v="1345"/>
    <x v="199"/>
    <x v="6"/>
    <n v="278"/>
    <x v="10"/>
    <n v="271.74545454545455"/>
    <n v="-1.0103037602034015E-2"/>
    <x v="12"/>
    <n v="0.26402349486049936"/>
    <n v="0.26402349486049936"/>
    <n v="212.8125"/>
    <d v="2022-12-25T00:00:00"/>
    <n v="91"/>
    <x v="0"/>
  </r>
  <r>
    <n v="391"/>
    <n v="313"/>
    <n v="385"/>
    <n v="4"/>
    <n v="1540"/>
    <x v="269"/>
    <x v="10"/>
    <n v="246"/>
    <x v="17"/>
    <n v="267.85483870967744"/>
    <n v="0.43734569759739861"/>
    <x v="35"/>
    <n v="0.53840461743377244"/>
    <n v="0.53840461743377244"/>
    <n v="250.25925925925927"/>
    <d v="2022-09-01T00:00:00"/>
    <n v="177"/>
    <x v="0"/>
  </r>
  <r>
    <n v="392"/>
    <n v="368"/>
    <n v="64"/>
    <n v="5"/>
    <n v="320"/>
    <x v="270"/>
    <x v="4"/>
    <n v="480"/>
    <x v="11"/>
    <n v="262.63492063492066"/>
    <n v="-0.75631572585519158"/>
    <x v="47"/>
    <n v="-0.76383763837638374"/>
    <n v="-0.76383763837638374"/>
    <n v="271"/>
    <d v="2022-01-07T00:00:00"/>
    <n v="772"/>
    <x v="0"/>
  </r>
  <r>
    <n v="393"/>
    <n v="322"/>
    <n v="223"/>
    <n v="2"/>
    <n v="446"/>
    <x v="271"/>
    <x v="7"/>
    <n v="205"/>
    <x v="18"/>
    <n v="255.11627906976744"/>
    <n v="-0.1258887876025524"/>
    <x v="67"/>
    <n v="-0.11478663579225934"/>
    <n v="-0.11478663579225934"/>
    <n v="251.91666666666666"/>
    <d v="2022-12-23T00:00:00"/>
    <n v="336"/>
    <x v="2"/>
  </r>
  <r>
    <n v="394"/>
    <n v="206"/>
    <n v="226"/>
    <n v="2"/>
    <n v="452"/>
    <x v="131"/>
    <x v="7"/>
    <n v="357"/>
    <x v="15"/>
    <n v="294.95238095238096"/>
    <n v="-0.23377462060058118"/>
    <x v="41"/>
    <n v="-0.17751718560452889"/>
    <n v="-0.17751718560452889"/>
    <n v="274.77777777777777"/>
    <d v="2022-12-18T00:00:00"/>
    <n v="351"/>
    <x v="0"/>
  </r>
  <r>
    <n v="395"/>
    <n v="18"/>
    <n v="459"/>
    <n v="3"/>
    <n v="1377"/>
    <x v="272"/>
    <x v="8"/>
    <n v="152"/>
    <x v="6"/>
    <n v="258.5128205128205"/>
    <n v="0.77554056734774868"/>
    <x v="6"/>
    <n v="0.76100203114421139"/>
    <n v="0.76100203114421139"/>
    <n v="260.64705882352939"/>
    <d v="2022-08-18T00:00:00"/>
    <n v="551"/>
    <x v="1"/>
  </r>
  <r>
    <n v="396"/>
    <n v="145"/>
    <n v="455"/>
    <n v="3"/>
    <n v="1365"/>
    <x v="273"/>
    <x v="14"/>
    <n v="323"/>
    <x v="4"/>
    <n v="250.48780487804879"/>
    <n v="0.81645569620253156"/>
    <x v="75"/>
    <n v="1.1875"/>
    <n v="1.1875"/>
    <n v="208"/>
    <d v="2022-09-17T00:00:00"/>
    <n v="552"/>
    <x v="4"/>
  </r>
  <r>
    <n v="397"/>
    <n v="491"/>
    <n v="193"/>
    <n v="1"/>
    <n v="193"/>
    <x v="274"/>
    <x v="6"/>
    <n v="185"/>
    <x v="4"/>
    <n v="250.48780487804879"/>
    <n v="-0.2295034079844207"/>
    <x v="4"/>
    <n v="0.21231155778894473"/>
    <n v="0.21231155778894473"/>
    <n v="159.19999999999999"/>
    <d v="2022-05-02T00:00:00"/>
    <n v="649"/>
    <x v="0"/>
  </r>
  <r>
    <n v="398"/>
    <n v="258"/>
    <n v="113"/>
    <n v="1"/>
    <n v="113"/>
    <x v="148"/>
    <x v="16"/>
    <n v="314"/>
    <x v="6"/>
    <n v="258.5128205128205"/>
    <n v="-0.56288434834358259"/>
    <x v="26"/>
    <n v="-0.47781885397412205"/>
    <n v="-0.47781885397412205"/>
    <n v="216.4"/>
    <d v="2022-12-04T00:00:00"/>
    <n v="390"/>
    <x v="2"/>
  </r>
  <r>
    <n v="399"/>
    <n v="29"/>
    <n v="91"/>
    <n v="5"/>
    <n v="455"/>
    <x v="275"/>
    <x v="0"/>
    <n v="476"/>
    <x v="1"/>
    <n v="264.8679245283019"/>
    <n v="-0.65643254024789854"/>
    <x v="1"/>
    <n v="-0.61791462561231625"/>
    <n v="-0.61791462561231625"/>
    <n v="238.16666666666666"/>
    <d v="2022-05-22T00:00:00"/>
    <n v="672"/>
    <x v="3"/>
  </r>
  <r>
    <n v="400"/>
    <n v="321"/>
    <n v="61"/>
    <n v="5"/>
    <n v="305"/>
    <x v="42"/>
    <x v="12"/>
    <n v="375"/>
    <x v="10"/>
    <n v="271.74545454545455"/>
    <n v="-0.77552522414023817"/>
    <x v="12"/>
    <n v="-0.71336270190895745"/>
    <n v="-0.71336270190895745"/>
    <n v="212.8125"/>
    <d v="2022-04-23T00:00:00"/>
    <n v="430"/>
    <x v="2"/>
  </r>
  <r>
    <n v="401"/>
    <n v="50"/>
    <n v="95"/>
    <n v="4"/>
    <n v="380"/>
    <x v="129"/>
    <x v="12"/>
    <n v="376"/>
    <x v="5"/>
    <n v="268.60344827586209"/>
    <n v="-0.64631876243661335"/>
    <x v="28"/>
    <n v="-0.60876076375889177"/>
    <n v="-0.60876076375889177"/>
    <n v="242.81818181818181"/>
    <d v="2022-06-18T00:00:00"/>
    <n v="339"/>
    <x v="1"/>
  </r>
  <r>
    <n v="402"/>
    <n v="495"/>
    <n v="469"/>
    <n v="2"/>
    <n v="938"/>
    <x v="27"/>
    <x v="16"/>
    <n v="233"/>
    <x v="8"/>
    <n v="271.18181818181819"/>
    <n v="0.72946697955078776"/>
    <x v="8"/>
    <n v="0.60917030567685604"/>
    <n v="0.60917030567685604"/>
    <n v="291.45454545454544"/>
    <d v="2022-02-24T00:00:00"/>
    <n v="752"/>
    <x v="4"/>
  </r>
  <r>
    <n v="403"/>
    <n v="207"/>
    <n v="237"/>
    <n v="2"/>
    <n v="474"/>
    <x v="138"/>
    <x v="3"/>
    <n v="69"/>
    <x v="0"/>
    <n v="252.76271186440678"/>
    <n v="-6.2361697847515551E-2"/>
    <x v="68"/>
    <n v="9.7948378557246807E-2"/>
    <n v="9.7948378557246807E-2"/>
    <n v="215.85714285714286"/>
    <d v="2022-01-26T00:00:00"/>
    <n v="494"/>
    <x v="4"/>
  </r>
  <r>
    <n v="404"/>
    <n v="145"/>
    <n v="356"/>
    <n v="3"/>
    <n v="1068"/>
    <x v="276"/>
    <x v="0"/>
    <n v="254"/>
    <x v="4"/>
    <n v="250.48780487804879"/>
    <n v="0.42122687439143136"/>
    <x v="75"/>
    <n v="0.71153846153846145"/>
    <n v="0.71153846153846145"/>
    <n v="208"/>
    <d v="2022-10-28T00:00:00"/>
    <n v="66"/>
    <x v="1"/>
  </r>
  <r>
    <n v="405"/>
    <n v="249"/>
    <n v="275"/>
    <n v="3"/>
    <n v="825"/>
    <x v="103"/>
    <x v="15"/>
    <n v="219"/>
    <x v="8"/>
    <n v="271.18181818181819"/>
    <n v="1.4079785450888282E-2"/>
    <x v="14"/>
    <n v="5.7050374266639725E-2"/>
    <n v="5.7050374266639725E-2"/>
    <n v="260.15789473684208"/>
    <d v="2022-01-24T00:00:00"/>
    <n v="454"/>
    <x v="4"/>
  </r>
  <r>
    <n v="406"/>
    <n v="377"/>
    <n v="129"/>
    <n v="1"/>
    <n v="129"/>
    <x v="277"/>
    <x v="4"/>
    <n v="456"/>
    <x v="19"/>
    <n v="286.92307692307691"/>
    <n v="-0.55040214477211791"/>
    <x v="40"/>
    <n v="-0.52848004873591226"/>
    <n v="-0.52848004873591226"/>
    <n v="273.58333333333331"/>
    <d v="2022-02-26T00:00:00"/>
    <n v="613"/>
    <x v="2"/>
  </r>
  <r>
    <n v="407"/>
    <n v="427"/>
    <n v="499"/>
    <n v="4"/>
    <n v="1996"/>
    <x v="27"/>
    <x v="15"/>
    <n v="283"/>
    <x v="16"/>
    <n v="300.31818181818181"/>
    <n v="0.66157106099591356"/>
    <x v="57"/>
    <n v="0.57612128869235613"/>
    <n v="0.57612128869235613"/>
    <n v="316.60000000000002"/>
    <d v="2022-11-24T00:00:00"/>
    <n v="479"/>
    <x v="4"/>
  </r>
  <r>
    <n v="408"/>
    <n v="445"/>
    <n v="164"/>
    <n v="2"/>
    <n v="328"/>
    <x v="240"/>
    <x v="7"/>
    <n v="232"/>
    <x v="0"/>
    <n v="252.76271186440678"/>
    <n v="-0.35117012002950443"/>
    <x v="11"/>
    <n v="-0.31742508324084351"/>
    <n v="-0.31742508324084351"/>
    <n v="240.26666666666668"/>
    <d v="2022-12-28T00:00:00"/>
    <n v="335"/>
    <x v="4"/>
  </r>
  <r>
    <n v="409"/>
    <n v="336"/>
    <n v="265"/>
    <n v="3"/>
    <n v="795"/>
    <x v="278"/>
    <x v="1"/>
    <n v="434"/>
    <x v="14"/>
    <n v="273.72549019607845"/>
    <n v="-3.1876790830945634E-2"/>
    <x v="63"/>
    <n v="-4.7797883236598837E-3"/>
    <n v="-4.7797883236598837E-3"/>
    <n v="266.27272727272725"/>
    <d v="2022-06-18T00:00:00"/>
    <n v="394"/>
    <x v="3"/>
  </r>
  <r>
    <n v="410"/>
    <n v="96"/>
    <n v="386"/>
    <n v="4"/>
    <n v="1544"/>
    <x v="279"/>
    <x v="9"/>
    <n v="252"/>
    <x v="1"/>
    <n v="264.8679245283019"/>
    <n v="0.45733010400341922"/>
    <x v="69"/>
    <n v="0.41030325173547677"/>
    <n v="0.41030325173547677"/>
    <n v="273.7"/>
    <d v="2022-03-23T00:00:00"/>
    <n v="502"/>
    <x v="2"/>
  </r>
  <r>
    <n v="411"/>
    <n v="117"/>
    <n v="288"/>
    <n v="5"/>
    <n v="1440"/>
    <x v="280"/>
    <x v="11"/>
    <n v="372"/>
    <x v="3"/>
    <n v="265.47674418604652"/>
    <n v="8.4840786649730715E-2"/>
    <x v="29"/>
    <n v="0.22264150943396244"/>
    <n v="0.22264150943396244"/>
    <n v="235.55555555555554"/>
    <d v="2022-07-30T00:00:00"/>
    <n v="576"/>
    <x v="4"/>
  </r>
  <r>
    <n v="412"/>
    <n v="440"/>
    <n v="201"/>
    <n v="5"/>
    <n v="1005"/>
    <x v="281"/>
    <x v="14"/>
    <n v="432"/>
    <x v="12"/>
    <n v="274.16279069767444"/>
    <n v="-0.26685893629654767"/>
    <x v="65"/>
    <n v="-0.221858248957713"/>
    <n v="-0.221858248957713"/>
    <n v="258.30769230769232"/>
    <d v="2022-06-06T00:00:00"/>
    <n v="515"/>
    <x v="4"/>
  </r>
  <r>
    <n v="413"/>
    <n v="51"/>
    <n v="271"/>
    <n v="4"/>
    <n v="1084"/>
    <x v="282"/>
    <x v="7"/>
    <n v="221"/>
    <x v="19"/>
    <n v="286.92307692307691"/>
    <n v="-5.5495978552278724E-2"/>
    <x v="42"/>
    <n v="-0.13326226012793185"/>
    <n v="-0.13326226012793185"/>
    <n v="312.66666666666669"/>
    <d v="2022-09-16T00:00:00"/>
    <n v="385"/>
    <x v="4"/>
  </r>
  <r>
    <n v="414"/>
    <n v="398"/>
    <n v="419"/>
    <n v="2"/>
    <n v="838"/>
    <x v="165"/>
    <x v="16"/>
    <n v="164"/>
    <x v="5"/>
    <n v="268.60344827586209"/>
    <n v="0.55992040567430501"/>
    <x v="5"/>
    <n v="0.48598027263659538"/>
    <n v="0.48598027263659538"/>
    <n v="281.96875"/>
    <d v="2022-04-27T00:00:00"/>
    <n v="657"/>
    <x v="2"/>
  </r>
  <r>
    <n v="415"/>
    <n v="443"/>
    <n v="192"/>
    <n v="5"/>
    <n v="960"/>
    <x v="108"/>
    <x v="14"/>
    <n v="413"/>
    <x v="7"/>
    <n v="249.02380952380952"/>
    <n v="-0.22898938713070083"/>
    <x v="7"/>
    <n v="-0.30487804878048785"/>
    <n v="-0.30487804878048785"/>
    <n v="276.21052631578948"/>
    <d v="2022-05-18T00:00:00"/>
    <n v="542"/>
    <x v="2"/>
  </r>
  <r>
    <n v="416"/>
    <n v="118"/>
    <n v="193"/>
    <n v="2"/>
    <n v="386"/>
    <x v="53"/>
    <x v="3"/>
    <n v="148"/>
    <x v="0"/>
    <n v="252.76271186440678"/>
    <n v="-0.23643800710789242"/>
    <x v="0"/>
    <n v="-0.19750519750519746"/>
    <n v="-0.19750519750519746"/>
    <n v="240.5"/>
    <d v="2022-05-19T00:00:00"/>
    <n v="656"/>
    <x v="2"/>
  </r>
  <r>
    <n v="417"/>
    <n v="371"/>
    <n v="245"/>
    <n v="1"/>
    <n v="245"/>
    <x v="225"/>
    <x v="19"/>
    <n v="209"/>
    <x v="0"/>
    <n v="252.76271186440678"/>
    <n v="-3.0711459800174312E-2"/>
    <x v="45"/>
    <n v="-0.1649959903769046"/>
    <n v="-0.1649959903769046"/>
    <n v="293.41176470588238"/>
    <d v="2022-03-08T00:00:00"/>
    <n v="357"/>
    <x v="2"/>
  </r>
  <r>
    <n v="418"/>
    <n v="216"/>
    <n v="209"/>
    <n v="3"/>
    <n v="627"/>
    <x v="283"/>
    <x v="8"/>
    <n v="263"/>
    <x v="7"/>
    <n v="249.02380952380952"/>
    <n v="-0.16072282244956493"/>
    <x v="39"/>
    <n v="-5.9405940594059348E-2"/>
    <n v="-5.9405940594059348E-2"/>
    <n v="222.2"/>
    <d v="2022-02-20T00:00:00"/>
    <n v="745"/>
    <x v="4"/>
  </r>
  <r>
    <n v="419"/>
    <n v="390"/>
    <n v="120"/>
    <n v="1"/>
    <n v="120"/>
    <x v="105"/>
    <x v="6"/>
    <n v="449"/>
    <x v="5"/>
    <n v="268.60344827586209"/>
    <n v="-0.55324475255151162"/>
    <x v="32"/>
    <n v="-0.52789699570815452"/>
    <n v="-0.52789699570815452"/>
    <n v="254.18181818181819"/>
    <d v="2022-03-25T00:00:00"/>
    <n v="531"/>
    <x v="4"/>
  </r>
  <r>
    <n v="420"/>
    <n v="14"/>
    <n v="251"/>
    <n v="1"/>
    <n v="251"/>
    <x v="79"/>
    <x v="15"/>
    <n v="321"/>
    <x v="5"/>
    <n v="268.60344827586209"/>
    <n v="-6.5536940753578632E-2"/>
    <x v="49"/>
    <n v="-7.8053259871441738E-2"/>
    <n v="-7.8053259871441738E-2"/>
    <n v="272.25"/>
    <d v="2022-07-14T00:00:00"/>
    <n v="516"/>
    <x v="4"/>
  </r>
  <r>
    <n v="421"/>
    <n v="451"/>
    <n v="443"/>
    <n v="4"/>
    <n v="1772"/>
    <x v="95"/>
    <x v="18"/>
    <n v="101"/>
    <x v="13"/>
    <n v="258.375"/>
    <n v="0.71456216739235612"/>
    <x v="20"/>
    <n v="0.6425299890948748"/>
    <n v="0.6425299890948748"/>
    <n v="269.70588235294116"/>
    <d v="2022-06-15T00:00:00"/>
    <n v="483"/>
    <x v="2"/>
  </r>
  <r>
    <n v="422"/>
    <n v="312"/>
    <n v="234"/>
    <n v="1"/>
    <n v="234"/>
    <x v="284"/>
    <x v="9"/>
    <n v="124"/>
    <x v="16"/>
    <n v="300.31818181818181"/>
    <n v="-0.22082639624640532"/>
    <x v="51"/>
    <n v="-0.29340714645193766"/>
    <n v="-0.29340714645193766"/>
    <n v="331.16666666666669"/>
    <d v="2022-08-22T00:00:00"/>
    <n v="159"/>
    <x v="2"/>
  </r>
  <r>
    <n v="423"/>
    <n v="217"/>
    <n v="260"/>
    <n v="5"/>
    <n v="1300"/>
    <x v="180"/>
    <x v="4"/>
    <n v="257"/>
    <x v="10"/>
    <n v="271.74545454545455"/>
    <n v="-4.3222266827244726E-2"/>
    <x v="10"/>
    <n v="-0.16452442159383029"/>
    <n v="-0.16452442159383029"/>
    <n v="311.2"/>
    <d v="2022-05-20T00:00:00"/>
    <n v="317"/>
    <x v="2"/>
  </r>
  <r>
    <n v="424"/>
    <n v="10"/>
    <n v="203"/>
    <n v="4"/>
    <n v="812"/>
    <x v="194"/>
    <x v="4"/>
    <n v="276"/>
    <x v="5"/>
    <n v="268.60344827586209"/>
    <n v="-0.24423903973297389"/>
    <x v="5"/>
    <n v="-0.28006206361520558"/>
    <n v="-0.28006206361520558"/>
    <n v="281.96875"/>
    <d v="2022-03-12T00:00:00"/>
    <n v="427"/>
    <x v="4"/>
  </r>
  <r>
    <n v="425"/>
    <n v="60"/>
    <n v="251"/>
    <n v="2"/>
    <n v="502"/>
    <x v="143"/>
    <x v="17"/>
    <n v="309"/>
    <x v="7"/>
    <n v="249.02380952380952"/>
    <n v="7.9357491155942483E-3"/>
    <x v="7"/>
    <n v="-9.1272865853658569E-2"/>
    <n v="-9.1272865853658569E-2"/>
    <n v="276.21052631578948"/>
    <d v="2022-05-30T00:00:00"/>
    <n v="491"/>
    <x v="2"/>
  </r>
  <r>
    <n v="426"/>
    <n v="74"/>
    <n v="210"/>
    <n v="3"/>
    <n v="630"/>
    <x v="165"/>
    <x v="9"/>
    <n v="319"/>
    <x v="19"/>
    <n v="286.92307692307691"/>
    <n v="-0.26809651474530827"/>
    <x v="73"/>
    <n v="-0.34426229508196726"/>
    <n v="-0.34426229508196726"/>
    <n v="320.25"/>
    <d v="2022-04-23T00:00:00"/>
    <n v="661"/>
    <x v="0"/>
  </r>
  <r>
    <n v="427"/>
    <n v="116"/>
    <n v="295"/>
    <n v="1"/>
    <n v="295"/>
    <x v="127"/>
    <x v="2"/>
    <n v="359"/>
    <x v="1"/>
    <n v="264.8679245283019"/>
    <n v="0.11376264425131777"/>
    <x v="13"/>
    <n v="-8.0556221529609284E-2"/>
    <n v="-8.0556221529609284E-2"/>
    <n v="320.84615384615387"/>
    <d v="2022-01-23T00:00:00"/>
    <n v="752"/>
    <x v="2"/>
  </r>
  <r>
    <n v="428"/>
    <n v="401"/>
    <n v="78"/>
    <n v="3"/>
    <n v="234"/>
    <x v="285"/>
    <x v="2"/>
    <n v="395"/>
    <x v="8"/>
    <n v="271.18181818181819"/>
    <n v="-0.71237009721756617"/>
    <x v="8"/>
    <n v="-0.73237679351216467"/>
    <n v="-0.73237679351216467"/>
    <n v="291.45454545454544"/>
    <d v="2022-11-25T00:00:00"/>
    <n v="96"/>
    <x v="0"/>
  </r>
  <r>
    <n v="429"/>
    <n v="348"/>
    <n v="162"/>
    <n v="2"/>
    <n v="324"/>
    <x v="286"/>
    <x v="11"/>
    <n v="107"/>
    <x v="14"/>
    <n v="273.72549019607845"/>
    <n v="-0.40816618911174785"/>
    <x v="63"/>
    <n v="-0.39160122908842598"/>
    <n v="-0.39160122908842598"/>
    <n v="266.27272727272725"/>
    <d v="2022-07-02T00:00:00"/>
    <n v="187"/>
    <x v="4"/>
  </r>
  <r>
    <n v="430"/>
    <n v="382"/>
    <n v="278"/>
    <n v="2"/>
    <n v="556"/>
    <x v="287"/>
    <x v="17"/>
    <n v="103"/>
    <x v="4"/>
    <n v="250.48780487804879"/>
    <n v="0.10983446932814012"/>
    <x v="25"/>
    <n v="-8.499515972894478E-2"/>
    <n v="-8.499515972894478E-2"/>
    <n v="303.8235294117647"/>
    <d v="2022-08-14T00:00:00"/>
    <n v="411"/>
    <x v="0"/>
  </r>
  <r>
    <n v="431"/>
    <n v="477"/>
    <n v="420"/>
    <n v="1"/>
    <n v="420"/>
    <x v="250"/>
    <x v="3"/>
    <n v="221"/>
    <x v="3"/>
    <n v="265.47674418604652"/>
    <n v="0.58205948053085721"/>
    <x v="3"/>
    <n v="0.77758318739054277"/>
    <n v="0.77758318739054277"/>
    <n v="236.27586206896552"/>
    <d v="2022-09-16T00:00:00"/>
    <n v="412"/>
    <x v="4"/>
  </r>
  <r>
    <n v="432"/>
    <n v="91"/>
    <n v="413"/>
    <n v="2"/>
    <n v="826"/>
    <x v="87"/>
    <x v="11"/>
    <n v="31"/>
    <x v="11"/>
    <n v="262.63492063492066"/>
    <n v="0.57252508159071658"/>
    <x v="47"/>
    <n v="0.52398523985239853"/>
    <n v="0.52398523985239853"/>
    <n v="271"/>
    <d v="2022-01-19T00:00:00"/>
    <n v="603"/>
    <x v="3"/>
  </r>
  <r>
    <n v="433"/>
    <n v="52"/>
    <n v="272"/>
    <n v="3"/>
    <n v="816"/>
    <x v="288"/>
    <x v="1"/>
    <n v="306"/>
    <x v="1"/>
    <n v="264.8679245283019"/>
    <n v="2.6926912665621749E-2"/>
    <x v="1"/>
    <n v="0.14205738278516455"/>
    <n v="0.14205738278516455"/>
    <n v="238.16666666666666"/>
    <d v="2022-11-07T00:00:00"/>
    <n v="505"/>
    <x v="3"/>
  </r>
  <r>
    <n v="434"/>
    <n v="438"/>
    <n v="435"/>
    <n v="1"/>
    <n v="435"/>
    <x v="213"/>
    <x v="19"/>
    <n v="383"/>
    <x v="7"/>
    <n v="249.02380952380952"/>
    <n v="0.74682091978200593"/>
    <x v="59"/>
    <n v="0.69326586220319197"/>
    <n v="0.69326586220319197"/>
    <n v="256.89999999999998"/>
    <d v="2022-11-11T00:00:00"/>
    <n v="266"/>
    <x v="3"/>
  </r>
  <r>
    <n v="435"/>
    <n v="384"/>
    <n v="303"/>
    <n v="2"/>
    <n v="606"/>
    <x v="4"/>
    <x v="6"/>
    <n v="235"/>
    <x v="0"/>
    <n v="252.76271186440678"/>
    <n v="0.1987527660430497"/>
    <x v="11"/>
    <n v="0.26109877913429513"/>
    <n v="0.26109877913429513"/>
    <n v="240.26666666666668"/>
    <d v="2022-03-15T00:00:00"/>
    <n v="516"/>
    <x v="0"/>
  </r>
  <r>
    <n v="436"/>
    <n v="473"/>
    <n v="231"/>
    <n v="3"/>
    <n v="693"/>
    <x v="289"/>
    <x v="3"/>
    <n v="448"/>
    <x v="16"/>
    <n v="300.31818181818181"/>
    <n v="-0.2308158014227335"/>
    <x v="24"/>
    <n v="-0.18007572172266928"/>
    <n v="-0.18007572172266928"/>
    <n v="281.73333333333335"/>
    <d v="2022-07-28T00:00:00"/>
    <n v="304"/>
    <x v="2"/>
  </r>
  <r>
    <n v="437"/>
    <n v="383"/>
    <n v="429"/>
    <n v="4"/>
    <n v="1716"/>
    <x v="290"/>
    <x v="12"/>
    <n v="367"/>
    <x v="12"/>
    <n v="274.16279069767444"/>
    <n v="0.56476376282975638"/>
    <x v="65"/>
    <n v="0.66081000595592609"/>
    <n v="0.66081000595592609"/>
    <n v="258.30769230769232"/>
    <d v="2022-11-02T00:00:00"/>
    <n v="253"/>
    <x v="4"/>
  </r>
  <r>
    <n v="438"/>
    <n v="406"/>
    <n v="87"/>
    <n v="2"/>
    <n v="174"/>
    <x v="291"/>
    <x v="11"/>
    <n v="255"/>
    <x v="5"/>
    <n v="268.60344827586209"/>
    <n v="-0.676102445599846"/>
    <x v="5"/>
    <n v="-0.69145517012080238"/>
    <n v="-0.69145517012080238"/>
    <n v="281.96875"/>
    <d v="2022-08-20T00:00:00"/>
    <n v="273"/>
    <x v="3"/>
  </r>
  <r>
    <n v="439"/>
    <n v="252"/>
    <n v="50"/>
    <n v="1"/>
    <n v="50"/>
    <x v="111"/>
    <x v="7"/>
    <n v="138"/>
    <x v="8"/>
    <n v="271.18181818181819"/>
    <n v="-0.81562185719074753"/>
    <x v="14"/>
    <n v="-0.80780902286061096"/>
    <n v="-0.80780902286061096"/>
    <n v="260.15789473684208"/>
    <d v="2022-06-11T00:00:00"/>
    <n v="237"/>
    <x v="3"/>
  </r>
  <r>
    <n v="440"/>
    <n v="365"/>
    <n v="127"/>
    <n v="1"/>
    <n v="127"/>
    <x v="187"/>
    <x v="11"/>
    <n v="158"/>
    <x v="10"/>
    <n v="271.74545454545455"/>
    <n v="-0.53265087648869258"/>
    <x v="10"/>
    <n v="-0.5919023136246786"/>
    <n v="-0.5919023136246786"/>
    <n v="311.2"/>
    <d v="2022-07-10T00:00:00"/>
    <n v="599"/>
    <x v="0"/>
  </r>
  <r>
    <n v="441"/>
    <n v="420"/>
    <n v="390"/>
    <n v="3"/>
    <n v="1170"/>
    <x v="87"/>
    <x v="1"/>
    <n v="217"/>
    <x v="16"/>
    <n v="300.31818181818181"/>
    <n v="0.29862267292265776"/>
    <x v="24"/>
    <n v="0.38428774254614284"/>
    <n v="0.38428774254614284"/>
    <n v="281.73333333333335"/>
    <d v="2022-09-22T00:00:00"/>
    <n v="357"/>
    <x v="2"/>
  </r>
  <r>
    <n v="442"/>
    <n v="97"/>
    <n v="298"/>
    <n v="2"/>
    <n v="596"/>
    <x v="246"/>
    <x v="9"/>
    <n v="102"/>
    <x v="2"/>
    <n v="283.468085106383"/>
    <n v="5.1264730165878403E-2"/>
    <x v="31"/>
    <n v="-7.7619047619047699E-2"/>
    <n v="-7.7619047619047699E-2"/>
    <n v="323.07692307692309"/>
    <d v="2022-06-11T00:00:00"/>
    <n v="379"/>
    <x v="0"/>
  </r>
  <r>
    <n v="443"/>
    <n v="217"/>
    <n v="471"/>
    <n v="3"/>
    <n v="1413"/>
    <x v="292"/>
    <x v="6"/>
    <n v="425"/>
    <x v="10"/>
    <n v="271.74545454545455"/>
    <n v="0.73323966278602959"/>
    <x v="10"/>
    <n v="0.513496143958869"/>
    <n v="0.513496143958869"/>
    <n v="311.2"/>
    <d v="2022-08-09T00:00:00"/>
    <n v="424"/>
    <x v="0"/>
  </r>
  <r>
    <n v="444"/>
    <n v="47"/>
    <n v="315"/>
    <n v="3"/>
    <n v="945"/>
    <x v="222"/>
    <x v="14"/>
    <n v="140"/>
    <x v="10"/>
    <n v="271.74545454545455"/>
    <n v="0.15917302288237645"/>
    <x v="37"/>
    <n v="0.15658747300215969"/>
    <n v="0.15658747300215969"/>
    <n v="272.35294117647061"/>
    <d v="2022-03-07T00:00:00"/>
    <n v="735"/>
    <x v="2"/>
  </r>
  <r>
    <n v="445"/>
    <n v="346"/>
    <n v="267"/>
    <n v="3"/>
    <n v="801"/>
    <x v="38"/>
    <x v="13"/>
    <n v="385"/>
    <x v="8"/>
    <n v="271.18181818181819"/>
    <n v="-1.5420717398592076E-2"/>
    <x v="8"/>
    <n v="-8.3905177791640639E-2"/>
    <n v="-8.3905177791640639E-2"/>
    <n v="291.45454545454544"/>
    <d v="2022-07-11T00:00:00"/>
    <n v="653"/>
    <x v="3"/>
  </r>
  <r>
    <n v="446"/>
    <n v="47"/>
    <n v="476"/>
    <n v="4"/>
    <n v="1904"/>
    <x v="293"/>
    <x v="5"/>
    <n v="43"/>
    <x v="10"/>
    <n v="271.74545454545455"/>
    <n v="0.75163923457781334"/>
    <x v="37"/>
    <n v="0.74773218142548581"/>
    <n v="0.74773218142548581"/>
    <n v="272.35294117647061"/>
    <d v="2022-12-17T00:00:00"/>
    <n v="513"/>
    <x v="2"/>
  </r>
  <r>
    <n v="447"/>
    <n v="290"/>
    <n v="97"/>
    <n v="4"/>
    <n v="388"/>
    <x v="294"/>
    <x v="11"/>
    <n v="326"/>
    <x v="0"/>
    <n v="252.76271186440678"/>
    <n v="-0.6162408636759874"/>
    <x v="0"/>
    <n v="-0.59667359667359665"/>
    <n v="-0.59667359667359665"/>
    <n v="240.5"/>
    <d v="2022-04-04T00:00:00"/>
    <n v="601"/>
    <x v="2"/>
  </r>
  <r>
    <n v="448"/>
    <n v="484"/>
    <n v="114"/>
    <n v="1"/>
    <n v="114"/>
    <x v="295"/>
    <x v="19"/>
    <n v="402"/>
    <x v="2"/>
    <n v="283.468085106383"/>
    <n v="-0.59783832470164389"/>
    <x v="31"/>
    <n v="-0.64714285714285724"/>
    <n v="-0.64714285714285724"/>
    <n v="323.07692307692309"/>
    <d v="2022-06-30T00:00:00"/>
    <n v="265"/>
    <x v="0"/>
  </r>
  <r>
    <n v="449"/>
    <n v="192"/>
    <n v="147"/>
    <n v="1"/>
    <n v="147"/>
    <x v="296"/>
    <x v="7"/>
    <n v="23"/>
    <x v="10"/>
    <n v="271.74545454545455"/>
    <n v="-0.45905258932155757"/>
    <x v="37"/>
    <n v="-0.46025917926565874"/>
    <n v="-0.46025917926565874"/>
    <n v="272.35294117647061"/>
    <d v="2022-05-25T00:00:00"/>
    <n v="229"/>
    <x v="2"/>
  </r>
  <r>
    <n v="450"/>
    <n v="187"/>
    <n v="185"/>
    <n v="2"/>
    <n v="370"/>
    <x v="246"/>
    <x v="8"/>
    <n v="468"/>
    <x v="3"/>
    <n v="265.47674418604652"/>
    <n v="-0.30314046690902718"/>
    <x v="16"/>
    <n v="-0.331347074338185"/>
    <n v="-0.331347074338185"/>
    <n v="276.67567567567568"/>
    <d v="2022-02-27T00:00:00"/>
    <n v="483"/>
    <x v="0"/>
  </r>
  <r>
    <n v="451"/>
    <n v="429"/>
    <n v="368"/>
    <n v="2"/>
    <n v="736"/>
    <x v="297"/>
    <x v="6"/>
    <n v="16"/>
    <x v="18"/>
    <n v="255.11627906976744"/>
    <n v="0.44247948951686422"/>
    <x v="67"/>
    <n v="0.46080052927555415"/>
    <n v="0.46080052927555415"/>
    <n v="251.91666666666666"/>
    <d v="2022-06-01T00:00:00"/>
    <n v="295"/>
    <x v="3"/>
  </r>
  <r>
    <n v="452"/>
    <n v="93"/>
    <n v="387"/>
    <n v="2"/>
    <n v="774"/>
    <x v="298"/>
    <x v="8"/>
    <n v="156"/>
    <x v="8"/>
    <n v="271.18181818181819"/>
    <n v="0.42708682534361375"/>
    <x v="8"/>
    <n v="0.32782283218964459"/>
    <n v="0.32782283218964459"/>
    <n v="291.45454545454544"/>
    <d v="2022-12-10T00:00:00"/>
    <n v="314"/>
    <x v="3"/>
  </r>
  <r>
    <n v="453"/>
    <n v="57"/>
    <n v="174"/>
    <n v="2"/>
    <n v="348"/>
    <x v="62"/>
    <x v="7"/>
    <n v="141"/>
    <x v="2"/>
    <n v="283.468085106383"/>
    <n v="-0.38617428507092999"/>
    <x v="2"/>
    <n v="-0.25143403441682599"/>
    <n v="-0.25143403441682599"/>
    <n v="232.44444444444446"/>
    <d v="2022-07-01T00:00:00"/>
    <n v="230"/>
    <x v="2"/>
  </r>
  <r>
    <n v="454"/>
    <n v="198"/>
    <n v="438"/>
    <n v="4"/>
    <n v="1752"/>
    <x v="299"/>
    <x v="15"/>
    <n v="385"/>
    <x v="10"/>
    <n v="271.74545454545455"/>
    <n v="0.61180248896025691"/>
    <x v="15"/>
    <n v="0.38352197946828115"/>
    <n v="0.38352197946828115"/>
    <n v="316.58333333333331"/>
    <d v="2022-07-11T00:00:00"/>
    <n v="559"/>
    <x v="3"/>
  </r>
  <r>
    <n v="455"/>
    <n v="202"/>
    <n v="308"/>
    <n v="2"/>
    <n v="616"/>
    <x v="300"/>
    <x v="12"/>
    <n v="182"/>
    <x v="4"/>
    <n v="250.48780487804879"/>
    <n v="0.22960077896786757"/>
    <x v="25"/>
    <n v="1.3746369796708624E-2"/>
    <n v="1.3746369796708624E-2"/>
    <n v="303.8235294117647"/>
    <d v="2022-10-22T00:00:00"/>
    <n v="554"/>
    <x v="0"/>
  </r>
  <r>
    <n v="456"/>
    <n v="427"/>
    <n v="240"/>
    <n v="1"/>
    <n v="240"/>
    <x v="301"/>
    <x v="2"/>
    <n v="225"/>
    <x v="16"/>
    <n v="300.31818181818181"/>
    <n v="-0.20084758589374907"/>
    <x v="57"/>
    <n v="-0.24194567277321544"/>
    <n v="-0.24194567277321544"/>
    <n v="316.60000000000002"/>
    <d v="2022-09-23T00:00:00"/>
    <n v="593"/>
    <x v="1"/>
  </r>
  <r>
    <n v="457"/>
    <n v="272"/>
    <n v="67"/>
    <n v="3"/>
    <n v="201"/>
    <x v="245"/>
    <x v="5"/>
    <n v="151"/>
    <x v="18"/>
    <n v="255.11627906976744"/>
    <n v="-0.73737465815861447"/>
    <x v="72"/>
    <n v="-0.73422286332491882"/>
    <n v="-0.73422286332491882"/>
    <n v="252.09090909090909"/>
    <d v="2022-12-28T00:00:00"/>
    <n v="443"/>
    <x v="1"/>
  </r>
  <r>
    <n v="458"/>
    <n v="473"/>
    <n v="474"/>
    <n v="2"/>
    <n v="948"/>
    <x v="45"/>
    <x v="4"/>
    <n v="428"/>
    <x v="16"/>
    <n v="300.31818181818181"/>
    <n v="0.57832601785984572"/>
    <x v="24"/>
    <n v="0.68244202555608124"/>
    <n v="0.68244202555608124"/>
    <n v="281.73333333333335"/>
    <d v="2022-10-14T00:00:00"/>
    <n v="128"/>
    <x v="1"/>
  </r>
  <r>
    <n v="459"/>
    <n v="189"/>
    <n v="275"/>
    <n v="4"/>
    <n v="1100"/>
    <x v="105"/>
    <x v="14"/>
    <n v="438"/>
    <x v="16"/>
    <n v="300.31818181818181"/>
    <n v="-8.4304525503254069E-2"/>
    <x v="38"/>
    <n v="4.1666666666666741E-2"/>
    <n v="4.1666666666666741E-2"/>
    <n v="264"/>
    <d v="2022-05-12T00:00:00"/>
    <n v="483"/>
    <x v="0"/>
  </r>
  <r>
    <n v="460"/>
    <n v="362"/>
    <n v="358"/>
    <n v="4"/>
    <n v="1432"/>
    <x v="14"/>
    <x v="3"/>
    <n v="465"/>
    <x v="16"/>
    <n v="300.31818181818181"/>
    <n v="0.19206901770849094"/>
    <x v="57"/>
    <n v="0.13076437144662023"/>
    <n v="0.13076437144662023"/>
    <n v="316.60000000000002"/>
    <d v="2022-04-20T00:00:00"/>
    <n v="301"/>
    <x v="0"/>
  </r>
  <r>
    <n v="461"/>
    <n v="345"/>
    <n v="455"/>
    <n v="5"/>
    <n v="2275"/>
    <x v="302"/>
    <x v="3"/>
    <n v="215"/>
    <x v="17"/>
    <n v="267.85483870967744"/>
    <n v="0.69868127897874377"/>
    <x v="27"/>
    <n v="0.57855608789030222"/>
    <n v="0.57855608789030222"/>
    <n v="288.23809523809524"/>
    <d v="2022-08-26T00:00:00"/>
    <n v="414"/>
    <x v="2"/>
  </r>
  <r>
    <n v="462"/>
    <n v="461"/>
    <n v="443"/>
    <n v="3"/>
    <n v="1329"/>
    <x v="185"/>
    <x v="19"/>
    <n v="314"/>
    <x v="12"/>
    <n v="274.16279069767444"/>
    <n v="0.61582831453049436"/>
    <x v="76"/>
    <n v="0.19989165763813665"/>
    <n v="0.19989165763813665"/>
    <n v="369.2"/>
    <d v="2022-12-04T00:00:00"/>
    <n v="177"/>
    <x v="2"/>
  </r>
  <r>
    <n v="463"/>
    <n v="401"/>
    <n v="464"/>
    <n v="2"/>
    <n v="928"/>
    <x v="219"/>
    <x v="5"/>
    <n v="15"/>
    <x v="8"/>
    <n v="271.18181818181819"/>
    <n v="0.7110291652698626"/>
    <x v="8"/>
    <n v="0.59201497192763575"/>
    <n v="0.59201497192763575"/>
    <n v="291.45454545454544"/>
    <d v="2022-05-30T00:00:00"/>
    <n v="415"/>
    <x v="3"/>
  </r>
  <r>
    <n v="464"/>
    <n v="427"/>
    <n v="307"/>
    <n v="5"/>
    <n v="1535"/>
    <x v="246"/>
    <x v="16"/>
    <n v="191"/>
    <x v="16"/>
    <n v="300.31818181818181"/>
    <n v="2.2249129710912641E-2"/>
    <x v="57"/>
    <n v="-3.032217308907148E-2"/>
    <n v="-3.032217308907148E-2"/>
    <n v="316.60000000000002"/>
    <d v="2022-11-01T00:00:00"/>
    <n v="236"/>
    <x v="3"/>
  </r>
  <r>
    <n v="465"/>
    <n v="129"/>
    <n v="121"/>
    <n v="5"/>
    <n v="605"/>
    <x v="303"/>
    <x v="16"/>
    <n v="277"/>
    <x v="10"/>
    <n v="271.74545454545455"/>
    <n v="-0.55473036263883313"/>
    <x v="10"/>
    <n v="-0.61118251928020562"/>
    <n v="-0.61118251928020562"/>
    <n v="311.2"/>
    <d v="2022-07-08T00:00:00"/>
    <n v="406"/>
    <x v="2"/>
  </r>
  <r>
    <n v="466"/>
    <n v="84"/>
    <n v="265"/>
    <n v="2"/>
    <n v="530"/>
    <x v="228"/>
    <x v="0"/>
    <n v="101"/>
    <x v="7"/>
    <n v="249.02380952380952"/>
    <n v="6.4155272970647381E-2"/>
    <x v="77"/>
    <n v="0.89285714285714279"/>
    <n v="0.89285714285714279"/>
    <n v="140"/>
    <d v="2022-06-15T00:00:00"/>
    <n v="340"/>
    <x v="2"/>
  </r>
  <r>
    <n v="467"/>
    <n v="172"/>
    <n v="451"/>
    <n v="2"/>
    <n v="902"/>
    <x v="256"/>
    <x v="18"/>
    <n v="141"/>
    <x v="12"/>
    <n v="274.16279069767444"/>
    <n v="0.64500805835948749"/>
    <x v="76"/>
    <n v="0.2215601300108343"/>
    <n v="0.2215601300108343"/>
    <n v="369.2"/>
    <d v="2022-07-01T00:00:00"/>
    <n v="474"/>
    <x v="2"/>
  </r>
  <r>
    <n v="468"/>
    <n v="348"/>
    <n v="212"/>
    <n v="5"/>
    <n v="1060"/>
    <x v="277"/>
    <x v="3"/>
    <n v="126"/>
    <x v="14"/>
    <n v="273.72549019607845"/>
    <n v="-0.22550143266475653"/>
    <x v="63"/>
    <n v="-0.20382383065892795"/>
    <n v="-0.20382383065892795"/>
    <n v="266.27272727272725"/>
    <d v="2022-09-18T00:00:00"/>
    <n v="409"/>
    <x v="0"/>
  </r>
  <r>
    <n v="469"/>
    <n v="171"/>
    <n v="336"/>
    <n v="4"/>
    <n v="1344"/>
    <x v="304"/>
    <x v="7"/>
    <n v="148"/>
    <x v="8"/>
    <n v="271.18181818181819"/>
    <n v="0.23902111967817641"/>
    <x v="8"/>
    <n v="0.15283842794759828"/>
    <n v="0.15283842794759828"/>
    <n v="291.45454545454544"/>
    <d v="2022-05-19T00:00:00"/>
    <n v="321"/>
    <x v="2"/>
  </r>
  <r>
    <n v="470"/>
    <n v="70"/>
    <n v="407"/>
    <n v="2"/>
    <n v="814"/>
    <x v="91"/>
    <x v="6"/>
    <n v="334"/>
    <x v="13"/>
    <n v="258.375"/>
    <n v="0.57522980164489601"/>
    <x v="34"/>
    <n v="1.2415420928402829"/>
    <n v="1.2415420928402829"/>
    <n v="181.57142857142858"/>
    <d v="2022-11-16T00:00:00"/>
    <n v="316"/>
    <x v="3"/>
  </r>
  <r>
    <n v="471"/>
    <n v="476"/>
    <n v="109"/>
    <n v="4"/>
    <n v="436"/>
    <x v="242"/>
    <x v="6"/>
    <n v="335"/>
    <x v="6"/>
    <n v="258.5128205128205"/>
    <n v="-0.5783574687561992"/>
    <x v="60"/>
    <n v="-0.6239938673821388"/>
    <n v="-0.6239938673821388"/>
    <n v="289.88888888888891"/>
    <d v="2022-02-27T00:00:00"/>
    <n v="468"/>
    <x v="0"/>
  </r>
  <r>
    <n v="472"/>
    <n v="49"/>
    <n v="412"/>
    <n v="3"/>
    <n v="1236"/>
    <x v="153"/>
    <x v="8"/>
    <n v="370"/>
    <x v="13"/>
    <n v="258.375"/>
    <n v="0.59458151910982093"/>
    <x v="30"/>
    <n v="0.296179775280899"/>
    <n v="0.296179775280899"/>
    <n v="317.85714285714283"/>
    <d v="2022-06-14T00:00:00"/>
    <n v="439"/>
    <x v="4"/>
  </r>
  <r>
    <n v="473"/>
    <n v="7"/>
    <n v="254"/>
    <n v="2"/>
    <n v="508"/>
    <x v="305"/>
    <x v="5"/>
    <n v="76"/>
    <x v="11"/>
    <n v="262.63492063492066"/>
    <n v="-3.2878036987791681E-2"/>
    <x v="21"/>
    <n v="6.3998138235978663E-2"/>
    <n v="6.3998138235978663E-2"/>
    <n v="238.72222222222223"/>
    <d v="2022-01-14T00:00:00"/>
    <n v="696"/>
    <x v="1"/>
  </r>
  <r>
    <n v="474"/>
    <n v="180"/>
    <n v="338"/>
    <n v="3"/>
    <n v="1014"/>
    <x v="19"/>
    <x v="12"/>
    <n v="25"/>
    <x v="14"/>
    <n v="273.72549019607845"/>
    <n v="0.2348137535816619"/>
    <x v="58"/>
    <n v="0.3976567884217781"/>
    <n v="0.3976567884217781"/>
    <n v="241.83333333333334"/>
    <d v="2022-01-21T00:00:00"/>
    <n v="576"/>
    <x v="4"/>
  </r>
  <r>
    <n v="475"/>
    <n v="194"/>
    <n v="268"/>
    <n v="5"/>
    <n v="1340"/>
    <x v="306"/>
    <x v="16"/>
    <n v="80"/>
    <x v="1"/>
    <n v="264.8679245283019"/>
    <n v="1.1825046302892162E-2"/>
    <x v="69"/>
    <n v="-2.0825721592985014E-2"/>
    <n v="-2.0825721592985014E-2"/>
    <n v="273.7"/>
    <d v="2022-03-03T00:00:00"/>
    <n v="785"/>
    <x v="1"/>
  </r>
  <r>
    <n v="476"/>
    <n v="312"/>
    <n v="223"/>
    <n v="2"/>
    <n v="446"/>
    <x v="140"/>
    <x v="4"/>
    <n v="276"/>
    <x v="16"/>
    <n v="300.31818181818181"/>
    <n v="-0.2574542152262751"/>
    <x v="51"/>
    <n v="-0.32662304982385515"/>
    <n v="-0.32662304982385515"/>
    <n v="331.16666666666669"/>
    <d v="2022-03-12T00:00:00"/>
    <n v="359"/>
    <x v="4"/>
  </r>
  <r>
    <n v="477"/>
    <n v="235"/>
    <n v="455"/>
    <n v="5"/>
    <n v="2275"/>
    <x v="123"/>
    <x v="17"/>
    <n v="71"/>
    <x v="16"/>
    <n v="300.31818181818181"/>
    <n v="0.51505978507643402"/>
    <x v="57"/>
    <n v="0.4371446620341124"/>
    <n v="0.4371446620341124"/>
    <n v="316.60000000000002"/>
    <d v="2022-07-20T00:00:00"/>
    <n v="276"/>
    <x v="3"/>
  </r>
  <r>
    <n v="478"/>
    <n v="399"/>
    <n v="379"/>
    <n v="1"/>
    <n v="379"/>
    <x v="307"/>
    <x v="10"/>
    <n v="12"/>
    <x v="16"/>
    <n v="300.31818181818181"/>
    <n v="0.26199485394278788"/>
    <x v="24"/>
    <n v="0.34524372929484137"/>
    <n v="0.34524372929484137"/>
    <n v="281.73333333333335"/>
    <d v="2022-10-08T00:00:00"/>
    <n v="346"/>
    <x v="1"/>
  </r>
  <r>
    <n v="479"/>
    <n v="494"/>
    <n v="216"/>
    <n v="3"/>
    <n v="648"/>
    <x v="118"/>
    <x v="17"/>
    <n v="9"/>
    <x v="11"/>
    <n v="262.63492063492066"/>
    <n v="-0.17756557476127166"/>
    <x v="47"/>
    <n v="-0.20295202952029523"/>
    <n v="-0.20295202952029523"/>
    <n v="271"/>
    <d v="2022-12-05T00:00:00"/>
    <n v="109"/>
    <x v="4"/>
  </r>
  <r>
    <n v="480"/>
    <n v="458"/>
    <n v="469"/>
    <n v="4"/>
    <n v="1876"/>
    <x v="158"/>
    <x v="12"/>
    <n v="51"/>
    <x v="3"/>
    <n v="265.47674418604652"/>
    <n v="0.76663308659279039"/>
    <x v="3"/>
    <n v="0.98496789258610629"/>
    <n v="0.98496789258610629"/>
    <n v="236.27586206896552"/>
    <d v="2022-02-13T00:00:00"/>
    <n v="806"/>
    <x v="0"/>
  </r>
  <r>
    <n v="481"/>
    <n v="193"/>
    <n v="94"/>
    <n v="3"/>
    <n v="282"/>
    <x v="136"/>
    <x v="2"/>
    <n v="370"/>
    <x v="1"/>
    <n v="264.8679245283019"/>
    <n v="-0.64510614047585135"/>
    <x v="69"/>
    <n v="-0.65655827548410661"/>
    <n v="-0.65655827548410661"/>
    <n v="273.7"/>
    <d v="2022-06-14T00:00:00"/>
    <n v="380"/>
    <x v="4"/>
  </r>
  <r>
    <n v="482"/>
    <n v="450"/>
    <n v="494"/>
    <n v="4"/>
    <n v="1976"/>
    <x v="78"/>
    <x v="15"/>
    <n v="17"/>
    <x v="16"/>
    <n v="300.31818181818181"/>
    <n v="0.64492205236869982"/>
    <x v="24"/>
    <n v="0.75343114055844751"/>
    <n v="0.75343114055844751"/>
    <n v="281.73333333333335"/>
    <d v="2022-11-12T00:00:00"/>
    <n v="127"/>
    <x v="4"/>
  </r>
  <r>
    <n v="483"/>
    <n v="334"/>
    <n v="309"/>
    <n v="5"/>
    <n v="1545"/>
    <x v="308"/>
    <x v="7"/>
    <n v="39"/>
    <x v="15"/>
    <n v="294.95238095238096"/>
    <n v="4.7626735550532651E-2"/>
    <x v="41"/>
    <n v="0.12454508693894062"/>
    <n v="0.12454508693894062"/>
    <n v="274.77777777777777"/>
    <d v="2022-04-02T00:00:00"/>
    <n v="350"/>
    <x v="1"/>
  </r>
  <r>
    <n v="484"/>
    <n v="115"/>
    <n v="118"/>
    <n v="1"/>
    <n v="118"/>
    <x v="7"/>
    <x v="1"/>
    <n v="481"/>
    <x v="11"/>
    <n v="262.63492063492066"/>
    <n v="-0.55070711954550955"/>
    <x v="21"/>
    <n v="-0.50570165231556907"/>
    <n v="-0.50570165231556907"/>
    <n v="238.72222222222223"/>
    <d v="2022-07-14T00:00:00"/>
    <n v="571"/>
    <x v="1"/>
  </r>
  <r>
    <n v="485"/>
    <n v="163"/>
    <n v="344"/>
    <n v="1"/>
    <n v="344"/>
    <x v="307"/>
    <x v="2"/>
    <n v="363"/>
    <x v="1"/>
    <n v="264.8679245283019"/>
    <n v="0.298760507194757"/>
    <x v="13"/>
    <n v="7.2164948453608213E-2"/>
    <n v="7.2164948453608213E-2"/>
    <n v="320.84615384615387"/>
    <d v="2022-04-24T00:00:00"/>
    <n v="513"/>
    <x v="0"/>
  </r>
  <r>
    <n v="486"/>
    <n v="321"/>
    <n v="322"/>
    <n v="3"/>
    <n v="966"/>
    <x v="309"/>
    <x v="6"/>
    <n v="328"/>
    <x v="10"/>
    <n v="271.74545454545455"/>
    <n v="0.18493242339087379"/>
    <x v="12"/>
    <n v="0.51306901615271649"/>
    <n v="0.51306901615271649"/>
    <n v="212.8125"/>
    <d v="2022-01-07T00:00:00"/>
    <n v="526"/>
    <x v="2"/>
  </r>
  <r>
    <n v="487"/>
    <n v="129"/>
    <n v="328"/>
    <n v="4"/>
    <n v="1312"/>
    <x v="310"/>
    <x v="3"/>
    <n v="127"/>
    <x v="10"/>
    <n v="271.74545454545455"/>
    <n v="0.20701190954101434"/>
    <x v="10"/>
    <n v="5.3984575835475557E-2"/>
    <n v="5.3984575835475557E-2"/>
    <n v="311.2"/>
    <d v="2022-12-19T00:00:00"/>
    <n v="390"/>
    <x v="3"/>
  </r>
  <r>
    <n v="488"/>
    <n v="12"/>
    <n v="357"/>
    <n v="1"/>
    <n v="357"/>
    <x v="150"/>
    <x v="2"/>
    <n v="221"/>
    <x v="3"/>
    <n v="265.47674418604652"/>
    <n v="0.34475055845122848"/>
    <x v="19"/>
    <n v="8.4207620099392644E-2"/>
    <n v="8.4207620099392644E-2"/>
    <n v="329.27272727272725"/>
    <d v="2022-09-16T00:00:00"/>
    <n v="549"/>
    <x v="4"/>
  </r>
  <r>
    <n v="489"/>
    <n v="104"/>
    <n v="276"/>
    <n v="2"/>
    <n v="552"/>
    <x v="126"/>
    <x v="6"/>
    <n v="134"/>
    <x v="9"/>
    <n v="263.25423728813558"/>
    <n v="4.841617306206536E-2"/>
    <x v="9"/>
    <n v="7.066959015010954E-2"/>
    <n v="7.066959015010954E-2"/>
    <n v="257.78260869565219"/>
    <d v="2022-07-11T00:00:00"/>
    <n v="619"/>
    <x v="2"/>
  </r>
  <r>
    <n v="490"/>
    <n v="61"/>
    <n v="170"/>
    <n v="2"/>
    <n v="340"/>
    <x v="257"/>
    <x v="3"/>
    <n v="374"/>
    <x v="9"/>
    <n v="263.25423728813558"/>
    <n v="-0.35423641514293069"/>
    <x v="33"/>
    <n v="-0.31589537223340036"/>
    <n v="-0.31589537223340036"/>
    <n v="248.5"/>
    <d v="2022-01-21T00:00:00"/>
    <n v="710"/>
    <x v="3"/>
  </r>
  <r>
    <n v="491"/>
    <n v="202"/>
    <n v="89"/>
    <n v="1"/>
    <n v="89"/>
    <x v="311"/>
    <x v="0"/>
    <n v="441"/>
    <x v="4"/>
    <n v="250.48780487804879"/>
    <n v="-0.64469328140214222"/>
    <x v="25"/>
    <n v="-0.70706679574056142"/>
    <n v="-0.70706679574056142"/>
    <n v="303.8235294117647"/>
    <d v="2022-11-02T00:00:00"/>
    <n v="522"/>
    <x v="0"/>
  </r>
  <r>
    <n v="492"/>
    <n v="464"/>
    <n v="134"/>
    <n v="1"/>
    <n v="134"/>
    <x v="312"/>
    <x v="0"/>
    <n v="220"/>
    <x v="11"/>
    <n v="262.63492063492066"/>
    <n v="-0.48978605100930739"/>
    <x v="47"/>
    <n v="-0.50553505535055354"/>
    <n v="-0.50553505535055354"/>
    <n v="271"/>
    <d v="2022-01-09T00:00:00"/>
    <n v="508"/>
    <x v="3"/>
  </r>
  <r>
    <n v="493"/>
    <n v="335"/>
    <n v="436"/>
    <n v="1"/>
    <n v="436"/>
    <x v="313"/>
    <x v="6"/>
    <n v="235"/>
    <x v="16"/>
    <n v="300.31818181818181"/>
    <n v="0.45179355229302254"/>
    <x v="51"/>
    <n v="0.31655762455963754"/>
    <n v="0.31655762455963754"/>
    <n v="331.16666666666669"/>
    <d v="2022-03-15T00:00:00"/>
    <n v="772"/>
    <x v="0"/>
  </r>
  <r>
    <n v="494"/>
    <n v="15"/>
    <n v="318"/>
    <n v="5"/>
    <n v="1590"/>
    <x v="269"/>
    <x v="18"/>
    <n v="323"/>
    <x v="0"/>
    <n v="252.76271186440678"/>
    <n v="0.25809696238181457"/>
    <x v="68"/>
    <n v="0.47319655857048315"/>
    <n v="0.47319655857048315"/>
    <n v="215.85714285714286"/>
    <d v="2022-09-17T00:00:00"/>
    <n v="161"/>
    <x v="4"/>
  </r>
  <r>
    <n v="495"/>
    <n v="441"/>
    <n v="183"/>
    <n v="1"/>
    <n v="183"/>
    <x v="90"/>
    <x v="6"/>
    <n v="296"/>
    <x v="8"/>
    <n v="271.18181818181819"/>
    <n v="-0.32517599731813607"/>
    <x v="14"/>
    <n v="-0.29658102366983607"/>
    <n v="-0.29658102366983607"/>
    <n v="260.15789473684208"/>
    <d v="2022-07-16T00:00:00"/>
    <n v="477"/>
    <x v="0"/>
  </r>
  <r>
    <n v="496"/>
    <n v="149"/>
    <n v="448"/>
    <n v="2"/>
    <n v="896"/>
    <x v="129"/>
    <x v="8"/>
    <n v="206"/>
    <x v="17"/>
    <n v="267.85483870967744"/>
    <n v="0.67254772084060921"/>
    <x v="35"/>
    <n v="0.79014355483202592"/>
    <n v="0.79014355483202592"/>
    <n v="250.25925925925927"/>
    <d v="2022-01-07T00:00:00"/>
    <n v="501"/>
    <x v="2"/>
  </r>
  <r>
    <n v="497"/>
    <n v="490"/>
    <n v="58"/>
    <n v="4"/>
    <n v="232"/>
    <x v="16"/>
    <x v="18"/>
    <n v="255"/>
    <x v="11"/>
    <n v="262.63492063492066"/>
    <n v="-0.77916112655626746"/>
    <x v="47"/>
    <n v="-0.7859778597785978"/>
    <n v="-0.7859778597785978"/>
    <n v="271"/>
    <d v="2022-08-20T00:00:00"/>
    <n v="423"/>
    <x v="3"/>
  </r>
  <r>
    <n v="498"/>
    <n v="90"/>
    <n v="162"/>
    <n v="3"/>
    <n v="486"/>
    <x v="267"/>
    <x v="6"/>
    <n v="88"/>
    <x v="7"/>
    <n v="249.02380952380952"/>
    <n v="-0.34945979539152883"/>
    <x v="59"/>
    <n v="-0.3694044375243285"/>
    <n v="-0.3694044375243285"/>
    <n v="256.89999999999998"/>
    <d v="2022-03-10T00:00:00"/>
    <n v="577"/>
    <x v="3"/>
  </r>
  <r>
    <n v="499"/>
    <n v="396"/>
    <n v="482"/>
    <n v="2"/>
    <n v="964"/>
    <x v="306"/>
    <x v="12"/>
    <n v="362"/>
    <x v="15"/>
    <n v="294.95238095238096"/>
    <n v="0.63416209234743293"/>
    <x v="41"/>
    <n v="0.75414476344520831"/>
    <n v="0.75414476344520831"/>
    <n v="274.77777777777777"/>
    <d v="2022-12-21T00:00:00"/>
    <n v="492"/>
    <x v="2"/>
  </r>
  <r>
    <n v="500"/>
    <n v="323"/>
    <n v="64"/>
    <n v="4"/>
    <n v="256"/>
    <x v="6"/>
    <x v="1"/>
    <n v="265"/>
    <x v="6"/>
    <n v="258.5128205128205"/>
    <n v="-0.75243007339813528"/>
    <x v="6"/>
    <n v="-0.75445723313021884"/>
    <n v="-0.75445723313021884"/>
    <n v="260.64705882352939"/>
    <d v="2022-07-14T00:00:00"/>
    <n v="593"/>
    <x v="0"/>
  </r>
  <r>
    <n v="501"/>
    <n v="451"/>
    <n v="187"/>
    <n v="4"/>
    <n v="748"/>
    <x v="264"/>
    <x v="11"/>
    <n v="164"/>
    <x v="13"/>
    <n v="258.375"/>
    <n v="-0.27624576681180457"/>
    <x v="20"/>
    <n v="-0.30665212649945472"/>
    <n v="-0.30665212649945472"/>
    <n v="269.70588235294116"/>
    <d v="2022-04-27T00:00:00"/>
    <n v="482"/>
    <x v="2"/>
  </r>
  <r>
    <n v="502"/>
    <n v="348"/>
    <n v="461"/>
    <n v="3"/>
    <n v="1383"/>
    <x v="314"/>
    <x v="10"/>
    <n v="364"/>
    <x v="14"/>
    <n v="273.72549019607845"/>
    <n v="0.68416905444126064"/>
    <x v="63"/>
    <n v="0.73130761351997275"/>
    <n v="0.73130761351997275"/>
    <n v="266.27272727272725"/>
    <d v="2022-11-18T00:00:00"/>
    <n v="461"/>
    <x v="2"/>
  </r>
  <r>
    <n v="503"/>
    <n v="111"/>
    <n v="321"/>
    <n v="5"/>
    <n v="1605"/>
    <x v="315"/>
    <x v="9"/>
    <n v="19"/>
    <x v="0"/>
    <n v="252.76271186440678"/>
    <n v="0.26996580164956741"/>
    <x v="11"/>
    <n v="0.3360155382907879"/>
    <n v="0.3360155382907879"/>
    <n v="240.26666666666668"/>
    <d v="2022-12-07T00:00:00"/>
    <n v="229"/>
    <x v="2"/>
  </r>
  <r>
    <n v="504"/>
    <n v="234"/>
    <n v="244"/>
    <n v="3"/>
    <n v="732"/>
    <x v="138"/>
    <x v="12"/>
    <n v="453"/>
    <x v="8"/>
    <n v="271.18181818181819"/>
    <n v="-0.10023466309084816"/>
    <x v="8"/>
    <n v="-0.16281971303805365"/>
    <n v="-0.16281971303805365"/>
    <n v="291.45454545454544"/>
    <d v="2022-03-15T00:00:00"/>
    <n v="446"/>
    <x v="2"/>
  </r>
  <r>
    <n v="505"/>
    <n v="336"/>
    <n v="416"/>
    <n v="2"/>
    <n v="832"/>
    <x v="77"/>
    <x v="4"/>
    <n v="335"/>
    <x v="14"/>
    <n v="273.72549019607845"/>
    <n v="0.51977077363896829"/>
    <x v="63"/>
    <n v="0.56230795493342445"/>
    <n v="0.56230795493342445"/>
    <n v="266.27272727272725"/>
    <d v="2022-02-27T00:00:00"/>
    <n v="554"/>
    <x v="0"/>
  </r>
  <r>
    <n v="506"/>
    <n v="441"/>
    <n v="293"/>
    <n v="3"/>
    <n v="879"/>
    <x v="260"/>
    <x v="16"/>
    <n v="136"/>
    <x v="8"/>
    <n v="271.18181818181819"/>
    <n v="8.0455916862219201E-2"/>
    <x v="14"/>
    <n v="0.12623912603681986"/>
    <n v="0.12623912603681986"/>
    <n v="260.15789473684208"/>
    <d v="2022-10-26T00:00:00"/>
    <n v="414"/>
    <x v="3"/>
  </r>
  <r>
    <n v="507"/>
    <n v="481"/>
    <n v="63"/>
    <n v="1"/>
    <n v="63"/>
    <x v="316"/>
    <x v="4"/>
    <n v="388"/>
    <x v="14"/>
    <n v="273.72549019607845"/>
    <n v="-0.76984240687679084"/>
    <x v="22"/>
    <n v="-0.77519116397621068"/>
    <n v="-0.77519116397621068"/>
    <n v="280.23809523809524"/>
    <d v="2022-01-20T00:00:00"/>
    <n v="720"/>
    <x v="2"/>
  </r>
  <r>
    <n v="508"/>
    <n v="403"/>
    <n v="240"/>
    <n v="1"/>
    <n v="240"/>
    <x v="317"/>
    <x v="2"/>
    <n v="341"/>
    <x v="8"/>
    <n v="271.18181818181819"/>
    <n v="-0.11498491451558834"/>
    <x v="52"/>
    <n v="-1.3563501849568449E-2"/>
    <n v="-1.3563501849568449E-2"/>
    <n v="243.3"/>
    <d v="2022-06-12T00:00:00"/>
    <n v="635"/>
    <x v="2"/>
  </r>
  <r>
    <n v="509"/>
    <n v="137"/>
    <n v="432"/>
    <n v="5"/>
    <n v="2160"/>
    <x v="315"/>
    <x v="14"/>
    <n v="185"/>
    <x v="12"/>
    <n v="274.16279069767444"/>
    <n v="0.57570616676562891"/>
    <x v="18"/>
    <n v="0.70288248337028825"/>
    <n v="0.70288248337028825"/>
    <n v="253.6875"/>
    <d v="2022-05-02T00:00:00"/>
    <n v="448"/>
    <x v="0"/>
  </r>
  <r>
    <n v="510"/>
    <n v="246"/>
    <n v="196"/>
    <n v="5"/>
    <n v="980"/>
    <x v="233"/>
    <x v="7"/>
    <n v="437"/>
    <x v="11"/>
    <n v="262.63492063492066"/>
    <n v="-0.25371691043152433"/>
    <x v="21"/>
    <n v="-0.17896206655806379"/>
    <n v="-0.17896206655806379"/>
    <n v="238.72222222222223"/>
    <d v="2022-01-15T00:00:00"/>
    <n v="592"/>
    <x v="0"/>
  </r>
  <r>
    <n v="511"/>
    <n v="4"/>
    <n v="493"/>
    <n v="4"/>
    <n v="1972"/>
    <x v="318"/>
    <x v="8"/>
    <n v="263"/>
    <x v="13"/>
    <n v="258.375"/>
    <n v="0.90807934204160623"/>
    <x v="20"/>
    <n v="0.82791712104689208"/>
    <n v="0.82791712104689208"/>
    <n v="269.70588235294116"/>
    <d v="2022-02-20T00:00:00"/>
    <n v="543"/>
    <x v="4"/>
  </r>
  <r>
    <n v="512"/>
    <n v="484"/>
    <n v="436"/>
    <n v="2"/>
    <n v="872"/>
    <x v="204"/>
    <x v="7"/>
    <n v="358"/>
    <x v="2"/>
    <n v="283.468085106383"/>
    <n v="0.53809202131652012"/>
    <x v="31"/>
    <n v="0.34952380952380935"/>
    <n v="0.34952380952380935"/>
    <n v="323.07692307692309"/>
    <d v="2022-07-29T00:00:00"/>
    <n v="634"/>
    <x v="3"/>
  </r>
  <r>
    <n v="513"/>
    <n v="60"/>
    <n v="412"/>
    <n v="5"/>
    <n v="2060"/>
    <x v="71"/>
    <x v="9"/>
    <n v="377"/>
    <x v="7"/>
    <n v="249.02380952380952"/>
    <n v="0.65446027344870461"/>
    <x v="7"/>
    <n v="0.49161585365853666"/>
    <n v="0.49161585365853666"/>
    <n v="276.21052631578948"/>
    <d v="2022-08-21T00:00:00"/>
    <n v="136"/>
    <x v="0"/>
  </r>
  <r>
    <n v="514"/>
    <n v="477"/>
    <n v="117"/>
    <n v="3"/>
    <n v="351"/>
    <x v="319"/>
    <x v="15"/>
    <n v="450"/>
    <x v="3"/>
    <n v="265.47674418604652"/>
    <n v="-0.559283430423547"/>
    <x v="3"/>
    <n v="-0.50481611208406307"/>
    <n v="-0.50481611208406307"/>
    <n v="236.27586206896552"/>
    <d v="2022-02-27T00:00:00"/>
    <n v="628"/>
    <x v="2"/>
  </r>
  <r>
    <n v="515"/>
    <n v="174"/>
    <n v="301"/>
    <n v="4"/>
    <n v="1204"/>
    <x v="320"/>
    <x v="6"/>
    <n v="210"/>
    <x v="8"/>
    <n v="271.18181818181819"/>
    <n v="0.10995641971169956"/>
    <x v="52"/>
    <n v="0.23715577476366612"/>
    <n v="0.23715577476366612"/>
    <n v="243.3"/>
    <d v="2022-02-10T00:00:00"/>
    <n v="780"/>
    <x v="0"/>
  </r>
  <r>
    <n v="516"/>
    <n v="240"/>
    <n v="156"/>
    <n v="4"/>
    <n v="624"/>
    <x v="321"/>
    <x v="15"/>
    <n v="67"/>
    <x v="3"/>
    <n v="265.47674418604652"/>
    <n v="-0.41237790723139589"/>
    <x v="3"/>
    <n v="-0.33975481611208413"/>
    <n v="-0.33975481611208413"/>
    <n v="236.27586206896552"/>
    <d v="2022-06-19T00:00:00"/>
    <n v="586"/>
    <x v="0"/>
  </r>
  <r>
    <n v="517"/>
    <n v="299"/>
    <n v="141"/>
    <n v="4"/>
    <n v="564"/>
    <x v="322"/>
    <x v="10"/>
    <n v="125"/>
    <x v="8"/>
    <n v="271.18181818181819"/>
    <n v="-0.48005363727790817"/>
    <x v="14"/>
    <n v="-0.45802144446692283"/>
    <n v="-0.45802144446692283"/>
    <n v="260.15789473684208"/>
    <d v="2022-05-20T00:00:00"/>
    <n v="568"/>
    <x v="2"/>
  </r>
  <r>
    <n v="518"/>
    <n v="481"/>
    <n v="463"/>
    <n v="2"/>
    <n v="926"/>
    <x v="97"/>
    <x v="14"/>
    <n v="213"/>
    <x v="14"/>
    <n v="273.72549019607845"/>
    <n v="0.69147564469914036"/>
    <x v="22"/>
    <n v="0.65216652506372141"/>
    <n v="0.65216652506372141"/>
    <n v="280.23809523809524"/>
    <d v="2022-06-21T00:00:00"/>
    <n v="438"/>
    <x v="0"/>
  </r>
  <r>
    <n v="519"/>
    <n v="213"/>
    <n v="432"/>
    <n v="3"/>
    <n v="1296"/>
    <x v="41"/>
    <x v="13"/>
    <n v="254"/>
    <x v="0"/>
    <n v="252.76271186440678"/>
    <n v="0.70911285455642736"/>
    <x v="0"/>
    <n v="0.79625779625779636"/>
    <n v="0.79625779625779636"/>
    <n v="240.5"/>
    <d v="2022-10-28T00:00:00"/>
    <n v="334"/>
    <x v="1"/>
  </r>
  <r>
    <n v="520"/>
    <n v="484"/>
    <n v="238"/>
    <n v="2"/>
    <n v="476"/>
    <x v="323"/>
    <x v="6"/>
    <n v="252"/>
    <x v="2"/>
    <n v="283.468085106383"/>
    <n v="-0.16039930946483527"/>
    <x v="31"/>
    <n v="-0.26333333333333342"/>
    <n v="-0.26333333333333342"/>
    <n v="323.07692307692309"/>
    <d v="2022-03-23T00:00:00"/>
    <n v="721"/>
    <x v="2"/>
  </r>
  <r>
    <n v="521"/>
    <n v="479"/>
    <n v="131"/>
    <n v="5"/>
    <n v="655"/>
    <x v="324"/>
    <x v="4"/>
    <n v="164"/>
    <x v="4"/>
    <n v="250.48780487804879"/>
    <n v="-0.47702044790652387"/>
    <x v="56"/>
    <n v="-0.47106325706594887"/>
    <n v="-0.47106325706594887"/>
    <n v="247.66666666666666"/>
    <d v="2022-04-27T00:00:00"/>
    <n v="287"/>
    <x v="2"/>
  </r>
  <r>
    <n v="522"/>
    <n v="159"/>
    <n v="225"/>
    <n v="1"/>
    <n v="225"/>
    <x v="325"/>
    <x v="13"/>
    <n v="258"/>
    <x v="18"/>
    <n v="255.11627906976744"/>
    <n v="-0.11804922515952598"/>
    <x v="61"/>
    <n v="-0.1796875"/>
    <n v="-0.1796875"/>
    <n v="274.28571428571428"/>
    <d v="2022-06-05T00:00:00"/>
    <n v="299"/>
    <x v="3"/>
  </r>
  <r>
    <n v="523"/>
    <n v="110"/>
    <n v="279"/>
    <n v="1"/>
    <n v="279"/>
    <x v="326"/>
    <x v="10"/>
    <n v="290"/>
    <x v="3"/>
    <n v="265.47674418604652"/>
    <n v="5.0939512066926484E-2"/>
    <x v="16"/>
    <n v="8.4008987007913039E-3"/>
    <n v="8.4008987007913039E-3"/>
    <n v="276.67567567567568"/>
    <d v="2022-08-04T00:00:00"/>
    <n v="534"/>
    <x v="2"/>
  </r>
  <r>
    <n v="524"/>
    <n v="224"/>
    <n v="161"/>
    <n v="2"/>
    <n v="322"/>
    <x v="327"/>
    <x v="10"/>
    <n v="336"/>
    <x v="14"/>
    <n v="273.72549019607845"/>
    <n v="-0.41181948424068771"/>
    <x v="22"/>
    <n v="-0.4254885301614274"/>
    <n v="-0.4254885301614274"/>
    <n v="280.23809523809524"/>
    <d v="2022-10-22T00:00:00"/>
    <n v="321"/>
    <x v="0"/>
  </r>
  <r>
    <n v="525"/>
    <n v="126"/>
    <n v="267"/>
    <n v="1"/>
    <n v="267"/>
    <x v="63"/>
    <x v="16"/>
    <n v="437"/>
    <x v="0"/>
    <n v="252.76271186440678"/>
    <n v="5.6326694830014068E-2"/>
    <x v="45"/>
    <n v="-9.0016038492381822E-2"/>
    <n v="-9.0016038492381822E-2"/>
    <n v="293.41176470588238"/>
    <d v="2022-01-15T00:00:00"/>
    <n v="413"/>
    <x v="0"/>
  </r>
  <r>
    <n v="526"/>
    <n v="344"/>
    <n v="110"/>
    <n v="4"/>
    <n v="440"/>
    <x v="328"/>
    <x v="17"/>
    <n v="294"/>
    <x v="5"/>
    <n v="268.60344827586209"/>
    <n v="-0.59047435650555236"/>
    <x v="32"/>
    <n v="-0.56723891273247495"/>
    <n v="-0.56723891273247495"/>
    <n v="254.18181818181819"/>
    <d v="2022-11-14T00:00:00"/>
    <n v="405"/>
    <x v="3"/>
  </r>
  <r>
    <n v="527"/>
    <n v="447"/>
    <n v="316"/>
    <n v="1"/>
    <n v="316"/>
    <x v="329"/>
    <x v="9"/>
    <n v="297"/>
    <x v="9"/>
    <n v="263.25423728813558"/>
    <n v="0.20036054596961117"/>
    <x v="33"/>
    <n v="0.27162977867203209"/>
    <n v="0.27162977867203209"/>
    <n v="248.5"/>
    <d v="2022-04-15T00:00:00"/>
    <n v="455"/>
    <x v="3"/>
  </r>
  <r>
    <n v="528"/>
    <n v="450"/>
    <n v="228"/>
    <n v="4"/>
    <n v="912"/>
    <x v="164"/>
    <x v="7"/>
    <n v="27"/>
    <x v="16"/>
    <n v="300.31818181818181"/>
    <n v="-0.24080520659906157"/>
    <x v="24"/>
    <n v="-0.19072408897302418"/>
    <n v="-0.19072408897302418"/>
    <n v="281.73333333333335"/>
    <d v="2022-01-25T00:00:00"/>
    <n v="607"/>
    <x v="3"/>
  </r>
  <r>
    <n v="529"/>
    <n v="60"/>
    <n v="100"/>
    <n v="1"/>
    <n v="100"/>
    <x v="330"/>
    <x v="19"/>
    <n v="102"/>
    <x v="7"/>
    <n v="249.02380952380952"/>
    <n v="-0.59843197246390667"/>
    <x v="7"/>
    <n v="-0.63795731707317072"/>
    <n v="-0.63795731707317072"/>
    <n v="276.21052631578948"/>
    <d v="2022-06-11T00:00:00"/>
    <n v="674"/>
    <x v="0"/>
  </r>
  <r>
    <n v="530"/>
    <n v="42"/>
    <n v="332"/>
    <n v="2"/>
    <n v="664"/>
    <x v="316"/>
    <x v="0"/>
    <n v="323"/>
    <x v="13"/>
    <n v="258.375"/>
    <n v="0.28495403967102084"/>
    <x v="34"/>
    <n v="0.82848151062155773"/>
    <n v="0.82848151062155773"/>
    <n v="181.57142857142858"/>
    <d v="2022-09-17T00:00:00"/>
    <n v="480"/>
    <x v="4"/>
  </r>
  <r>
    <n v="531"/>
    <n v="267"/>
    <n v="65"/>
    <n v="2"/>
    <n v="130"/>
    <x v="213"/>
    <x v="17"/>
    <n v="53"/>
    <x v="4"/>
    <n v="250.48780487804879"/>
    <n v="-0.740506329113924"/>
    <x v="75"/>
    <n v="-0.6875"/>
    <n v="-0.6875"/>
    <n v="208"/>
    <d v="2022-02-01T00:00:00"/>
    <n v="549"/>
    <x v="2"/>
  </r>
  <r>
    <n v="532"/>
    <n v="161"/>
    <n v="489"/>
    <n v="5"/>
    <n v="2445"/>
    <x v="39"/>
    <x v="5"/>
    <n v="143"/>
    <x v="15"/>
    <n v="294.95238095238096"/>
    <n v="0.65789473684210531"/>
    <x v="23"/>
    <n v="0.53378956372968345"/>
    <n v="0.53378956372968345"/>
    <n v="318.81818181818181"/>
    <d v="2022-02-09T00:00:00"/>
    <n v="516"/>
    <x v="2"/>
  </r>
  <r>
    <n v="533"/>
    <n v="83"/>
    <n v="315"/>
    <n v="2"/>
    <n v="630"/>
    <x v="150"/>
    <x v="8"/>
    <n v="135"/>
    <x v="5"/>
    <n v="268.60344827586209"/>
    <n v="0.17273252455228172"/>
    <x v="32"/>
    <n v="0.23927038626609431"/>
    <n v="0.23927038626609431"/>
    <n v="254.18181818181819"/>
    <d v="2022-02-10T00:00:00"/>
    <n v="767"/>
    <x v="2"/>
  </r>
  <r>
    <n v="534"/>
    <n v="315"/>
    <n v="348"/>
    <n v="2"/>
    <n v="696"/>
    <x v="331"/>
    <x v="4"/>
    <n v="402"/>
    <x v="9"/>
    <n v="263.25423728813558"/>
    <n v="0.32191604429564769"/>
    <x v="43"/>
    <n v="0.21212121212121193"/>
    <n v="0.21212121212121193"/>
    <n v="287.10000000000002"/>
    <d v="2022-06-30T00:00:00"/>
    <n v="260"/>
    <x v="0"/>
  </r>
  <r>
    <n v="535"/>
    <n v="121"/>
    <n v="77"/>
    <n v="1"/>
    <n v="77"/>
    <x v="332"/>
    <x v="3"/>
    <n v="279"/>
    <x v="14"/>
    <n v="273.72549019607845"/>
    <n v="-0.71869627507163325"/>
    <x v="22"/>
    <n v="-0.72523364485981312"/>
    <n v="-0.72523364485981312"/>
    <n v="280.23809523809524"/>
    <d v="2022-08-13T00:00:00"/>
    <n v="261"/>
    <x v="0"/>
  </r>
  <r>
    <n v="536"/>
    <n v="371"/>
    <n v="62"/>
    <n v="5"/>
    <n v="310"/>
    <x v="333"/>
    <x v="2"/>
    <n v="385"/>
    <x v="0"/>
    <n v="252.76271186440678"/>
    <n v="-0.75471065513310531"/>
    <x v="45"/>
    <n v="-0.78869286287089013"/>
    <n v="-0.78869286287089013"/>
    <n v="293.41176470588238"/>
    <d v="2022-07-11T00:00:00"/>
    <n v="577"/>
    <x v="3"/>
  </r>
  <r>
    <n v="537"/>
    <n v="169"/>
    <n v="429"/>
    <n v="2"/>
    <n v="858"/>
    <x v="148"/>
    <x v="18"/>
    <n v="326"/>
    <x v="12"/>
    <n v="274.16279069767444"/>
    <n v="0.56476376282975638"/>
    <x v="65"/>
    <n v="0.66081000595592609"/>
    <n v="0.66081000595592609"/>
    <n v="258.30769230769232"/>
    <d v="2022-04-04T00:00:00"/>
    <n v="634"/>
    <x v="2"/>
  </r>
  <r>
    <n v="538"/>
    <n v="433"/>
    <n v="115"/>
    <n v="4"/>
    <n v="460"/>
    <x v="334"/>
    <x v="17"/>
    <n v="138"/>
    <x v="6"/>
    <n v="258.5128205128205"/>
    <n v="-0.55514778813727439"/>
    <x v="6"/>
    <n v="-0.55879034078086209"/>
    <n v="-0.55879034078086209"/>
    <n v="260.64705882352939"/>
    <d v="2022-06-11T00:00:00"/>
    <n v="480"/>
    <x v="3"/>
  </r>
  <r>
    <n v="539"/>
    <n v="43"/>
    <n v="158"/>
    <n v="5"/>
    <n v="790"/>
    <x v="330"/>
    <x v="8"/>
    <n v="271"/>
    <x v="2"/>
    <n v="283.468085106383"/>
    <n v="-0.44261802897245373"/>
    <x v="31"/>
    <n v="-0.51095238095238105"/>
    <n v="-0.51095238095238105"/>
    <n v="323.07692307692309"/>
    <d v="2022-11-27T00:00:00"/>
    <n v="505"/>
    <x v="1"/>
  </r>
  <r>
    <n v="540"/>
    <n v="453"/>
    <n v="318"/>
    <n v="4"/>
    <n v="1272"/>
    <x v="335"/>
    <x v="8"/>
    <n v="408"/>
    <x v="3"/>
    <n v="265.47674418604652"/>
    <n v="0.19784503525907748"/>
    <x v="19"/>
    <n v="-3.4235229155162861E-2"/>
    <n v="-3.4235229155162861E-2"/>
    <n v="329.27272727272725"/>
    <d v="2022-10-23T00:00:00"/>
    <n v="498"/>
    <x v="2"/>
  </r>
  <r>
    <n v="541"/>
    <n v="403"/>
    <n v="184"/>
    <n v="5"/>
    <n v="920"/>
    <x v="336"/>
    <x v="3"/>
    <n v="444"/>
    <x v="8"/>
    <n v="271.18181818181819"/>
    <n v="-0.32148843446195108"/>
    <x v="52"/>
    <n v="-0.24373201808466916"/>
    <n v="-0.24373201808466916"/>
    <n v="243.3"/>
    <d v="2022-05-07T00:00:00"/>
    <n v="690"/>
    <x v="2"/>
  </r>
  <r>
    <n v="542"/>
    <n v="248"/>
    <n v="497"/>
    <n v="2"/>
    <n v="994"/>
    <x v="137"/>
    <x v="9"/>
    <n v="116"/>
    <x v="17"/>
    <n v="267.85483870967744"/>
    <n v="0.85548262780755091"/>
    <x v="66"/>
    <n v="0.81635449977158525"/>
    <n v="0.81635449977158525"/>
    <n v="273.625"/>
    <d v="2022-03-23T00:00:00"/>
    <n v="408"/>
    <x v="2"/>
  </r>
  <r>
    <n v="543"/>
    <n v="492"/>
    <n v="469"/>
    <n v="4"/>
    <n v="1876"/>
    <x v="337"/>
    <x v="2"/>
    <n v="38"/>
    <x v="6"/>
    <n v="258.5128205128205"/>
    <n v="0.81422336837928988"/>
    <x v="54"/>
    <n v="0.60250569476081983"/>
    <n v="0.60250569476081983"/>
    <n v="292.66666666666669"/>
    <d v="2022-09-15T00:00:00"/>
    <n v="567"/>
    <x v="4"/>
  </r>
  <r>
    <n v="544"/>
    <n v="428"/>
    <n v="263"/>
    <n v="4"/>
    <n v="1052"/>
    <x v="258"/>
    <x v="14"/>
    <n v="136"/>
    <x v="17"/>
    <n v="267.85483870967744"/>
    <n v="-1.8124887095803066E-2"/>
    <x v="35"/>
    <n v="5.0910167233979564E-2"/>
    <n v="5.0910167233979564E-2"/>
    <n v="250.25925925925927"/>
    <d v="2022-10-26T00:00:00"/>
    <n v="525"/>
    <x v="3"/>
  </r>
  <r>
    <n v="545"/>
    <n v="91"/>
    <n v="335"/>
    <n v="2"/>
    <n v="670"/>
    <x v="338"/>
    <x v="15"/>
    <n v="310"/>
    <x v="11"/>
    <n v="262.63492063492066"/>
    <n v="0.27553487247673147"/>
    <x v="47"/>
    <n v="0.23616236162361615"/>
    <n v="0.23616236162361615"/>
    <n v="271"/>
    <d v="2022-09-03T00:00:00"/>
    <n v="379"/>
    <x v="4"/>
  </r>
  <r>
    <n v="546"/>
    <n v="122"/>
    <n v="309"/>
    <n v="3"/>
    <n v="927"/>
    <x v="339"/>
    <x v="11"/>
    <n v="263"/>
    <x v="12"/>
    <n v="274.16279069767444"/>
    <n v="0.12706760539485962"/>
    <x v="50"/>
    <n v="0.10095011876484561"/>
    <n v="0.10095011876484561"/>
    <n v="280.66666666666669"/>
    <d v="2022-02-20T00:00:00"/>
    <n v="461"/>
    <x v="4"/>
  </r>
  <r>
    <n v="547"/>
    <n v="444"/>
    <n v="59"/>
    <n v="2"/>
    <n v="118"/>
    <x v="340"/>
    <x v="19"/>
    <n v="381"/>
    <x v="9"/>
    <n v="263.25423728813558"/>
    <n v="-0.77588204996137011"/>
    <x v="33"/>
    <n v="-0.76257545271629779"/>
    <n v="-0.76257545271629779"/>
    <n v="248.5"/>
    <d v="2022-06-02T00:00:00"/>
    <n v="549"/>
    <x v="0"/>
  </r>
  <r>
    <n v="548"/>
    <n v="334"/>
    <n v="459"/>
    <n v="5"/>
    <n v="2295"/>
    <x v="341"/>
    <x v="0"/>
    <n v="167"/>
    <x v="15"/>
    <n v="294.95238095238096"/>
    <n v="0.55618340329350979"/>
    <x v="41"/>
    <n v="0.67044076021027088"/>
    <n v="0.67044076021027088"/>
    <n v="274.77777777777777"/>
    <d v="2022-01-02T00:00:00"/>
    <n v="583"/>
    <x v="0"/>
  </r>
  <r>
    <n v="549"/>
    <n v="431"/>
    <n v="149"/>
    <n v="5"/>
    <n v="745"/>
    <x v="305"/>
    <x v="15"/>
    <n v="12"/>
    <x v="4"/>
    <n v="250.48780487804879"/>
    <n v="-0.40516066212268742"/>
    <x v="56"/>
    <n v="-0.39838492597577391"/>
    <n v="-0.39838492597577391"/>
    <n v="247.66666666666666"/>
    <d v="2022-10-08T00:00:00"/>
    <n v="429"/>
    <x v="1"/>
  </r>
  <r>
    <n v="550"/>
    <n v="62"/>
    <n v="88"/>
    <n v="1"/>
    <n v="88"/>
    <x v="342"/>
    <x v="6"/>
    <n v="44"/>
    <x v="6"/>
    <n v="258.5128205128205"/>
    <n v="-0.65959135092243604"/>
    <x v="60"/>
    <n v="-0.69643541586814872"/>
    <n v="-0.69643541586814872"/>
    <n v="289.88888888888891"/>
    <d v="2022-05-20T00:00:00"/>
    <n v="249"/>
    <x v="1"/>
  </r>
  <r>
    <n v="551"/>
    <n v="458"/>
    <n v="79"/>
    <n v="2"/>
    <n v="158"/>
    <x v="343"/>
    <x v="14"/>
    <n v="133"/>
    <x v="3"/>
    <n v="265.47674418604652"/>
    <n v="-0.70242214532871972"/>
    <x v="3"/>
    <n v="-0.66564506713368354"/>
    <n v="-0.66564506713368354"/>
    <n v="236.27586206896552"/>
    <d v="2022-01-27T00:00:00"/>
    <n v="435"/>
    <x v="0"/>
  </r>
  <r>
    <n v="552"/>
    <n v="119"/>
    <n v="369"/>
    <n v="2"/>
    <n v="738"/>
    <x v="175"/>
    <x v="12"/>
    <n v="21"/>
    <x v="2"/>
    <n v="283.468085106383"/>
    <n v="0.30173384372888989"/>
    <x v="31"/>
    <n v="0.14214285714285713"/>
    <n v="0.14214285714285713"/>
    <n v="323.07692307692309"/>
    <d v="2022-11-16T00:00:00"/>
    <n v="224"/>
    <x v="1"/>
  </r>
  <r>
    <n v="553"/>
    <n v="388"/>
    <n v="107"/>
    <n v="1"/>
    <n v="107"/>
    <x v="344"/>
    <x v="4"/>
    <n v="179"/>
    <x v="6"/>
    <n v="258.5128205128205"/>
    <n v="-0.5860940289625074"/>
    <x v="6"/>
    <n v="-0.58948318663958466"/>
    <n v="-0.58948318663958466"/>
    <n v="260.64705882352939"/>
    <d v="2022-09-29T00:00:00"/>
    <n v="304"/>
    <x v="2"/>
  </r>
  <r>
    <n v="554"/>
    <n v="303"/>
    <n v="258"/>
    <n v="4"/>
    <n v="1032"/>
    <x v="185"/>
    <x v="10"/>
    <n v="300"/>
    <x v="12"/>
    <n v="274.16279069767444"/>
    <n v="-5.89532615149716E-2"/>
    <x v="65"/>
    <n v="-1.1911852293031711E-3"/>
    <n v="-1.1911852293031711E-3"/>
    <n v="258.30769230769232"/>
    <d v="2022-09-20T00:00:00"/>
    <n v="252"/>
    <x v="3"/>
  </r>
  <r>
    <n v="555"/>
    <n v="160"/>
    <n v="400"/>
    <n v="3"/>
    <n v="1200"/>
    <x v="345"/>
    <x v="19"/>
    <n v="134"/>
    <x v="18"/>
    <n v="255.11627906976744"/>
    <n v="0.56791248860528709"/>
    <x v="34"/>
    <n v="0.59803318992009835"/>
    <n v="0.59803318992009835"/>
    <n v="250.30769230769232"/>
    <d v="2022-07-11T00:00:00"/>
    <n v="428"/>
    <x v="2"/>
  </r>
  <r>
    <n v="556"/>
    <n v="66"/>
    <n v="230"/>
    <n v="2"/>
    <n v="460"/>
    <x v="289"/>
    <x v="13"/>
    <n v="391"/>
    <x v="7"/>
    <n v="249.02380952380952"/>
    <n v="-7.639353666698534E-2"/>
    <x v="39"/>
    <n v="3.5103510351035094E-2"/>
    <n v="3.5103510351035094E-2"/>
    <n v="222.2"/>
    <d v="2022-04-24T00:00:00"/>
    <n v="399"/>
    <x v="4"/>
  </r>
  <r>
    <n v="557"/>
    <n v="125"/>
    <n v="187"/>
    <n v="5"/>
    <n v="935"/>
    <x v="22"/>
    <x v="15"/>
    <n v="54"/>
    <x v="13"/>
    <n v="258.375"/>
    <n v="-0.27624576681180457"/>
    <x v="61"/>
    <n v="0"/>
    <n v="0"/>
    <n v="187"/>
    <d v="2022-10-13T00:00:00"/>
    <n v="180"/>
    <x v="1"/>
  </r>
  <r>
    <n v="558"/>
    <n v="280"/>
    <n v="234"/>
    <n v="2"/>
    <n v="468"/>
    <x v="346"/>
    <x v="4"/>
    <n v="19"/>
    <x v="11"/>
    <n v="262.63492063492066"/>
    <n v="-0.10902937265804435"/>
    <x v="21"/>
    <n v="-1.9781242727484272E-2"/>
    <n v="-1.9781242727484272E-2"/>
    <n v="238.72222222222223"/>
    <d v="2022-12-07T00:00:00"/>
    <n v="186"/>
    <x v="2"/>
  </r>
  <r>
    <n v="559"/>
    <n v="309"/>
    <n v="368"/>
    <n v="3"/>
    <n v="1104"/>
    <x v="111"/>
    <x v="7"/>
    <n v="340"/>
    <x v="17"/>
    <n v="267.85483870967744"/>
    <n v="0.37387848497621468"/>
    <x v="27"/>
    <n v="0.27672228646951913"/>
    <n v="0.27672228646951913"/>
    <n v="288.23809523809524"/>
    <d v="2022-12-01T00:00:00"/>
    <n v="64"/>
    <x v="2"/>
  </r>
  <r>
    <n v="560"/>
    <n v="317"/>
    <n v="267"/>
    <n v="3"/>
    <n v="801"/>
    <x v="193"/>
    <x v="18"/>
    <n v="71"/>
    <x v="5"/>
    <n v="268.60344827586209"/>
    <n v="-5.9695744271135442E-3"/>
    <x v="5"/>
    <n v="-5.3086556577634947E-2"/>
    <n v="-5.3086556577634947E-2"/>
    <n v="281.96875"/>
    <d v="2022-07-20T00:00:00"/>
    <n v="634"/>
    <x v="3"/>
  </r>
  <r>
    <n v="561"/>
    <n v="260"/>
    <n v="370"/>
    <n v="5"/>
    <n v="1850"/>
    <x v="347"/>
    <x v="10"/>
    <n v="102"/>
    <x v="1"/>
    <n v="264.8679245283019"/>
    <n v="0.39692263855250021"/>
    <x v="13"/>
    <n v="0.15320067130184589"/>
    <n v="0.15320067130184589"/>
    <n v="320.84615384615387"/>
    <d v="2022-06-11T00:00:00"/>
    <n v="235"/>
    <x v="0"/>
  </r>
  <r>
    <n v="562"/>
    <n v="448"/>
    <n v="170"/>
    <n v="1"/>
    <n v="170"/>
    <x v="263"/>
    <x v="18"/>
    <n v="43"/>
    <x v="9"/>
    <n v="263.25423728813558"/>
    <n v="-0.35423641514293069"/>
    <x v="9"/>
    <n v="-0.34052960026986001"/>
    <n v="-0.34052960026986001"/>
    <n v="257.78260869565219"/>
    <d v="2022-12-17T00:00:00"/>
    <n v="163"/>
    <x v="2"/>
  </r>
  <r>
    <n v="563"/>
    <n v="158"/>
    <n v="71"/>
    <n v="2"/>
    <n v="142"/>
    <x v="137"/>
    <x v="5"/>
    <n v="29"/>
    <x v="0"/>
    <n v="252.76271186440678"/>
    <n v="-0.71910413732984646"/>
    <x v="11"/>
    <n v="-0.7044950055493896"/>
    <n v="-0.7044950055493896"/>
    <n v="240.26666666666668"/>
    <d v="2022-05-23T00:00:00"/>
    <n v="347"/>
    <x v="2"/>
  </r>
  <r>
    <n v="564"/>
    <n v="274"/>
    <n v="472"/>
    <n v="3"/>
    <n v="1416"/>
    <x v="306"/>
    <x v="1"/>
    <n v="272"/>
    <x v="15"/>
    <n v="294.95238095238096"/>
    <n v="0.60025831449790124"/>
    <x v="23"/>
    <n v="0.48046763615625898"/>
    <n v="0.48046763615625898"/>
    <n v="318.81818181818181"/>
    <d v="2022-04-17T00:00:00"/>
    <n v="740"/>
    <x v="4"/>
  </r>
  <r>
    <n v="565"/>
    <n v="471"/>
    <n v="294"/>
    <n v="2"/>
    <n v="588"/>
    <x v="348"/>
    <x v="3"/>
    <n v="370"/>
    <x v="4"/>
    <n v="250.48780487804879"/>
    <n v="0.17370983446932819"/>
    <x v="4"/>
    <n v="0.8467336683417086"/>
    <n v="0.8467336683417086"/>
    <n v="159.19999999999999"/>
    <d v="2022-06-14T00:00:00"/>
    <n v="386"/>
    <x v="4"/>
  </r>
  <r>
    <n v="566"/>
    <n v="398"/>
    <n v="65"/>
    <n v="4"/>
    <n v="260"/>
    <x v="349"/>
    <x v="7"/>
    <n v="165"/>
    <x v="5"/>
    <n v="268.60344827586209"/>
    <n v="-0.75800757429873555"/>
    <x v="5"/>
    <n v="-0.7694780006649673"/>
    <n v="-0.7694780006649673"/>
    <n v="281.96875"/>
    <d v="2022-02-07T00:00:00"/>
    <n v="456"/>
    <x v="4"/>
  </r>
  <r>
    <n v="567"/>
    <n v="395"/>
    <n v="454"/>
    <n v="5"/>
    <n v="2270"/>
    <x v="350"/>
    <x v="4"/>
    <n v="147"/>
    <x v="1"/>
    <n v="264.8679245283019"/>
    <n v="0.71406183216982466"/>
    <x v="64"/>
    <n v="0.91628561378825202"/>
    <n v="0.91628561378825202"/>
    <n v="236.91666666666666"/>
    <d v="2022-09-23T00:00:00"/>
    <n v="451"/>
    <x v="2"/>
  </r>
  <r>
    <n v="568"/>
    <n v="424"/>
    <n v="472"/>
    <n v="3"/>
    <n v="1416"/>
    <x v="56"/>
    <x v="14"/>
    <n v="181"/>
    <x v="2"/>
    <n v="283.468085106383"/>
    <n v="0.66509044509494841"/>
    <x v="31"/>
    <n v="0.46095238095238078"/>
    <n v="0.46095238095238078"/>
    <n v="323.07692307692309"/>
    <d v="2022-01-07T00:00:00"/>
    <n v="855"/>
    <x v="3"/>
  </r>
  <r>
    <n v="569"/>
    <n v="474"/>
    <n v="261"/>
    <n v="2"/>
    <n v="522"/>
    <x v="320"/>
    <x v="19"/>
    <n v="88"/>
    <x v="15"/>
    <n v="294.95238095238096"/>
    <n v="-0.11511139812721993"/>
    <x v="23"/>
    <n v="-0.18135158254918737"/>
    <n v="-0.18135158254918737"/>
    <n v="318.81818181818181"/>
    <d v="2022-03-10T00:00:00"/>
    <n v="752"/>
    <x v="3"/>
  </r>
  <r>
    <n v="570"/>
    <n v="346"/>
    <n v="390"/>
    <n v="5"/>
    <n v="1950"/>
    <x v="351"/>
    <x v="12"/>
    <n v="10"/>
    <x v="8"/>
    <n v="271.18181818181819"/>
    <n v="0.43814951391216894"/>
    <x v="8"/>
    <n v="0.33811603243917654"/>
    <n v="0.33811603243917654"/>
    <n v="291.45454545454544"/>
    <d v="2022-11-16T00:00:00"/>
    <n v="521"/>
    <x v="3"/>
  </r>
  <r>
    <n v="571"/>
    <n v="132"/>
    <n v="497"/>
    <n v="4"/>
    <n v="1988"/>
    <x v="195"/>
    <x v="19"/>
    <n v="364"/>
    <x v="6"/>
    <n v="258.5128205128205"/>
    <n v="0.92253521126760574"/>
    <x v="6"/>
    <n v="0.90679304897314394"/>
    <n v="0.90679304897314394"/>
    <n v="260.64705882352939"/>
    <d v="2022-11-18T00:00:00"/>
    <n v="104"/>
    <x v="2"/>
  </r>
  <r>
    <n v="572"/>
    <n v="17"/>
    <n v="363"/>
    <n v="4"/>
    <n v="1452"/>
    <x v="352"/>
    <x v="12"/>
    <n v="277"/>
    <x v="7"/>
    <n v="249.02380952380952"/>
    <n v="0.45769193995601887"/>
    <x v="7"/>
    <n v="0.31421493902439024"/>
    <n v="0.31421493902439024"/>
    <n v="276.21052631578948"/>
    <d v="2022-07-08T00:00:00"/>
    <n v="441"/>
    <x v="2"/>
  </r>
  <r>
    <n v="573"/>
    <n v="63"/>
    <n v="251"/>
    <n v="1"/>
    <n v="251"/>
    <x v="242"/>
    <x v="11"/>
    <n v="214"/>
    <x v="6"/>
    <n v="258.5128205128205"/>
    <n v="-2.9061694108311831E-2"/>
    <x v="60"/>
    <n v="-0.13415101571483334"/>
    <n v="-0.13415101571483334"/>
    <n v="289.88888888888891"/>
    <d v="2022-02-09T00:00:00"/>
    <n v="486"/>
    <x v="2"/>
  </r>
  <r>
    <n v="574"/>
    <n v="89"/>
    <n v="492"/>
    <n v="2"/>
    <n v="984"/>
    <x v="296"/>
    <x v="9"/>
    <n v="402"/>
    <x v="17"/>
    <n v="267.85483870967744"/>
    <n v="0.83681580056602622"/>
    <x v="27"/>
    <n v="0.70692218734511814"/>
    <n v="0.70692218734511814"/>
    <n v="288.23809523809524"/>
    <d v="2022-06-30T00:00:00"/>
    <n v="193"/>
    <x v="0"/>
  </r>
  <r>
    <n v="575"/>
    <n v="260"/>
    <n v="449"/>
    <n v="1"/>
    <n v="449"/>
    <x v="115"/>
    <x v="16"/>
    <n v="490"/>
    <x v="1"/>
    <n v="264.8679245283019"/>
    <n v="0.69518449921641245"/>
    <x v="13"/>
    <n v="0.39942459841764566"/>
    <n v="0.39942459841764566"/>
    <n v="320.84615384615387"/>
    <d v="2022-02-11T00:00:00"/>
    <n v="422"/>
    <x v="2"/>
  </r>
  <r>
    <n v="576"/>
    <n v="27"/>
    <n v="193"/>
    <n v="1"/>
    <n v="193"/>
    <x v="353"/>
    <x v="7"/>
    <n v="151"/>
    <x v="3"/>
    <n v="265.47674418604652"/>
    <n v="-0.27300600061320135"/>
    <x v="16"/>
    <n v="-0.30243235322848494"/>
    <n v="-0.30243235322848494"/>
    <n v="276.67567567567568"/>
    <d v="2022-12-28T00:00:00"/>
    <n v="138"/>
    <x v="1"/>
  </r>
  <r>
    <n v="577"/>
    <n v="221"/>
    <n v="406"/>
    <n v="3"/>
    <n v="1218"/>
    <x v="354"/>
    <x v="19"/>
    <n v="409"/>
    <x v="14"/>
    <n v="273.72549019607845"/>
    <n v="0.48323782234957013"/>
    <x v="22"/>
    <n v="0.44876805437553102"/>
    <n v="0.44876805437553102"/>
    <n v="280.23809523809524"/>
    <d v="2022-11-04T00:00:00"/>
    <n v="130"/>
    <x v="3"/>
  </r>
  <r>
    <n v="578"/>
    <n v="127"/>
    <n v="384"/>
    <n v="2"/>
    <n v="768"/>
    <x v="168"/>
    <x v="11"/>
    <n v="348"/>
    <x v="4"/>
    <n v="250.48780487804879"/>
    <n v="0.53300876338851011"/>
    <x v="75"/>
    <n v="0.84615384615384626"/>
    <n v="0.84615384615384626"/>
    <n v="208"/>
    <d v="2022-01-08T00:00:00"/>
    <n v="441"/>
    <x v="3"/>
  </r>
  <r>
    <n v="579"/>
    <n v="464"/>
    <n v="356"/>
    <n v="4"/>
    <n v="1424"/>
    <x v="173"/>
    <x v="11"/>
    <n v="255"/>
    <x v="11"/>
    <n v="262.63492063492066"/>
    <n v="0.35549377493049672"/>
    <x v="47"/>
    <n v="0.31365313653136528"/>
    <n v="0.31365313653136528"/>
    <n v="271"/>
    <d v="2022-08-20T00:00:00"/>
    <n v="238"/>
    <x v="3"/>
  </r>
  <r>
    <n v="580"/>
    <n v="426"/>
    <n v="438"/>
    <n v="1"/>
    <n v="438"/>
    <x v="261"/>
    <x v="2"/>
    <n v="27"/>
    <x v="2"/>
    <n v="283.468085106383"/>
    <n v="0.54514748930421075"/>
    <x v="46"/>
    <n v="0.36178631995477684"/>
    <n v="0.36178631995477684"/>
    <n v="321.63636363636363"/>
    <d v="2022-01-25T00:00:00"/>
    <n v="346"/>
    <x v="3"/>
  </r>
  <r>
    <n v="581"/>
    <n v="224"/>
    <n v="232"/>
    <n v="5"/>
    <n v="1160"/>
    <x v="274"/>
    <x v="19"/>
    <n v="219"/>
    <x v="14"/>
    <n v="273.72549019607845"/>
    <n v="-0.15243553008596"/>
    <x v="22"/>
    <n v="-0.17213254035683945"/>
    <n v="-0.17213254035683945"/>
    <n v="280.23809523809524"/>
    <d v="2022-01-24T00:00:00"/>
    <n v="747"/>
    <x v="4"/>
  </r>
  <r>
    <n v="582"/>
    <n v="198"/>
    <n v="383"/>
    <n v="2"/>
    <n v="766"/>
    <x v="355"/>
    <x v="5"/>
    <n v="272"/>
    <x v="10"/>
    <n v="271.74545454545455"/>
    <n v="0.40940719925063562"/>
    <x v="15"/>
    <n v="0.2097920505396158"/>
    <n v="0.2097920505396158"/>
    <n v="316.58333333333331"/>
    <d v="2022-04-17T00:00:00"/>
    <n v="725"/>
    <x v="4"/>
  </r>
  <r>
    <n v="583"/>
    <n v="233"/>
    <n v="419"/>
    <n v="5"/>
    <n v="2095"/>
    <x v="310"/>
    <x v="17"/>
    <n v="388"/>
    <x v="9"/>
    <n v="263.25423728813558"/>
    <n v="0.59161730620654129"/>
    <x v="9"/>
    <n v="0.62540057345252142"/>
    <n v="0.62540057345252142"/>
    <n v="257.78260869565219"/>
    <d v="2022-01-20T00:00:00"/>
    <n v="723"/>
    <x v="2"/>
  </r>
  <r>
    <n v="584"/>
    <n v="355"/>
    <n v="210"/>
    <n v="1"/>
    <n v="210"/>
    <x v="302"/>
    <x v="6"/>
    <n v="446"/>
    <x v="7"/>
    <n v="249.02380952380952"/>
    <n v="-0.15670714217420401"/>
    <x v="7"/>
    <n v="-0.23971036585365857"/>
    <n v="-0.23971036585365857"/>
    <n v="276.21052631578948"/>
    <d v="2022-04-20T00:00:00"/>
    <n v="542"/>
    <x v="4"/>
  </r>
  <r>
    <n v="585"/>
    <n v="118"/>
    <n v="214"/>
    <n v="2"/>
    <n v="428"/>
    <x v="18"/>
    <x v="6"/>
    <n v="138"/>
    <x v="0"/>
    <n v="252.76271186440678"/>
    <n v="-0.15335613223362166"/>
    <x v="0"/>
    <n v="-0.11018711018711014"/>
    <n v="-0.11018711018711014"/>
    <n v="240.5"/>
    <d v="2022-06-11T00:00:00"/>
    <n v="335"/>
    <x v="3"/>
  </r>
  <r>
    <n v="586"/>
    <n v="414"/>
    <n v="115"/>
    <n v="2"/>
    <n v="230"/>
    <x v="309"/>
    <x v="4"/>
    <n v="402"/>
    <x v="12"/>
    <n v="274.16279069767444"/>
    <n v="-0.58054118245822384"/>
    <x v="18"/>
    <n v="-0.54668637595466862"/>
    <n v="-0.54668637595466862"/>
    <n v="253.6875"/>
    <d v="2022-06-30T00:00:00"/>
    <n v="352"/>
    <x v="0"/>
  </r>
  <r>
    <n v="587"/>
    <n v="405"/>
    <n v="340"/>
    <n v="1"/>
    <n v="340"/>
    <x v="302"/>
    <x v="3"/>
    <n v="351"/>
    <x v="16"/>
    <n v="300.31818181818181"/>
    <n v="0.1321325866505223"/>
    <x v="51"/>
    <n v="2.6673376950176131E-2"/>
    <n v="2.6673376950176131E-2"/>
    <n v="331.16666666666669"/>
    <d v="2022-10-29T00:00:00"/>
    <n v="350"/>
    <x v="2"/>
  </r>
  <r>
    <n v="588"/>
    <n v="313"/>
    <n v="392"/>
    <n v="5"/>
    <n v="1960"/>
    <x v="73"/>
    <x v="0"/>
    <n v="40"/>
    <x v="17"/>
    <n v="267.85483870967744"/>
    <n v="0.46347925573553317"/>
    <x v="35"/>
    <n v="0.56637561047802265"/>
    <n v="0.56637561047802265"/>
    <n v="250.25925925925927"/>
    <d v="2022-10-21T00:00:00"/>
    <n v="254"/>
    <x v="2"/>
  </r>
  <r>
    <n v="589"/>
    <n v="113"/>
    <n v="378"/>
    <n v="1"/>
    <n v="378"/>
    <x v="104"/>
    <x v="2"/>
    <n v="19"/>
    <x v="5"/>
    <n v="268.60344827586209"/>
    <n v="0.4072790294627382"/>
    <x v="28"/>
    <n v="0.55672032946462013"/>
    <n v="0.55672032946462013"/>
    <n v="242.81818181818181"/>
    <d v="2022-12-07T00:00:00"/>
    <n v="375"/>
    <x v="2"/>
  </r>
  <r>
    <n v="590"/>
    <n v="474"/>
    <n v="204"/>
    <n v="2"/>
    <n v="408"/>
    <x v="6"/>
    <x v="15"/>
    <n v="153"/>
    <x v="15"/>
    <n v="294.95238095238096"/>
    <n v="-0.30836293186955122"/>
    <x v="23"/>
    <n v="-0.36013686911890508"/>
    <n v="-0.36013686911890508"/>
    <n v="318.81818181818181"/>
    <d v="2022-08-29T00:00:00"/>
    <n v="547"/>
    <x v="2"/>
  </r>
  <r>
    <n v="591"/>
    <n v="361"/>
    <n v="69"/>
    <n v="1"/>
    <n v="69"/>
    <x v="304"/>
    <x v="19"/>
    <n v="355"/>
    <x v="10"/>
    <n v="271.74545454545455"/>
    <n v="-0.74608590927338425"/>
    <x v="12"/>
    <n v="-0.67577092511013215"/>
    <n v="-0.67577092511013215"/>
    <n v="212.8125"/>
    <d v="2022-03-11T00:00:00"/>
    <n v="390"/>
    <x v="2"/>
  </r>
  <r>
    <n v="592"/>
    <n v="291"/>
    <n v="455"/>
    <n v="5"/>
    <n v="2275"/>
    <x v="213"/>
    <x v="10"/>
    <n v="245"/>
    <x v="6"/>
    <n v="258.5128205128205"/>
    <n v="0.76006744693513206"/>
    <x v="60"/>
    <n v="0.56956688386354903"/>
    <n v="0.56956688386354903"/>
    <n v="289.88888888888891"/>
    <d v="2022-05-14T00:00:00"/>
    <n v="447"/>
    <x v="0"/>
  </r>
  <r>
    <n v="593"/>
    <n v="360"/>
    <n v="137"/>
    <n v="2"/>
    <n v="274"/>
    <x v="356"/>
    <x v="14"/>
    <n v="80"/>
    <x v="1"/>
    <n v="264.8679245283019"/>
    <n v="-0.48276107707650662"/>
    <x v="64"/>
    <n v="-0.42173760112557157"/>
    <n v="-0.42173760112557157"/>
    <n v="236.91666666666666"/>
    <d v="2022-03-03T00:00:00"/>
    <n v="695"/>
    <x v="1"/>
  </r>
  <r>
    <n v="594"/>
    <n v="182"/>
    <n v="152"/>
    <n v="3"/>
    <n v="456"/>
    <x v="357"/>
    <x v="14"/>
    <n v="466"/>
    <x v="1"/>
    <n v="264.8679245283019"/>
    <n v="-0.42612907821627011"/>
    <x v="13"/>
    <n v="-0.5262526971949173"/>
    <n v="-0.5262526971949173"/>
    <n v="320.84615384615387"/>
    <d v="2022-07-30T00:00:00"/>
    <n v="281"/>
    <x v="1"/>
  </r>
  <r>
    <n v="595"/>
    <n v="490"/>
    <n v="170"/>
    <n v="5"/>
    <n v="850"/>
    <x v="18"/>
    <x v="9"/>
    <n v="317"/>
    <x v="11"/>
    <n v="262.63492063492066"/>
    <n v="-0.35271364680285267"/>
    <x v="47"/>
    <n v="-0.37269372693726932"/>
    <n v="-0.37269372693726932"/>
    <n v="271"/>
    <d v="2022-07-28T00:00:00"/>
    <n v="288"/>
    <x v="2"/>
  </r>
  <r>
    <n v="596"/>
    <n v="215"/>
    <n v="496"/>
    <n v="2"/>
    <n v="992"/>
    <x v="358"/>
    <x v="4"/>
    <n v="342"/>
    <x v="5"/>
    <n v="268.60344827586209"/>
    <n v="0.84658835612041838"/>
    <x v="5"/>
    <n v="0.75906017954117266"/>
    <n v="0.75906017954117266"/>
    <n v="281.96875"/>
    <d v="2022-01-09T00:00:00"/>
    <n v="834"/>
    <x v="4"/>
  </r>
  <r>
    <n v="597"/>
    <n v="137"/>
    <n v="411"/>
    <n v="1"/>
    <n v="411"/>
    <x v="231"/>
    <x v="19"/>
    <n v="130"/>
    <x v="12"/>
    <n v="274.16279069767444"/>
    <n v="0.49910933921452183"/>
    <x v="18"/>
    <n v="0.62010347376201036"/>
    <n v="0.62010347376201036"/>
    <n v="253.6875"/>
    <d v="2022-10-29T00:00:00"/>
    <n v="329"/>
    <x v="4"/>
  </r>
  <r>
    <n v="598"/>
    <n v="75"/>
    <n v="240"/>
    <n v="4"/>
    <n v="960"/>
    <x v="359"/>
    <x v="14"/>
    <n v="53"/>
    <x v="2"/>
    <n v="283.468085106383"/>
    <n v="-0.15334384147714486"/>
    <x v="36"/>
    <n v="-3.8076152304609256E-2"/>
    <n v="-3.8076152304609256E-2"/>
    <n v="249.5"/>
    <d v="2022-02-01T00:00:00"/>
    <n v="555"/>
    <x v="2"/>
  </r>
  <r>
    <n v="599"/>
    <n v="359"/>
    <n v="302"/>
    <n v="4"/>
    <n v="1208"/>
    <x v="183"/>
    <x v="14"/>
    <n v="122"/>
    <x v="10"/>
    <n v="271.74545454545455"/>
    <n v="0.11133413622373878"/>
    <x v="15"/>
    <n v="-4.6064753882600673E-2"/>
    <n v="-4.6064753882600673E-2"/>
    <n v="316.58333333333331"/>
    <d v="2022-05-02T00:00:00"/>
    <n v="512"/>
    <x v="1"/>
  </r>
  <r>
    <n v="600"/>
    <n v="364"/>
    <n v="138"/>
    <n v="4"/>
    <n v="552"/>
    <x v="294"/>
    <x v="14"/>
    <n v="199"/>
    <x v="0"/>
    <n v="252.76271186440678"/>
    <n v="-0.45403339368336348"/>
    <x v="45"/>
    <n v="-0.52967121090617486"/>
    <n v="-0.52967121090617486"/>
    <n v="293.41176470588238"/>
    <d v="2022-06-03T00:00:00"/>
    <n v="541"/>
    <x v="0"/>
  </r>
  <r>
    <n v="601"/>
    <n v="197"/>
    <n v="309"/>
    <n v="4"/>
    <n v="1236"/>
    <x v="155"/>
    <x v="7"/>
    <n v="52"/>
    <x v="2"/>
    <n v="283.468085106383"/>
    <n v="9.0069804098175998E-2"/>
    <x v="2"/>
    <n v="0.32934990439770551"/>
    <n v="0.32934990439770551"/>
    <n v="232.44444444444446"/>
    <d v="2022-12-22T00:00:00"/>
    <n v="295"/>
    <x v="2"/>
  </r>
  <r>
    <n v="602"/>
    <n v="157"/>
    <n v="473"/>
    <n v="5"/>
    <n v="2365"/>
    <x v="139"/>
    <x v="14"/>
    <n v="477"/>
    <x v="11"/>
    <n v="262.63492063492066"/>
    <n v="0.80097908860147449"/>
    <x v="21"/>
    <n v="0.98138235978589705"/>
    <n v="0.98138235978589705"/>
    <n v="238.72222222222223"/>
    <d v="2022-06-26T00:00:00"/>
    <n v="274"/>
    <x v="0"/>
  </r>
  <r>
    <n v="603"/>
    <n v="105"/>
    <n v="187"/>
    <n v="1"/>
    <n v="187"/>
    <x v="123"/>
    <x v="11"/>
    <n v="24"/>
    <x v="12"/>
    <n v="274.16279069767444"/>
    <n v="-0.31792348799728565"/>
    <x v="50"/>
    <n v="-0.333729216152019"/>
    <n v="-0.333729216152019"/>
    <n v="280.66666666666669"/>
    <d v="2022-02-17T00:00:00"/>
    <n v="429"/>
    <x v="0"/>
  </r>
  <r>
    <n v="604"/>
    <n v="479"/>
    <n v="314"/>
    <n v="3"/>
    <n v="942"/>
    <x v="360"/>
    <x v="8"/>
    <n v="293"/>
    <x v="4"/>
    <n v="250.48780487804879"/>
    <n v="0.25355404089581302"/>
    <x v="56"/>
    <n v="0.26783310901749657"/>
    <n v="0.26783310901749657"/>
    <n v="247.66666666666666"/>
    <d v="2022-01-12T00:00:00"/>
    <n v="856"/>
    <x v="1"/>
  </r>
  <r>
    <n v="605"/>
    <n v="285"/>
    <n v="122"/>
    <n v="5"/>
    <n v="610"/>
    <x v="107"/>
    <x v="9"/>
    <n v="447"/>
    <x v="3"/>
    <n v="265.47674418604652"/>
    <n v="-0.5404493889886558"/>
    <x v="16"/>
    <n v="-0.55905050307707338"/>
    <n v="-0.55905050307707338"/>
    <n v="276.67567567567568"/>
    <d v="2022-12-03T00:00:00"/>
    <n v="61"/>
    <x v="4"/>
  </r>
  <r>
    <n v="606"/>
    <n v="93"/>
    <n v="184"/>
    <n v="2"/>
    <n v="368"/>
    <x v="0"/>
    <x v="11"/>
    <n v="163"/>
    <x v="8"/>
    <n v="271.18181818181819"/>
    <n v="-0.32148843446195108"/>
    <x v="8"/>
    <n v="-0.36868371802869615"/>
    <n v="-0.36868371802869615"/>
    <n v="291.45454545454544"/>
    <d v="2022-01-10T00:00:00"/>
    <n v="616"/>
    <x v="0"/>
  </r>
  <r>
    <n v="607"/>
    <n v="199"/>
    <n v="172"/>
    <n v="3"/>
    <n v="516"/>
    <x v="361"/>
    <x v="14"/>
    <n v="421"/>
    <x v="3"/>
    <n v="265.47674418604652"/>
    <n v="-0.35210897463974422"/>
    <x v="3"/>
    <n v="-0.27203736135434908"/>
    <n v="-0.27203736135434908"/>
    <n v="236.27586206896552"/>
    <d v="2022-02-28T00:00:00"/>
    <n v="603"/>
    <x v="2"/>
  </r>
  <r>
    <n v="608"/>
    <n v="122"/>
    <n v="482"/>
    <n v="4"/>
    <n v="1928"/>
    <x v="123"/>
    <x v="15"/>
    <n v="320"/>
    <x v="12"/>
    <n v="274.16279069767444"/>
    <n v="0.75807956569683599"/>
    <x v="50"/>
    <n v="0.71733966745843225"/>
    <n v="0.71733966745843225"/>
    <n v="280.66666666666669"/>
    <d v="2022-11-04T00:00:00"/>
    <n v="169"/>
    <x v="1"/>
  </r>
  <r>
    <n v="609"/>
    <n v="415"/>
    <n v="350"/>
    <n v="1"/>
    <n v="350"/>
    <x v="362"/>
    <x v="0"/>
    <n v="199"/>
    <x v="14"/>
    <n v="273.72549019607845"/>
    <n v="0.27865329512893977"/>
    <x v="22"/>
    <n v="0.24893797790994054"/>
    <n v="0.24893797790994054"/>
    <n v="280.23809523809524"/>
    <d v="2022-06-03T00:00:00"/>
    <n v="643"/>
    <x v="0"/>
  </r>
  <r>
    <n v="610"/>
    <n v="315"/>
    <n v="232"/>
    <n v="1"/>
    <n v="232"/>
    <x v="363"/>
    <x v="5"/>
    <n v="247"/>
    <x v="9"/>
    <n v="263.25423728813558"/>
    <n v="-0.11872263713623488"/>
    <x v="43"/>
    <n v="-0.19191919191919193"/>
    <n v="-0.19191919191919193"/>
    <n v="287.10000000000002"/>
    <d v="2022-07-20T00:00:00"/>
    <n v="167"/>
    <x v="0"/>
  </r>
  <r>
    <n v="611"/>
    <n v="25"/>
    <n v="222"/>
    <n v="1"/>
    <n v="222"/>
    <x v="58"/>
    <x v="3"/>
    <n v="364"/>
    <x v="14"/>
    <n v="273.72549019607845"/>
    <n v="-0.18896848137535827"/>
    <x v="58"/>
    <n v="-8.2012405237767094E-2"/>
    <n v="-8.2012405237767094E-2"/>
    <n v="241.83333333333334"/>
    <d v="2022-11-18T00:00:00"/>
    <n v="362"/>
    <x v="2"/>
  </r>
  <r>
    <n v="612"/>
    <n v="207"/>
    <n v="152"/>
    <n v="3"/>
    <n v="456"/>
    <x v="236"/>
    <x v="3"/>
    <n v="173"/>
    <x v="0"/>
    <n v="252.76271186440678"/>
    <n v="-0.39864547710051634"/>
    <x v="68"/>
    <n v="-0.29583057577763072"/>
    <n v="-0.29583057577763072"/>
    <n v="215.85714285714286"/>
    <d v="2022-04-22T00:00:00"/>
    <n v="549"/>
    <x v="2"/>
  </r>
  <r>
    <n v="613"/>
    <n v="180"/>
    <n v="284"/>
    <n v="1"/>
    <n v="284"/>
    <x v="33"/>
    <x v="1"/>
    <n v="485"/>
    <x v="14"/>
    <n v="273.72549019607845"/>
    <n v="3.7535816618911033E-2"/>
    <x v="58"/>
    <n v="0.17436250861474845"/>
    <n v="0.17436250861474845"/>
    <n v="241.83333333333334"/>
    <d v="2022-06-11T00:00:00"/>
    <n v="544"/>
    <x v="2"/>
  </r>
  <r>
    <n v="614"/>
    <n v="117"/>
    <n v="208"/>
    <n v="3"/>
    <n v="624"/>
    <x v="330"/>
    <x v="0"/>
    <n v="401"/>
    <x v="3"/>
    <n v="265.47674418604652"/>
    <n v="-0.21650387630852785"/>
    <x v="29"/>
    <n v="-0.11698113207547167"/>
    <n v="-0.11698113207547167"/>
    <n v="235.55555555555554"/>
    <d v="2022-10-22T00:00:00"/>
    <n v="541"/>
    <x v="2"/>
  </r>
  <r>
    <n v="615"/>
    <n v="211"/>
    <n v="338"/>
    <n v="4"/>
    <n v="1352"/>
    <x v="249"/>
    <x v="3"/>
    <n v="379"/>
    <x v="4"/>
    <n v="250.48780487804879"/>
    <n v="0.3493670886075948"/>
    <x v="25"/>
    <n v="0.11248789932236214"/>
    <n v="0.11248789932236214"/>
    <n v="303.8235294117647"/>
    <d v="2022-01-20T00:00:00"/>
    <n v="646"/>
    <x v="4"/>
  </r>
  <r>
    <n v="616"/>
    <n v="26"/>
    <n v="143"/>
    <n v="2"/>
    <n v="286"/>
    <x v="330"/>
    <x v="14"/>
    <n v="183"/>
    <x v="10"/>
    <n v="271.74545454545455"/>
    <n v="-0.47377224675498464"/>
    <x v="12"/>
    <n v="-0.32804698972099855"/>
    <n v="-0.32804698972099855"/>
    <n v="212.8125"/>
    <d v="2022-12-05T00:00:00"/>
    <n v="497"/>
    <x v="4"/>
  </r>
  <r>
    <n v="617"/>
    <n v="22"/>
    <n v="217"/>
    <n v="3"/>
    <n v="651"/>
    <x v="309"/>
    <x v="12"/>
    <n v="37"/>
    <x v="17"/>
    <n v="267.85483870967744"/>
    <n v="-0.18985969771782985"/>
    <x v="35"/>
    <n v="-0.13289921562823737"/>
    <n v="-0.13289921562823737"/>
    <n v="250.25925925925927"/>
    <d v="2022-06-16T00:00:00"/>
    <n v="366"/>
    <x v="3"/>
  </r>
  <r>
    <n v="618"/>
    <n v="150"/>
    <n v="347"/>
    <n v="3"/>
    <n v="1041"/>
    <x v="364"/>
    <x v="2"/>
    <n v="201"/>
    <x v="6"/>
    <n v="258.5128205128205"/>
    <n v="0.34229319579448525"/>
    <x v="6"/>
    <n v="0.33130218912209441"/>
    <n v="0.33130218912209441"/>
    <n v="260.64705882352939"/>
    <d v="2022-10-09T00:00:00"/>
    <n v="136"/>
    <x v="4"/>
  </r>
  <r>
    <n v="619"/>
    <n v="268"/>
    <n v="55"/>
    <n v="2"/>
    <n v="110"/>
    <x v="302"/>
    <x v="11"/>
    <n v="424"/>
    <x v="13"/>
    <n v="258.375"/>
    <n v="-0.78713110788582485"/>
    <x v="34"/>
    <n v="-0.69708890637293464"/>
    <n v="-0.69708890637293464"/>
    <n v="181.57142857142858"/>
    <d v="2022-01-24T00:00:00"/>
    <n v="628"/>
    <x v="2"/>
  </r>
  <r>
    <n v="620"/>
    <n v="67"/>
    <n v="142"/>
    <n v="4"/>
    <n v="568"/>
    <x v="294"/>
    <x v="0"/>
    <n v="69"/>
    <x v="9"/>
    <n v="263.25423728813558"/>
    <n v="-0.46059747617821267"/>
    <x v="43"/>
    <n v="-0.50539881574364331"/>
    <n v="-0.50539881574364331"/>
    <n v="287.10000000000002"/>
    <d v="2022-01-26T00:00:00"/>
    <n v="669"/>
    <x v="4"/>
  </r>
  <r>
    <n v="621"/>
    <n v="453"/>
    <n v="459"/>
    <n v="1"/>
    <n v="459"/>
    <x v="10"/>
    <x v="7"/>
    <n v="498"/>
    <x v="3"/>
    <n v="265.47674418604652"/>
    <n v="0.72896500372300821"/>
    <x v="19"/>
    <n v="0.39398122584207629"/>
    <n v="0.39398122584207629"/>
    <n v="329.27272727272725"/>
    <d v="2022-06-09T00:00:00"/>
    <n v="415"/>
    <x v="3"/>
  </r>
  <r>
    <n v="622"/>
    <n v="191"/>
    <n v="58"/>
    <n v="1"/>
    <n v="58"/>
    <x v="57"/>
    <x v="11"/>
    <n v="237"/>
    <x v="19"/>
    <n v="286.92307692307691"/>
    <n v="-0.79785522788203755"/>
    <x v="40"/>
    <n v="-0.78799878160219317"/>
    <n v="-0.78799878160219317"/>
    <n v="273.58333333333331"/>
    <d v="2022-11-21T00:00:00"/>
    <n v="95"/>
    <x v="2"/>
  </r>
  <r>
    <n v="623"/>
    <n v="49"/>
    <n v="465"/>
    <n v="2"/>
    <n v="930"/>
    <x v="365"/>
    <x v="2"/>
    <n v="365"/>
    <x v="13"/>
    <n v="258.375"/>
    <n v="0.79970972423802622"/>
    <x v="30"/>
    <n v="0.46292134831460685"/>
    <n v="0.46292134831460685"/>
    <n v="317.85714285714283"/>
    <d v="2022-10-07T00:00:00"/>
    <n v="309"/>
    <x v="1"/>
  </r>
  <r>
    <n v="624"/>
    <n v="313"/>
    <n v="152"/>
    <n v="1"/>
    <n v="152"/>
    <x v="366"/>
    <x v="8"/>
    <n v="127"/>
    <x v="17"/>
    <n v="267.85483870967744"/>
    <n v="-0.43252845185765043"/>
    <x v="35"/>
    <n v="-0.39262986532484834"/>
    <n v="-0.39262986532484834"/>
    <n v="250.25925925925927"/>
    <d v="2022-12-19T00:00:00"/>
    <n v="100"/>
    <x v="3"/>
  </r>
  <r>
    <n v="625"/>
    <n v="245"/>
    <n v="144"/>
    <n v="4"/>
    <n v="576"/>
    <x v="292"/>
    <x v="15"/>
    <n v="314"/>
    <x v="0"/>
    <n v="252.76271186440678"/>
    <n v="-0.43029571514785758"/>
    <x v="0"/>
    <n v="-0.40124740124740121"/>
    <n v="-0.40124740124740121"/>
    <n v="240.5"/>
    <d v="2022-12-04T00:00:00"/>
    <n v="307"/>
    <x v="2"/>
  </r>
  <r>
    <n v="626"/>
    <n v="194"/>
    <n v="478"/>
    <n v="3"/>
    <n v="1434"/>
    <x v="111"/>
    <x v="8"/>
    <n v="403"/>
    <x v="1"/>
    <n v="264.8679245283019"/>
    <n v="0.80467303034620308"/>
    <x v="69"/>
    <n v="0.74643770551698951"/>
    <n v="0.74643770551698951"/>
    <n v="273.7"/>
    <d v="2022-02-02T00:00:00"/>
    <n v="366"/>
    <x v="2"/>
  </r>
  <r>
    <n v="627"/>
    <n v="154"/>
    <n v="75"/>
    <n v="1"/>
    <n v="75"/>
    <x v="336"/>
    <x v="6"/>
    <n v="255"/>
    <x v="4"/>
    <n v="250.48780487804879"/>
    <n v="-0.70058422590068159"/>
    <x v="4"/>
    <n v="-0.52889447236180898"/>
    <n v="-0.52889447236180898"/>
    <n v="159.19999999999999"/>
    <d v="2022-08-20T00:00:00"/>
    <n v="585"/>
    <x v="3"/>
  </r>
  <r>
    <n v="628"/>
    <n v="462"/>
    <n v="147"/>
    <n v="5"/>
    <n v="735"/>
    <x v="367"/>
    <x v="15"/>
    <n v="229"/>
    <x v="13"/>
    <n v="258.375"/>
    <n v="-0.43105950653120462"/>
    <x v="20"/>
    <n v="-0.45496183206106866"/>
    <n v="-0.45496183206106866"/>
    <n v="269.70588235294116"/>
    <d v="2022-07-24T00:00:00"/>
    <n v="347"/>
    <x v="1"/>
  </r>
  <r>
    <n v="629"/>
    <n v="310"/>
    <n v="404"/>
    <n v="4"/>
    <n v="1616"/>
    <x v="173"/>
    <x v="3"/>
    <n v="179"/>
    <x v="3"/>
    <n v="265.47674418604652"/>
    <n v="0.52179054793920554"/>
    <x v="16"/>
    <n v="0.46019341603985531"/>
    <n v="0.46019341603985531"/>
    <n v="276.67567567567568"/>
    <d v="2022-09-29T00:00:00"/>
    <n v="198"/>
    <x v="2"/>
  </r>
  <r>
    <n v="630"/>
    <n v="422"/>
    <n v="361"/>
    <n v="1"/>
    <n v="361"/>
    <x v="114"/>
    <x v="7"/>
    <n v="277"/>
    <x v="7"/>
    <n v="249.02380952380952"/>
    <n v="0.4496605794052968"/>
    <x v="59"/>
    <n v="0.40521603736862599"/>
    <n v="0.40521603736862599"/>
    <n v="256.89999999999998"/>
    <d v="2022-07-08T00:00:00"/>
    <n v="611"/>
    <x v="2"/>
  </r>
  <r>
    <n v="631"/>
    <n v="453"/>
    <n v="404"/>
    <n v="5"/>
    <n v="2020"/>
    <x v="177"/>
    <x v="0"/>
    <n v="460"/>
    <x v="3"/>
    <n v="265.47674418604652"/>
    <n v="0.52179054793920554"/>
    <x v="19"/>
    <n v="0.22694643843180562"/>
    <n v="0.22694643843180562"/>
    <n v="329.27272727272725"/>
    <d v="2022-09-17T00:00:00"/>
    <n v="287"/>
    <x v="2"/>
  </r>
  <r>
    <n v="632"/>
    <n v="337"/>
    <n v="132"/>
    <n v="3"/>
    <n v="396"/>
    <x v="308"/>
    <x v="18"/>
    <n v="434"/>
    <x v="3"/>
    <n v="265.47674418604652"/>
    <n v="-0.50278130611887351"/>
    <x v="16"/>
    <n v="-0.52290710168994825"/>
    <n v="-0.52290710168994825"/>
    <n v="276.67567567567568"/>
    <d v="2022-06-18T00:00:00"/>
    <n v="273"/>
    <x v="3"/>
  </r>
  <r>
    <n v="633"/>
    <n v="258"/>
    <n v="333"/>
    <n v="4"/>
    <n v="1332"/>
    <x v="180"/>
    <x v="3"/>
    <n v="62"/>
    <x v="6"/>
    <n v="258.5128205128205"/>
    <n v="0.28813727435032743"/>
    <x v="26"/>
    <n v="0.53881700554528655"/>
    <n v="0.53881700554528655"/>
    <n v="216.4"/>
    <d v="2022-04-20T00:00:00"/>
    <n v="347"/>
    <x v="2"/>
  </r>
  <r>
    <n v="634"/>
    <n v="111"/>
    <n v="420"/>
    <n v="1"/>
    <n v="420"/>
    <x v="368"/>
    <x v="1"/>
    <n v="13"/>
    <x v="0"/>
    <n v="252.76271186440678"/>
    <n v="0.66163749748541534"/>
    <x v="11"/>
    <n v="0.74805771365149831"/>
    <n v="0.74805771365149831"/>
    <n v="240.26666666666668"/>
    <d v="2022-06-12T00:00:00"/>
    <n v="571"/>
    <x v="2"/>
  </r>
  <r>
    <n v="635"/>
    <n v="4"/>
    <n v="151"/>
    <n v="4"/>
    <n v="604"/>
    <x v="369"/>
    <x v="10"/>
    <n v="116"/>
    <x v="13"/>
    <n v="258.375"/>
    <n v="-0.41557813255926468"/>
    <x v="20"/>
    <n v="-0.44013086150490732"/>
    <n v="-0.44013086150490732"/>
    <n v="269.70588235294116"/>
    <d v="2022-03-23T00:00:00"/>
    <n v="643"/>
    <x v="2"/>
  </r>
  <r>
    <n v="636"/>
    <n v="266"/>
    <n v="141"/>
    <n v="5"/>
    <n v="705"/>
    <x v="25"/>
    <x v="3"/>
    <n v="50"/>
    <x v="6"/>
    <n v="258.5128205128205"/>
    <n v="-0.45457250545526673"/>
    <x v="6"/>
    <n v="-0.45903859174001349"/>
    <n v="-0.45903859174001349"/>
    <n v="260.64705882352939"/>
    <d v="2022-01-15T00:00:00"/>
    <n v="598"/>
    <x v="0"/>
  </r>
  <r>
    <n v="637"/>
    <n v="143"/>
    <n v="339"/>
    <n v="1"/>
    <n v="339"/>
    <x v="102"/>
    <x v="3"/>
    <n v="197"/>
    <x v="0"/>
    <n v="252.76271186440678"/>
    <n v="0.34117883725608533"/>
    <x v="68"/>
    <n v="0.57048312375909993"/>
    <n v="0.57048312375909993"/>
    <n v="215.85714285714286"/>
    <d v="2022-08-12T00:00:00"/>
    <n v="228"/>
    <x v="3"/>
  </r>
  <r>
    <n v="638"/>
    <n v="475"/>
    <n v="206"/>
    <n v="3"/>
    <n v="618"/>
    <x v="86"/>
    <x v="11"/>
    <n v="243"/>
    <x v="16"/>
    <n v="300.31818181818181"/>
    <n v="-0.31406084455880123"/>
    <x v="57"/>
    <n v="-0.34933670246367665"/>
    <n v="-0.34933670246367665"/>
    <n v="316.60000000000002"/>
    <d v="2022-04-30T00:00:00"/>
    <n v="743"/>
    <x v="2"/>
  </r>
  <r>
    <n v="639"/>
    <n v="52"/>
    <n v="105"/>
    <n v="2"/>
    <n v="210"/>
    <x v="250"/>
    <x v="0"/>
    <n v="275"/>
    <x v="1"/>
    <n v="264.8679245283019"/>
    <n v="-0.60357600797834454"/>
    <x v="1"/>
    <n v="-0.55913226032190333"/>
    <n v="-0.55913226032190333"/>
    <n v="238.16666666666666"/>
    <d v="2022-03-31T00:00:00"/>
    <n v="581"/>
    <x v="4"/>
  </r>
  <r>
    <n v="640"/>
    <n v="47"/>
    <n v="356"/>
    <n v="3"/>
    <n v="1068"/>
    <x v="370"/>
    <x v="7"/>
    <n v="45"/>
    <x v="10"/>
    <n v="271.74545454545455"/>
    <n v="0.31004951157500327"/>
    <x v="37"/>
    <n v="0.30712742980561547"/>
    <n v="0.30712742980561547"/>
    <n v="272.35294117647061"/>
    <d v="2022-04-11T00:00:00"/>
    <n v="626"/>
    <x v="0"/>
  </r>
  <r>
    <n v="641"/>
    <n v="122"/>
    <n v="240"/>
    <n v="1"/>
    <n v="240"/>
    <x v="205"/>
    <x v="1"/>
    <n v="419"/>
    <x v="12"/>
    <n v="274.16279069767444"/>
    <n v="-0.12460768513020615"/>
    <x v="50"/>
    <n v="-0.14489311163895491"/>
    <n v="-0.14489311163895491"/>
    <n v="280.66666666666669"/>
    <d v="2022-11-04T00:00:00"/>
    <n v="92"/>
    <x v="4"/>
  </r>
  <r>
    <n v="642"/>
    <n v="422"/>
    <n v="290"/>
    <n v="5"/>
    <n v="1450"/>
    <x v="257"/>
    <x v="4"/>
    <n v="125"/>
    <x v="7"/>
    <n v="249.02380952380952"/>
    <n v="0.16454727985467055"/>
    <x v="59"/>
    <n v="0.12884390813546132"/>
    <n v="0.12884390813546132"/>
    <n v="256.89999999999998"/>
    <d v="2022-05-20T00:00:00"/>
    <n v="591"/>
    <x v="2"/>
  </r>
  <r>
    <n v="643"/>
    <n v="479"/>
    <n v="405"/>
    <n v="4"/>
    <n v="1620"/>
    <x v="74"/>
    <x v="11"/>
    <n v="242"/>
    <x v="4"/>
    <n v="250.48780487804879"/>
    <n v="0.61684518013631928"/>
    <x v="56"/>
    <n v="0.63526244952893673"/>
    <n v="0.63526244952893673"/>
    <n v="247.66666666666666"/>
    <d v="2022-07-05T00:00:00"/>
    <n v="555"/>
    <x v="2"/>
  </r>
  <r>
    <n v="644"/>
    <n v="99"/>
    <n v="281"/>
    <n v="5"/>
    <n v="1405"/>
    <x v="184"/>
    <x v="7"/>
    <n v="329"/>
    <x v="4"/>
    <n v="250.48780487804879"/>
    <n v="0.12181110029211295"/>
    <x v="75"/>
    <n v="0.35096153846153855"/>
    <n v="0.35096153846153855"/>
    <n v="208"/>
    <d v="2022-04-02T00:00:00"/>
    <n v="486"/>
    <x v="1"/>
  </r>
  <r>
    <n v="645"/>
    <n v="272"/>
    <n v="207"/>
    <n v="5"/>
    <n v="1035"/>
    <x v="289"/>
    <x v="19"/>
    <n v="42"/>
    <x v="18"/>
    <n v="255.11627906976744"/>
    <n v="-0.18860528714676394"/>
    <x v="72"/>
    <n v="-0.1788676523620627"/>
    <n v="-0.1788676523620627"/>
    <n v="252.09090909090909"/>
    <d v="2022-08-10T00:00:00"/>
    <n v="291"/>
    <x v="4"/>
  </r>
  <r>
    <n v="646"/>
    <n v="493"/>
    <n v="378"/>
    <n v="2"/>
    <n v="756"/>
    <x v="371"/>
    <x v="14"/>
    <n v="229"/>
    <x v="4"/>
    <n v="250.48780487804879"/>
    <n v="0.50905550146056466"/>
    <x v="25"/>
    <n v="0.24414327202323327"/>
    <n v="0.24414327202323327"/>
    <n v="303.8235294117647"/>
    <d v="2022-07-24T00:00:00"/>
    <n v="558"/>
    <x v="1"/>
  </r>
  <r>
    <n v="647"/>
    <n v="360"/>
    <n v="120"/>
    <n v="2"/>
    <n v="240"/>
    <x v="111"/>
    <x v="19"/>
    <n v="306"/>
    <x v="1"/>
    <n v="264.8679245283019"/>
    <n v="-0.54694400911810803"/>
    <x v="64"/>
    <n v="-0.49349278930706997"/>
    <n v="-0.49349278930706997"/>
    <n v="236.91666666666666"/>
    <d v="2022-11-07T00:00:00"/>
    <n v="88"/>
    <x v="3"/>
  </r>
  <r>
    <n v="648"/>
    <n v="215"/>
    <n v="440"/>
    <n v="2"/>
    <n v="880"/>
    <x v="34"/>
    <x v="10"/>
    <n v="292"/>
    <x v="5"/>
    <n v="268.60344827586209"/>
    <n v="0.63810257397779058"/>
    <x v="5"/>
    <n v="0.56045661088329823"/>
    <n v="0.56045661088329823"/>
    <n v="281.96875"/>
    <d v="2022-02-16T00:00:00"/>
    <n v="773"/>
    <x v="2"/>
  </r>
  <r>
    <n v="649"/>
    <n v="292"/>
    <n v="327"/>
    <n v="5"/>
    <n v="1635"/>
    <x v="123"/>
    <x v="12"/>
    <n v="275"/>
    <x v="19"/>
    <n v="286.92307692307691"/>
    <n v="0.13967828418230566"/>
    <x v="42"/>
    <n v="4.5842217484008518E-2"/>
    <n v="4.5842217484008518E-2"/>
    <n v="312.66666666666669"/>
    <d v="2022-03-31T00:00:00"/>
    <n v="387"/>
    <x v="4"/>
  </r>
  <r>
    <n v="650"/>
    <n v="307"/>
    <n v="407"/>
    <n v="1"/>
    <n v="407"/>
    <x v="342"/>
    <x v="12"/>
    <n v="103"/>
    <x v="11"/>
    <n v="262.63492063492066"/>
    <n v="0.54967968088964092"/>
    <x v="17"/>
    <n v="0.30728051391862965"/>
    <n v="0.30728051391862965"/>
    <n v="311.33333333333331"/>
    <d v="2022-08-14T00:00:00"/>
    <n v="163"/>
    <x v="0"/>
  </r>
  <r>
    <n v="651"/>
    <n v="473"/>
    <n v="343"/>
    <n v="5"/>
    <n v="1715"/>
    <x v="372"/>
    <x v="3"/>
    <n v="460"/>
    <x v="16"/>
    <n v="300.31818181818181"/>
    <n v="0.14212199182685037"/>
    <x v="24"/>
    <n v="0.21746332229058196"/>
    <n v="0.21746332229058196"/>
    <n v="281.73333333333335"/>
    <d v="2022-09-17T00:00:00"/>
    <n v="265"/>
    <x v="2"/>
  </r>
  <r>
    <n v="652"/>
    <n v="112"/>
    <n v="237"/>
    <n v="3"/>
    <n v="711"/>
    <x v="82"/>
    <x v="17"/>
    <n v="342"/>
    <x v="15"/>
    <n v="294.95238095238096"/>
    <n v="-0.19648046496609628"/>
    <x v="53"/>
    <n v="-0.26521984216459982"/>
    <n v="-0.26521984216459982"/>
    <n v="322.54545454545456"/>
    <d v="2022-01-09T00:00:00"/>
    <n v="509"/>
    <x v="4"/>
  </r>
  <r>
    <n v="653"/>
    <n v="131"/>
    <n v="116"/>
    <n v="5"/>
    <n v="580"/>
    <x v="238"/>
    <x v="1"/>
    <n v="246"/>
    <x v="5"/>
    <n v="268.60344827586209"/>
    <n v="-0.568136594133128"/>
    <x v="32"/>
    <n v="-0.54363376251788265"/>
    <n v="-0.54363376251788265"/>
    <n v="254.18181818181819"/>
    <d v="2022-09-01T00:00:00"/>
    <n v="379"/>
    <x v="0"/>
  </r>
  <r>
    <n v="654"/>
    <n v="230"/>
    <n v="453"/>
    <n v="3"/>
    <n v="1359"/>
    <x v="371"/>
    <x v="19"/>
    <n v="175"/>
    <x v="5"/>
    <n v="268.60344827586209"/>
    <n v="0.68650105911804338"/>
    <x v="5"/>
    <n v="0.60656101075030477"/>
    <n v="0.60656101075030477"/>
    <n v="281.96875"/>
    <d v="2022-01-04T00:00:00"/>
    <n v="759"/>
    <x v="2"/>
  </r>
  <r>
    <n v="655"/>
    <n v="39"/>
    <n v="375"/>
    <n v="2"/>
    <n v="750"/>
    <x v="148"/>
    <x v="14"/>
    <n v="366"/>
    <x v="11"/>
    <n v="262.63492063492066"/>
    <n v="0.4278375438172366"/>
    <x v="47"/>
    <n v="0.38376383763837629"/>
    <n v="0.38376383763837629"/>
    <n v="271"/>
    <d v="2022-09-23T00:00:00"/>
    <n v="462"/>
    <x v="0"/>
  </r>
  <r>
    <n v="656"/>
    <n v="481"/>
    <n v="374"/>
    <n v="5"/>
    <n v="1870"/>
    <x v="26"/>
    <x v="14"/>
    <n v="254"/>
    <x v="14"/>
    <n v="273.72549019607845"/>
    <n v="0.36633237822349551"/>
    <x v="22"/>
    <n v="0.33457943925233646"/>
    <n v="0.33457943925233646"/>
    <n v="280.23809523809524"/>
    <d v="2022-10-28T00:00:00"/>
    <n v="237"/>
    <x v="1"/>
  </r>
  <r>
    <n v="657"/>
    <n v="438"/>
    <n v="81"/>
    <n v="4"/>
    <n v="324"/>
    <x v="79"/>
    <x v="16"/>
    <n v="79"/>
    <x v="7"/>
    <n v="249.02380952380952"/>
    <n v="-0.67472989769576441"/>
    <x v="59"/>
    <n v="-0.68470221876216431"/>
    <n v="-0.68470221876216431"/>
    <n v="256.89999999999998"/>
    <d v="2022-06-04T00:00:00"/>
    <n v="556"/>
    <x v="4"/>
  </r>
  <r>
    <n v="658"/>
    <n v="316"/>
    <n v="428"/>
    <n v="3"/>
    <n v="1284"/>
    <x v="44"/>
    <x v="4"/>
    <n v="70"/>
    <x v="3"/>
    <n v="265.47674418604652"/>
    <n v="0.61219394682668304"/>
    <x v="3"/>
    <n v="0.8114419147694103"/>
    <n v="0.8114419147694103"/>
    <n v="236.27586206896552"/>
    <d v="2022-01-30T00:00:00"/>
    <n v="796"/>
    <x v="3"/>
  </r>
  <r>
    <n v="659"/>
    <n v="174"/>
    <n v="456"/>
    <n v="3"/>
    <n v="1368"/>
    <x v="181"/>
    <x v="15"/>
    <n v="76"/>
    <x v="8"/>
    <n v="271.18181818181819"/>
    <n v="0.68152866242038224"/>
    <x v="52"/>
    <n v="0.87422934648581996"/>
    <n v="0.87422934648581996"/>
    <n v="243.3"/>
    <d v="2022-01-14T00:00:00"/>
    <n v="707"/>
    <x v="1"/>
  </r>
  <r>
    <n v="660"/>
    <n v="228"/>
    <n v="247"/>
    <n v="4"/>
    <n v="988"/>
    <x v="373"/>
    <x v="11"/>
    <n v="147"/>
    <x v="13"/>
    <n v="258.375"/>
    <n v="-4.4025157232704393E-2"/>
    <x v="34"/>
    <n v="0.36034618410700237"/>
    <n v="0.36034618410700237"/>
    <n v="181.57142857142858"/>
    <d v="2022-09-23T00:00:00"/>
    <n v="588"/>
    <x v="2"/>
  </r>
  <r>
    <n v="661"/>
    <n v="269"/>
    <n v="455"/>
    <n v="5"/>
    <n v="2275"/>
    <x v="42"/>
    <x v="3"/>
    <n v="345"/>
    <x v="0"/>
    <n v="252.76271186440678"/>
    <n v="0.80010728894253336"/>
    <x v="45"/>
    <n v="0.55072173215717712"/>
    <n v="0.55072173215717712"/>
    <n v="293.41176470588238"/>
    <d v="2022-05-24T00:00:00"/>
    <n v="399"/>
    <x v="1"/>
  </r>
  <r>
    <n v="662"/>
    <n v="461"/>
    <n v="388"/>
    <n v="4"/>
    <n v="1552"/>
    <x v="374"/>
    <x v="13"/>
    <n v="303"/>
    <x v="12"/>
    <n v="274.16279069767444"/>
    <n v="0.41521757570616669"/>
    <x v="76"/>
    <n v="5.0920910075839654E-2"/>
    <n v="5.0920910075839654E-2"/>
    <n v="369.2"/>
    <d v="2022-05-08T00:00:00"/>
    <n v="604"/>
    <x v="0"/>
  </r>
  <r>
    <n v="663"/>
    <n v="151"/>
    <n v="496"/>
    <n v="3"/>
    <n v="1488"/>
    <x v="345"/>
    <x v="14"/>
    <n v="436"/>
    <x v="15"/>
    <n v="294.95238095238096"/>
    <n v="0.68162738133677747"/>
    <x v="53"/>
    <n v="0.53776775648252539"/>
    <n v="0.53776775648252539"/>
    <n v="322.54545454545456"/>
    <d v="2022-05-02T00:00:00"/>
    <n v="498"/>
    <x v="2"/>
  </r>
  <r>
    <n v="664"/>
    <n v="386"/>
    <n v="295"/>
    <n v="3"/>
    <n v="885"/>
    <x v="40"/>
    <x v="11"/>
    <n v="25"/>
    <x v="18"/>
    <n v="255.11627906976744"/>
    <n v="0.15633546034639934"/>
    <x v="67"/>
    <n v="0.17102216341382737"/>
    <n v="0.17102216341382737"/>
    <n v="251.91666666666666"/>
    <d v="2022-01-21T00:00:00"/>
    <n v="612"/>
    <x v="4"/>
  </r>
  <r>
    <n v="665"/>
    <n v="452"/>
    <n v="226"/>
    <n v="4"/>
    <n v="904"/>
    <x v="135"/>
    <x v="19"/>
    <n v="33"/>
    <x v="12"/>
    <n v="274.16279069767444"/>
    <n v="-0.17567223683094413"/>
    <x v="18"/>
    <n v="-0.10914018231091405"/>
    <n v="-0.10914018231091405"/>
    <n v="253.6875"/>
    <d v="2022-06-18T00:00:00"/>
    <n v="423"/>
    <x v="2"/>
  </r>
  <r>
    <n v="666"/>
    <n v="37"/>
    <n v="411"/>
    <n v="5"/>
    <n v="2055"/>
    <x v="375"/>
    <x v="13"/>
    <n v="7"/>
    <x v="1"/>
    <n v="264.8679245283019"/>
    <n v="0.55171676877048004"/>
    <x v="1"/>
    <n v="0.7256822953114066"/>
    <n v="0.7256822953114066"/>
    <n v="238.16666666666666"/>
    <d v="2022-11-28T00:00:00"/>
    <n v="247"/>
    <x v="2"/>
  </r>
  <r>
    <n v="667"/>
    <n v="27"/>
    <n v="301"/>
    <n v="1"/>
    <n v="301"/>
    <x v="286"/>
    <x v="14"/>
    <n v="494"/>
    <x v="3"/>
    <n v="265.47674418604652"/>
    <n v="0.13380929438044764"/>
    <x v="16"/>
    <n v="8.7916381752466632E-2"/>
    <n v="8.7916381752466632E-2"/>
    <n v="276.67567567567568"/>
    <d v="2022-06-26T00:00:00"/>
    <n v="193"/>
    <x v="1"/>
  </r>
  <r>
    <n v="668"/>
    <n v="435"/>
    <n v="452"/>
    <n v="4"/>
    <n v="1808"/>
    <x v="83"/>
    <x v="5"/>
    <n v="420"/>
    <x v="10"/>
    <n v="271.74545454545455"/>
    <n v="0.66332128997725137"/>
    <x v="37"/>
    <n v="0.65961123110151165"/>
    <n v="0.65961123110151165"/>
    <n v="272.35294117647061"/>
    <d v="2022-05-17T00:00:00"/>
    <n v="229"/>
    <x v="3"/>
  </r>
  <r>
    <n v="669"/>
    <n v="101"/>
    <n v="293"/>
    <n v="1"/>
    <n v="293"/>
    <x v="153"/>
    <x v="14"/>
    <n v="75"/>
    <x v="8"/>
    <n v="271.18181818181819"/>
    <n v="8.0455916862219201E-2"/>
    <x v="52"/>
    <n v="0.20427455815865181"/>
    <n v="0.20427455815865181"/>
    <n v="243.3"/>
    <d v="2022-08-23T00:00:00"/>
    <n v="369"/>
    <x v="3"/>
  </r>
  <r>
    <n v="670"/>
    <n v="423"/>
    <n v="382"/>
    <n v="2"/>
    <n v="764"/>
    <x v="141"/>
    <x v="8"/>
    <n v="83"/>
    <x v="14"/>
    <n v="273.72549019607845"/>
    <n v="0.39555873925501417"/>
    <x v="22"/>
    <n v="0.3631265930331351"/>
    <n v="0.3631265930331351"/>
    <n v="280.23809523809524"/>
    <d v="2022-06-27T00:00:00"/>
    <n v="544"/>
    <x v="4"/>
  </r>
  <r>
    <n v="671"/>
    <n v="411"/>
    <n v="158"/>
    <n v="3"/>
    <n v="474"/>
    <x v="124"/>
    <x v="8"/>
    <n v="109"/>
    <x v="16"/>
    <n v="300.31818181818181"/>
    <n v="-0.47389132738005146"/>
    <x v="24"/>
    <n v="-0.43918599148130621"/>
    <n v="-0.43918599148130621"/>
    <n v="281.73333333333335"/>
    <d v="2022-06-20T00:00:00"/>
    <n v="338"/>
    <x v="3"/>
  </r>
  <r>
    <n v="672"/>
    <n v="381"/>
    <n v="296"/>
    <n v="4"/>
    <n v="1184"/>
    <x v="136"/>
    <x v="12"/>
    <n v="465"/>
    <x v="6"/>
    <n v="258.5128205128205"/>
    <n v="0.14501091053362436"/>
    <x v="54"/>
    <n v="1.1389521640090994E-2"/>
    <n v="1.1389521640090994E-2"/>
    <n v="292.66666666666669"/>
    <d v="2022-04-20T00:00:00"/>
    <n v="435"/>
    <x v="0"/>
  </r>
  <r>
    <n v="673"/>
    <n v="400"/>
    <n v="345"/>
    <n v="2"/>
    <n v="690"/>
    <x v="376"/>
    <x v="14"/>
    <n v="18"/>
    <x v="15"/>
    <n v="294.95238095238096"/>
    <n v="0.16968033580884723"/>
    <x v="53"/>
    <n v="6.9616685456595162E-2"/>
    <n v="6.9616685456595162E-2"/>
    <n v="322.54545454545456"/>
    <d v="2022-01-17T00:00:00"/>
    <n v="565"/>
    <x v="3"/>
  </r>
  <r>
    <n v="674"/>
    <n v="389"/>
    <n v="155"/>
    <n v="4"/>
    <n v="620"/>
    <x v="145"/>
    <x v="19"/>
    <n v="376"/>
    <x v="8"/>
    <n v="271.18181818181819"/>
    <n v="-0.42842775729131743"/>
    <x v="52"/>
    <n v="-0.36292642827784627"/>
    <n v="-0.36292642827784627"/>
    <n v="243.3"/>
    <d v="2022-06-18T00:00:00"/>
    <n v="682"/>
    <x v="1"/>
  </r>
  <r>
    <n v="675"/>
    <n v="227"/>
    <n v="300"/>
    <n v="4"/>
    <n v="1200"/>
    <x v="140"/>
    <x v="8"/>
    <n v="88"/>
    <x v="3"/>
    <n v="265.47674418604652"/>
    <n v="0.13004248609346947"/>
    <x v="19"/>
    <n v="-8.8901159580342282E-2"/>
    <n v="-8.8901159580342282E-2"/>
    <n v="329.27272727272725"/>
    <d v="2022-03-10T00:00:00"/>
    <n v="361"/>
    <x v="3"/>
  </r>
  <r>
    <n v="676"/>
    <n v="243"/>
    <n v="371"/>
    <n v="3"/>
    <n v="1113"/>
    <x v="138"/>
    <x v="1"/>
    <n v="352"/>
    <x v="13"/>
    <n v="258.375"/>
    <n v="0.4358974358974359"/>
    <x v="20"/>
    <n v="0.3755725190839696"/>
    <n v="0.3755725190839696"/>
    <n v="269.70588235294116"/>
    <d v="2022-01-12T00:00:00"/>
    <n v="508"/>
    <x v="2"/>
  </r>
  <r>
    <n v="677"/>
    <n v="187"/>
    <n v="273"/>
    <n v="3"/>
    <n v="819"/>
    <x v="15"/>
    <x v="16"/>
    <n v="452"/>
    <x v="3"/>
    <n v="265.47674418604652"/>
    <n v="2.8338662345057219E-2"/>
    <x v="16"/>
    <n v="-1.3285142131483796E-2"/>
    <n v="-1.3285142131483796E-2"/>
    <n v="276.67567567567568"/>
    <d v="2022-07-27T00:00:00"/>
    <n v="211"/>
    <x v="2"/>
  </r>
  <r>
    <n v="678"/>
    <n v="441"/>
    <n v="147"/>
    <n v="3"/>
    <n v="441"/>
    <x v="39"/>
    <x v="9"/>
    <n v="449"/>
    <x v="8"/>
    <n v="271.18181818181819"/>
    <n v="-0.4579282601407979"/>
    <x v="14"/>
    <n v="-0.43495852721019623"/>
    <n v="-0.43495852721019623"/>
    <n v="260.15789473684208"/>
    <d v="2022-03-25T00:00:00"/>
    <n v="472"/>
    <x v="4"/>
  </r>
  <r>
    <n v="679"/>
    <n v="446"/>
    <n v="440"/>
    <n v="5"/>
    <n v="2200"/>
    <x v="11"/>
    <x v="16"/>
    <n v="197"/>
    <x v="14"/>
    <n v="273.72549019607845"/>
    <n v="0.60744985673352425"/>
    <x v="44"/>
    <n v="0.37254901960784315"/>
    <n v="0.37254901960784315"/>
    <n v="320.57142857142856"/>
    <d v="2022-08-12T00:00:00"/>
    <n v="609"/>
    <x v="3"/>
  </r>
  <r>
    <n v="680"/>
    <n v="55"/>
    <n v="227"/>
    <n v="4"/>
    <n v="908"/>
    <x v="109"/>
    <x v="0"/>
    <n v="70"/>
    <x v="18"/>
    <n v="255.11627906976744"/>
    <n v="-0.11020966271649957"/>
    <x v="61"/>
    <n v="-0.1723958333333333"/>
    <n v="-0.1723958333333333"/>
    <n v="274.28571428571428"/>
    <d v="2022-01-30T00:00:00"/>
    <n v="747"/>
    <x v="3"/>
  </r>
  <r>
    <n v="681"/>
    <n v="27"/>
    <n v="415"/>
    <n v="4"/>
    <n v="1660"/>
    <x v="377"/>
    <x v="17"/>
    <n v="345"/>
    <x v="3"/>
    <n v="265.47674418604652"/>
    <n v="0.5632254390959659"/>
    <x v="16"/>
    <n v="0.49995115756569297"/>
    <n v="0.49995115756569297"/>
    <n v="276.67567567567568"/>
    <d v="2022-05-24T00:00:00"/>
    <n v="524"/>
    <x v="1"/>
  </r>
  <r>
    <n v="682"/>
    <n v="110"/>
    <n v="84"/>
    <n v="5"/>
    <n v="420"/>
    <x v="119"/>
    <x v="5"/>
    <n v="225"/>
    <x v="3"/>
    <n v="265.47674418604652"/>
    <n v="-0.68358810389382851"/>
    <x v="16"/>
    <n v="-0.69639542834814883"/>
    <n v="-0.69639542834814883"/>
    <n v="276.67567567567568"/>
    <d v="2022-09-23T00:00:00"/>
    <n v="202"/>
    <x v="1"/>
  </r>
  <r>
    <n v="683"/>
    <n v="196"/>
    <n v="196"/>
    <n v="4"/>
    <n v="784"/>
    <x v="378"/>
    <x v="13"/>
    <n v="8"/>
    <x v="17"/>
    <n v="267.85483870967744"/>
    <n v="-0.26826037213223342"/>
    <x v="27"/>
    <n v="-0.32000660829340821"/>
    <n v="-0.32000660829340821"/>
    <n v="288.23809523809524"/>
    <d v="2022-11-18T00:00:00"/>
    <n v="61"/>
    <x v="1"/>
  </r>
  <r>
    <n v="684"/>
    <n v="271"/>
    <n v="123"/>
    <n v="2"/>
    <n v="246"/>
    <x v="252"/>
    <x v="3"/>
    <n v="11"/>
    <x v="11"/>
    <n v="262.63492063492066"/>
    <n v="-0.53166928562794635"/>
    <x v="47"/>
    <n v="-0.54612546125461248"/>
    <n v="-0.54612546125461248"/>
    <n v="271"/>
    <d v="2022-05-09T00:00:00"/>
    <n v="660"/>
    <x v="4"/>
  </r>
  <r>
    <n v="685"/>
    <n v="189"/>
    <n v="356"/>
    <n v="1"/>
    <n v="356"/>
    <x v="137"/>
    <x v="16"/>
    <n v="388"/>
    <x v="16"/>
    <n v="300.31818181818181"/>
    <n v="0.18540941425760549"/>
    <x v="38"/>
    <n v="0.3484848484848484"/>
    <n v="0.3484848484848484"/>
    <n v="264"/>
    <d v="2022-01-20T00:00:00"/>
    <n v="470"/>
    <x v="2"/>
  </r>
  <r>
    <n v="686"/>
    <n v="372"/>
    <n v="166"/>
    <n v="5"/>
    <n v="830"/>
    <x v="379"/>
    <x v="15"/>
    <n v="40"/>
    <x v="7"/>
    <n v="249.02380952380952"/>
    <n v="-0.33339707429008503"/>
    <x v="39"/>
    <n v="-0.25292529252925289"/>
    <n v="-0.25292529252925289"/>
    <n v="222.2"/>
    <d v="2022-10-21T00:00:00"/>
    <n v="576"/>
    <x v="2"/>
  </r>
  <r>
    <n v="687"/>
    <n v="205"/>
    <n v="156"/>
    <n v="4"/>
    <n v="624"/>
    <x v="360"/>
    <x v="4"/>
    <n v="286"/>
    <x v="3"/>
    <n v="265.47674418604652"/>
    <n v="-0.41237790723139589"/>
    <x v="3"/>
    <n v="-0.33975481611208413"/>
    <n v="-0.33975481611208413"/>
    <n v="236.27586206896552"/>
    <d v="2022-01-02T00:00:00"/>
    <n v="866"/>
    <x v="4"/>
  </r>
  <r>
    <n v="688"/>
    <n v="187"/>
    <n v="496"/>
    <n v="4"/>
    <n v="1984"/>
    <x v="380"/>
    <x v="2"/>
    <n v="448"/>
    <x v="3"/>
    <n v="265.47674418604652"/>
    <n v="0.86833691034120264"/>
    <x v="16"/>
    <n v="0.79271270880140676"/>
    <n v="0.79271270880140676"/>
    <n v="276.67567567567568"/>
    <d v="2022-07-28T00:00:00"/>
    <n v="545"/>
    <x v="2"/>
  </r>
  <r>
    <n v="689"/>
    <n v="194"/>
    <n v="257"/>
    <n v="5"/>
    <n v="1285"/>
    <x v="381"/>
    <x v="1"/>
    <n v="291"/>
    <x v="1"/>
    <n v="264.8679245283019"/>
    <n v="-2.9705086194614649E-2"/>
    <x v="69"/>
    <n v="-6.101571063207889E-2"/>
    <n v="-6.101571063207889E-2"/>
    <n v="273.7"/>
    <d v="2022-05-29T00:00:00"/>
    <n v="412"/>
    <x v="4"/>
  </r>
  <r>
    <n v="690"/>
    <n v="51"/>
    <n v="476"/>
    <n v="2"/>
    <n v="952"/>
    <x v="382"/>
    <x v="18"/>
    <n v="480"/>
    <x v="19"/>
    <n v="286.92307692307691"/>
    <n v="0.65898123324396796"/>
    <x v="42"/>
    <n v="0.52238805970149249"/>
    <n v="0.52238805970149249"/>
    <n v="312.66666666666669"/>
    <d v="2022-01-07T00:00:00"/>
    <n v="452"/>
    <x v="0"/>
  </r>
  <r>
    <n v="691"/>
    <n v="80"/>
    <n v="232"/>
    <n v="2"/>
    <n v="464"/>
    <x v="17"/>
    <x v="8"/>
    <n v="418"/>
    <x v="17"/>
    <n v="267.85483870967744"/>
    <n v="-0.1338592159932559"/>
    <x v="66"/>
    <n v="-0.15212425765189586"/>
    <n v="-0.15212425765189586"/>
    <n v="273.625"/>
    <d v="2022-05-19T00:00:00"/>
    <n v="416"/>
    <x v="1"/>
  </r>
  <r>
    <n v="692"/>
    <n v="474"/>
    <n v="252"/>
    <n v="3"/>
    <n v="756"/>
    <x v="293"/>
    <x v="5"/>
    <n v="470"/>
    <x v="15"/>
    <n v="294.95238095238096"/>
    <n v="-0.14562479819179852"/>
    <x v="23"/>
    <n v="-0.20958083832335328"/>
    <n v="-0.20958083832335328"/>
    <n v="318.81818181818181"/>
    <d v="2022-05-09T00:00:00"/>
    <n v="735"/>
    <x v="4"/>
  </r>
  <r>
    <n v="693"/>
    <n v="215"/>
    <n v="485"/>
    <n v="4"/>
    <n v="1940"/>
    <x v="107"/>
    <x v="1"/>
    <n v="318"/>
    <x v="5"/>
    <n v="268.60344827586209"/>
    <n v="0.80563579177097355"/>
    <x v="5"/>
    <n v="0.72004876426909004"/>
    <n v="0.72004876426909004"/>
    <n v="281.96875"/>
    <d v="2022-11-27T00:00:00"/>
    <n v="67"/>
    <x v="0"/>
  </r>
  <r>
    <n v="694"/>
    <n v="36"/>
    <n v="150"/>
    <n v="2"/>
    <n v="300"/>
    <x v="211"/>
    <x v="12"/>
    <n v="283"/>
    <x v="3"/>
    <n v="265.47674418604652"/>
    <n v="-0.43497875695326527"/>
    <x v="29"/>
    <n v="-0.3632075471698113"/>
    <n v="-0.3632075471698113"/>
    <n v="235.55555555555554"/>
    <d v="2022-11-24T00:00:00"/>
    <n v="268"/>
    <x v="4"/>
  </r>
  <r>
    <n v="695"/>
    <n v="400"/>
    <n v="474"/>
    <n v="4"/>
    <n v="1896"/>
    <x v="383"/>
    <x v="9"/>
    <n v="191"/>
    <x v="15"/>
    <n v="294.95238095238096"/>
    <n v="0.60703907006780744"/>
    <x v="53"/>
    <n v="0.46956031567080037"/>
    <n v="0.46956031567080037"/>
    <n v="322.54545454545456"/>
    <d v="2022-11-01T00:00:00"/>
    <n v="126"/>
    <x v="3"/>
  </r>
  <r>
    <n v="696"/>
    <n v="80"/>
    <n v="135"/>
    <n v="2"/>
    <n v="270"/>
    <x v="384"/>
    <x v="9"/>
    <n v="123"/>
    <x v="17"/>
    <n v="267.85483870967744"/>
    <n v="-0.49599566447883425"/>
    <x v="66"/>
    <n v="-0.50662402923709449"/>
    <n v="-0.50662402923709449"/>
    <n v="273.625"/>
    <d v="2022-02-08T00:00:00"/>
    <n v="696"/>
    <x v="2"/>
  </r>
  <r>
    <n v="697"/>
    <n v="413"/>
    <n v="178"/>
    <n v="5"/>
    <n v="890"/>
    <x v="99"/>
    <x v="2"/>
    <n v="380"/>
    <x v="7"/>
    <n v="249.02380952380952"/>
    <n v="-0.28520891098575385"/>
    <x v="7"/>
    <n v="-0.35556402439024393"/>
    <n v="-0.35556402439024393"/>
    <n v="276.21052631578948"/>
    <d v="2022-01-02T00:00:00"/>
    <n v="532"/>
    <x v="2"/>
  </r>
  <r>
    <n v="698"/>
    <n v="10"/>
    <n v="112"/>
    <n v="3"/>
    <n v="336"/>
    <x v="252"/>
    <x v="2"/>
    <n v="442"/>
    <x v="5"/>
    <n v="268.60344827586209"/>
    <n v="-0.58302843571474416"/>
    <x v="5"/>
    <n v="-0.60279286268425136"/>
    <n v="-0.60279286268425136"/>
    <n v="281.96875"/>
    <d v="2022-07-04T00:00:00"/>
    <n v="604"/>
    <x v="4"/>
  </r>
  <r>
    <n v="699"/>
    <n v="14"/>
    <n v="338"/>
    <n v="4"/>
    <n v="1352"/>
    <x v="385"/>
    <x v="5"/>
    <n v="218"/>
    <x v="5"/>
    <n v="268.60344827586209"/>
    <n v="0.25836061364657548"/>
    <x v="49"/>
    <n v="0.24150596877869601"/>
    <n v="0.24150596877869601"/>
    <n v="272.25"/>
    <d v="2022-06-09T00:00:00"/>
    <n v="243"/>
    <x v="0"/>
  </r>
  <r>
    <n v="700"/>
    <n v="423"/>
    <n v="277"/>
    <n v="5"/>
    <n v="1385"/>
    <x v="376"/>
    <x v="4"/>
    <n v="331"/>
    <x v="14"/>
    <n v="273.72549019607845"/>
    <n v="1.1962750716332238E-2"/>
    <x v="22"/>
    <n v="-1.1554800339847127E-2"/>
    <n v="-1.1554800339847127E-2"/>
    <n v="280.23809523809524"/>
    <d v="2022-09-09T00:00:00"/>
    <n v="330"/>
    <x v="0"/>
  </r>
  <r>
    <n v="701"/>
    <n v="138"/>
    <n v="427"/>
    <n v="5"/>
    <n v="2135"/>
    <x v="279"/>
    <x v="4"/>
    <n v="196"/>
    <x v="11"/>
    <n v="262.63492063492066"/>
    <n v="0.62583101655989348"/>
    <x v="47"/>
    <n v="0.57564575645756455"/>
    <n v="0.57564575645756455"/>
    <n v="271"/>
    <d v="2022-10-01T00:00:00"/>
    <n v="310"/>
    <x v="2"/>
  </r>
  <r>
    <n v="702"/>
    <n v="498"/>
    <n v="169"/>
    <n v="4"/>
    <n v="676"/>
    <x v="37"/>
    <x v="17"/>
    <n v="36"/>
    <x v="15"/>
    <n v="294.95238095238096"/>
    <n v="-0.42702615434291247"/>
    <x v="41"/>
    <n v="-0.38495754144763439"/>
    <n v="-0.38495754144763439"/>
    <n v="274.77777777777777"/>
    <d v="2022-05-19T00:00:00"/>
    <n v="429"/>
    <x v="2"/>
  </r>
  <r>
    <n v="703"/>
    <n v="46"/>
    <n v="228"/>
    <n v="5"/>
    <n v="1140"/>
    <x v="386"/>
    <x v="3"/>
    <n v="272"/>
    <x v="9"/>
    <n v="263.25423728813558"/>
    <n v="-0.13391707442698941"/>
    <x v="55"/>
    <n v="-0.22360953461975031"/>
    <n v="-0.22360953461975031"/>
    <n v="293.66666666666669"/>
    <d v="2022-04-17T00:00:00"/>
    <n v="349"/>
    <x v="4"/>
  </r>
  <r>
    <n v="704"/>
    <n v="1"/>
    <n v="322"/>
    <n v="2"/>
    <n v="644"/>
    <x v="387"/>
    <x v="15"/>
    <n v="22"/>
    <x v="18"/>
    <n v="255.11627906976744"/>
    <n v="0.26216955332725611"/>
    <x v="72"/>
    <n v="0.27731698521456916"/>
    <n v="0.27731698521456916"/>
    <n v="252.09090909090909"/>
    <d v="2022-11-05T00:00:00"/>
    <n v="552"/>
    <x v="1"/>
  </r>
  <r>
    <n v="705"/>
    <n v="478"/>
    <n v="342"/>
    <n v="3"/>
    <n v="1026"/>
    <x v="214"/>
    <x v="6"/>
    <n v="360"/>
    <x v="17"/>
    <n v="267.85483870967744"/>
    <n v="0.27681098332028653"/>
    <x v="27"/>
    <n v="0.18651908144721618"/>
    <n v="0.18651908144721618"/>
    <n v="288.23809523809524"/>
    <d v="2022-06-16T00:00:00"/>
    <n v="309"/>
    <x v="1"/>
  </r>
  <r>
    <n v="706"/>
    <n v="444"/>
    <n v="315"/>
    <n v="4"/>
    <n v="1260"/>
    <x v="146"/>
    <x v="4"/>
    <n v="414"/>
    <x v="9"/>
    <n v="263.25423728813558"/>
    <n v="0.19656193664692245"/>
    <x v="33"/>
    <n v="0.26760563380281699"/>
    <n v="0.26760563380281699"/>
    <n v="248.5"/>
    <d v="2022-08-21T00:00:00"/>
    <n v="247"/>
    <x v="1"/>
  </r>
  <r>
    <n v="707"/>
    <n v="110"/>
    <n v="473"/>
    <n v="2"/>
    <n v="946"/>
    <x v="273"/>
    <x v="17"/>
    <n v="152"/>
    <x v="3"/>
    <n v="265.47674418604652"/>
    <n v="0.78170031974070331"/>
    <x v="16"/>
    <n v="0.7095828856110189"/>
    <n v="0.7095828856110189"/>
    <n v="276.67567567567568"/>
    <d v="2022-08-18T00:00:00"/>
    <n v="582"/>
    <x v="1"/>
  </r>
  <r>
    <n v="708"/>
    <n v="191"/>
    <n v="248"/>
    <n v="2"/>
    <n v="496"/>
    <x v="359"/>
    <x v="11"/>
    <n v="177"/>
    <x v="19"/>
    <n v="286.92307692307691"/>
    <n v="-0.13565683646112592"/>
    <x v="40"/>
    <n v="-9.3512031678342877E-2"/>
    <n v="-9.3512031678342877E-2"/>
    <n v="273.58333333333331"/>
    <d v="2022-10-23T00:00:00"/>
    <n v="291"/>
    <x v="4"/>
  </r>
  <r>
    <n v="709"/>
    <n v="198"/>
    <n v="335"/>
    <n v="3"/>
    <n v="1005"/>
    <x v="75"/>
    <x v="10"/>
    <n v="111"/>
    <x v="10"/>
    <n v="271.74545454545455"/>
    <n v="0.23277131004951146"/>
    <x v="15"/>
    <n v="5.8173203474598534E-2"/>
    <n v="5.8173203474598534E-2"/>
    <n v="316.58333333333331"/>
    <d v="2022-08-31T00:00:00"/>
    <n v="360"/>
    <x v="0"/>
  </r>
  <r>
    <n v="710"/>
    <n v="93"/>
    <n v="343"/>
    <n v="3"/>
    <n v="1029"/>
    <x v="71"/>
    <x v="18"/>
    <n v="281"/>
    <x v="8"/>
    <n v="271.18181818181819"/>
    <n v="0.26483405967147156"/>
    <x v="8"/>
    <n v="0.17685589519650668"/>
    <n v="0.17685589519650668"/>
    <n v="291.45454545454544"/>
    <d v="2022-05-30T00:00:00"/>
    <n v="219"/>
    <x v="0"/>
  </r>
  <r>
    <n v="711"/>
    <n v="385"/>
    <n v="309"/>
    <n v="1"/>
    <n v="309"/>
    <x v="388"/>
    <x v="6"/>
    <n v="177"/>
    <x v="3"/>
    <n v="265.47674418604652"/>
    <n v="0.16394376067627348"/>
    <x v="19"/>
    <n v="-6.1568194367752516E-2"/>
    <n v="-6.1568194367752516E-2"/>
    <n v="329.27272727272725"/>
    <d v="2022-10-23T00:00:00"/>
    <n v="243"/>
    <x v="4"/>
  </r>
  <r>
    <n v="712"/>
    <n v="456"/>
    <n v="196"/>
    <n v="4"/>
    <n v="784"/>
    <x v="201"/>
    <x v="4"/>
    <n v="446"/>
    <x v="19"/>
    <n v="286.92307692307691"/>
    <n v="-0.31689008042895439"/>
    <x v="40"/>
    <n v="-0.28358208955223874"/>
    <n v="-0.28358208955223874"/>
    <n v="273.58333333333331"/>
    <d v="2022-04-20T00:00:00"/>
    <n v="335"/>
    <x v="4"/>
  </r>
  <r>
    <n v="713"/>
    <n v="147"/>
    <n v="258"/>
    <n v="5"/>
    <n v="1290"/>
    <x v="53"/>
    <x v="3"/>
    <n v="202"/>
    <x v="17"/>
    <n v="267.85483870967744"/>
    <n v="-3.6791714337327752E-2"/>
    <x v="35"/>
    <n v="3.0930886488086395E-2"/>
    <n v="3.0930886488086395E-2"/>
    <n v="250.25925925925927"/>
    <d v="2022-07-24T00:00:00"/>
    <n v="590"/>
    <x v="1"/>
  </r>
  <r>
    <n v="714"/>
    <n v="47"/>
    <n v="496"/>
    <n v="2"/>
    <n v="992"/>
    <x v="41"/>
    <x v="2"/>
    <n v="140"/>
    <x v="10"/>
    <n v="271.74545454545455"/>
    <n v="0.82523752174494835"/>
    <x v="37"/>
    <n v="0.8211663066954642"/>
    <n v="0.8211663066954642"/>
    <n v="272.35294117647061"/>
    <d v="2022-03-07T00:00:00"/>
    <n v="569"/>
    <x v="2"/>
  </r>
  <r>
    <n v="715"/>
    <n v="369"/>
    <n v="202"/>
    <n v="5"/>
    <n v="1010"/>
    <x v="388"/>
    <x v="13"/>
    <n v="321"/>
    <x v="15"/>
    <n v="294.95238095238096"/>
    <n v="-0.31514368743945753"/>
    <x v="41"/>
    <n v="-0.2648604933279417"/>
    <n v="-0.2648604933279417"/>
    <n v="274.77777777777777"/>
    <d v="2022-07-14T00:00:00"/>
    <n v="344"/>
    <x v="4"/>
  </r>
  <r>
    <n v="716"/>
    <n v="296"/>
    <n v="155"/>
    <n v="1"/>
    <n v="155"/>
    <x v="6"/>
    <x v="18"/>
    <n v="188"/>
    <x v="18"/>
    <n v="255.11627906976744"/>
    <n v="-0.39243391066545119"/>
    <x v="34"/>
    <n v="-0.38076213890596189"/>
    <n v="-0.38076213890596189"/>
    <n v="250.30769230769232"/>
    <d v="2022-08-28T00:00:00"/>
    <n v="548"/>
    <x v="4"/>
  </r>
  <r>
    <n v="717"/>
    <n v="448"/>
    <n v="72"/>
    <n v="5"/>
    <n v="360"/>
    <x v="190"/>
    <x v="10"/>
    <n v="63"/>
    <x v="9"/>
    <n v="263.25423728813558"/>
    <n v="-0.72650012876641767"/>
    <x v="9"/>
    <n v="-0.72069488952605831"/>
    <n v="-0.72069488952605831"/>
    <n v="257.78260869565219"/>
    <d v="2022-05-03T00:00:00"/>
    <n v="725"/>
    <x v="3"/>
  </r>
  <r>
    <n v="718"/>
    <n v="38"/>
    <n v="191"/>
    <n v="5"/>
    <n v="955"/>
    <x v="383"/>
    <x v="14"/>
    <n v="25"/>
    <x v="17"/>
    <n v="267.85483870967744"/>
    <n v="-0.2869271993737581"/>
    <x v="27"/>
    <n v="-0.33735337849000491"/>
    <n v="-0.33735337849000491"/>
    <n v="288.23809523809524"/>
    <d v="2022-01-21T00:00:00"/>
    <n v="410"/>
    <x v="4"/>
  </r>
  <r>
    <n v="719"/>
    <n v="272"/>
    <n v="362"/>
    <n v="2"/>
    <n v="724"/>
    <x v="115"/>
    <x v="18"/>
    <n v="409"/>
    <x v="18"/>
    <n v="255.11627906976744"/>
    <n v="0.41896080218778486"/>
    <x v="72"/>
    <n v="0.43598990263252801"/>
    <n v="0.43598990263252801"/>
    <n v="252.09090909090909"/>
    <d v="2022-11-04T00:00:00"/>
    <n v="156"/>
    <x v="3"/>
  </r>
  <r>
    <n v="720"/>
    <n v="426"/>
    <n v="394"/>
    <n v="5"/>
    <n v="1970"/>
    <x v="6"/>
    <x v="15"/>
    <n v="386"/>
    <x v="2"/>
    <n v="283.468085106383"/>
    <n v="0.38992719357502059"/>
    <x v="46"/>
    <n v="0.22498586772187679"/>
    <n v="0.22498586772187679"/>
    <n v="321.63636363636363"/>
    <d v="2022-06-22T00:00:00"/>
    <n v="615"/>
    <x v="0"/>
  </r>
  <r>
    <n v="721"/>
    <n v="378"/>
    <n v="203"/>
    <n v="4"/>
    <n v="812"/>
    <x v="20"/>
    <x v="8"/>
    <n v="238"/>
    <x v="5"/>
    <n v="268.60344827586209"/>
    <n v="-0.24423903973297389"/>
    <x v="5"/>
    <n v="-0.28006206361520558"/>
    <n v="-0.28006206361520558"/>
    <n v="281.96875"/>
    <d v="2022-12-14T00:00:00"/>
    <n v="335"/>
    <x v="3"/>
  </r>
  <r>
    <n v="722"/>
    <n v="134"/>
    <n v="450"/>
    <n v="5"/>
    <n v="2250"/>
    <x v="353"/>
    <x v="0"/>
    <n v="480"/>
    <x v="6"/>
    <n v="258.5128205128205"/>
    <n v="0.74072604641936124"/>
    <x v="6"/>
    <n v="0.72647257955314837"/>
    <n v="0.72647257955314837"/>
    <n v="260.64705882352939"/>
    <d v="2022-01-07T00:00:00"/>
    <n v="493"/>
    <x v="0"/>
  </r>
  <r>
    <n v="723"/>
    <n v="485"/>
    <n v="323"/>
    <n v="1"/>
    <n v="323"/>
    <x v="389"/>
    <x v="17"/>
    <n v="157"/>
    <x v="3"/>
    <n v="265.47674418604652"/>
    <n v="0.2166790766939688"/>
    <x v="3"/>
    <n v="0.36704611792177455"/>
    <n v="0.36704611792177455"/>
    <n v="236.27586206896552"/>
    <d v="2022-08-10T00:00:00"/>
    <n v="361"/>
    <x v="2"/>
  </r>
  <r>
    <n v="724"/>
    <n v="400"/>
    <n v="358"/>
    <n v="4"/>
    <n v="1432"/>
    <x v="130"/>
    <x v="2"/>
    <n v="9"/>
    <x v="15"/>
    <n v="294.95238095238096"/>
    <n v="0.21375524701323867"/>
    <x v="53"/>
    <n v="0.10992108229988728"/>
    <n v="0.10992108229988728"/>
    <n v="322.54545454545456"/>
    <d v="2022-12-05T00:00:00"/>
    <n v="203"/>
    <x v="4"/>
  </r>
  <r>
    <n v="725"/>
    <n v="28"/>
    <n v="459"/>
    <n v="1"/>
    <n v="459"/>
    <x v="288"/>
    <x v="0"/>
    <n v="63"/>
    <x v="18"/>
    <n v="255.11627906976744"/>
    <n v="0.79917958067456696"/>
    <x v="61"/>
    <n v="0.67343750000000013"/>
    <n v="0.67343750000000013"/>
    <n v="274.28571428571428"/>
    <d v="2022-05-03T00:00:00"/>
    <n v="693"/>
    <x v="3"/>
  </r>
  <r>
    <n v="726"/>
    <n v="195"/>
    <n v="497"/>
    <n v="5"/>
    <n v="2485"/>
    <x v="10"/>
    <x v="16"/>
    <n v="105"/>
    <x v="16"/>
    <n v="300.31818181818181"/>
    <n v="0.65491145754502811"/>
    <x v="51"/>
    <n v="0.50075490689481628"/>
    <n v="0.50075490689481628"/>
    <n v="331.16666666666669"/>
    <d v="2022-12-23T00:00:00"/>
    <n v="218"/>
    <x v="0"/>
  </r>
  <r>
    <n v="727"/>
    <n v="398"/>
    <n v="361"/>
    <n v="1"/>
    <n v="361"/>
    <x v="127"/>
    <x v="7"/>
    <n v="40"/>
    <x v="5"/>
    <n v="268.60344827586209"/>
    <n v="0.34398870274086901"/>
    <x v="5"/>
    <n v="0.28028371938379704"/>
    <n v="0.28028371938379704"/>
    <n v="281.96875"/>
    <d v="2022-10-21T00:00:00"/>
    <n v="481"/>
    <x v="2"/>
  </r>
  <r>
    <n v="728"/>
    <n v="77"/>
    <n v="160"/>
    <n v="2"/>
    <n v="320"/>
    <x v="236"/>
    <x v="11"/>
    <n v="260"/>
    <x v="3"/>
    <n v="265.47674418604652"/>
    <n v="-0.39731067408348297"/>
    <x v="16"/>
    <n v="-0.42170557780599782"/>
    <n v="-0.42170557780599782"/>
    <n v="276.67567567567568"/>
    <d v="2022-06-17T00:00:00"/>
    <n v="493"/>
    <x v="3"/>
  </r>
  <r>
    <n v="729"/>
    <n v="128"/>
    <n v="419"/>
    <n v="5"/>
    <n v="2095"/>
    <x v="224"/>
    <x v="4"/>
    <n v="220"/>
    <x v="10"/>
    <n v="271.74545454545455"/>
    <n v="0.54188411615147869"/>
    <x v="15"/>
    <n v="0.32350618583837853"/>
    <n v="0.32350618583837853"/>
    <n v="316.58333333333331"/>
    <d v="2022-01-09T00:00:00"/>
    <n v="373"/>
    <x v="3"/>
  </r>
  <r>
    <n v="730"/>
    <n v="328"/>
    <n v="429"/>
    <n v="4"/>
    <n v="1716"/>
    <x v="58"/>
    <x v="7"/>
    <n v="88"/>
    <x v="14"/>
    <n v="273.72549019607845"/>
    <n v="0.56726361031518602"/>
    <x v="58"/>
    <n v="0.77394900068917982"/>
    <n v="0.77394900068917982"/>
    <n v="241.83333333333334"/>
    <d v="2022-03-10T00:00:00"/>
    <n v="615"/>
    <x v="3"/>
  </r>
  <r>
    <n v="731"/>
    <n v="455"/>
    <n v="72"/>
    <n v="2"/>
    <n v="144"/>
    <x v="246"/>
    <x v="5"/>
    <n v="66"/>
    <x v="1"/>
    <n v="264.8679245283019"/>
    <n v="-0.72816640547086475"/>
    <x v="64"/>
    <n v="-0.69609567358424196"/>
    <n v="-0.69609567358424196"/>
    <n v="236.91666666666666"/>
    <d v="2022-08-04T00:00:00"/>
    <n v="325"/>
    <x v="2"/>
  </r>
  <r>
    <n v="732"/>
    <n v="371"/>
    <n v="97"/>
    <n v="3"/>
    <n v="291"/>
    <x v="390"/>
    <x v="1"/>
    <n v="15"/>
    <x v="0"/>
    <n v="252.76271186440678"/>
    <n v="-0.6162408636759874"/>
    <x v="45"/>
    <n v="-0.66940657578187657"/>
    <n v="-0.66940657578187657"/>
    <n v="293.41176470588238"/>
    <d v="2022-05-30T00:00:00"/>
    <n v="423"/>
    <x v="3"/>
  </r>
  <r>
    <n v="733"/>
    <n v="486"/>
    <n v="57"/>
    <n v="2"/>
    <n v="114"/>
    <x v="287"/>
    <x v="0"/>
    <n v="485"/>
    <x v="1"/>
    <n v="264.8679245283019"/>
    <n v="-0.78479840433110137"/>
    <x v="1"/>
    <n v="-0.76067179846046185"/>
    <n v="-0.76067179846046185"/>
    <n v="238.16666666666666"/>
    <d v="2022-06-11T00:00:00"/>
    <n v="475"/>
    <x v="2"/>
  </r>
  <r>
    <n v="734"/>
    <n v="359"/>
    <n v="126"/>
    <n v="4"/>
    <n v="504"/>
    <x v="391"/>
    <x v="7"/>
    <n v="394"/>
    <x v="10"/>
    <n v="271.74545454545455"/>
    <n v="-0.53633079084704938"/>
    <x v="15"/>
    <n v="-0.60200052645433"/>
    <n v="-0.60200052645433"/>
    <n v="316.58333333333331"/>
    <d v="2022-05-27T00:00:00"/>
    <n v="357"/>
    <x v="2"/>
  </r>
  <r>
    <n v="735"/>
    <n v="267"/>
    <n v="54"/>
    <n v="2"/>
    <n v="108"/>
    <x v="170"/>
    <x v="15"/>
    <n v="290"/>
    <x v="4"/>
    <n v="250.48780487804879"/>
    <n v="-0.78442064264849076"/>
    <x v="75"/>
    <n v="-0.74038461538461542"/>
    <n v="-0.74038461538461542"/>
    <n v="208"/>
    <d v="2022-08-04T00:00:00"/>
    <n v="474"/>
    <x v="2"/>
  </r>
  <r>
    <n v="736"/>
    <n v="52"/>
    <n v="150"/>
    <n v="4"/>
    <n v="600"/>
    <x v="392"/>
    <x v="3"/>
    <n v="279"/>
    <x v="1"/>
    <n v="264.8679245283019"/>
    <n v="-0.43368001139763501"/>
    <x v="1"/>
    <n v="-0.37018894331700491"/>
    <n v="-0.37018894331700491"/>
    <n v="238.16666666666666"/>
    <d v="2022-08-13T00:00:00"/>
    <n v="517"/>
    <x v="0"/>
  </r>
  <r>
    <n v="737"/>
    <n v="187"/>
    <n v="233"/>
    <n v="4"/>
    <n v="932"/>
    <x v="372"/>
    <x v="9"/>
    <n v="245"/>
    <x v="3"/>
    <n v="265.47674418604652"/>
    <n v="-0.12233366913407206"/>
    <x v="16"/>
    <n v="-0.15785874767998442"/>
    <n v="-0.15785874767998442"/>
    <n v="276.67567567567568"/>
    <d v="2022-05-14T00:00:00"/>
    <n v="391"/>
    <x v="0"/>
  </r>
  <r>
    <n v="738"/>
    <n v="118"/>
    <n v="156"/>
    <n v="5"/>
    <n v="780"/>
    <x v="392"/>
    <x v="13"/>
    <n v="261"/>
    <x v="0"/>
    <n v="252.76271186440678"/>
    <n v="-0.38282035807684567"/>
    <x v="0"/>
    <n v="-0.35135135135135132"/>
    <n v="-0.35135135135135132"/>
    <n v="240.5"/>
    <d v="2022-10-14T00:00:00"/>
    <n v="455"/>
    <x v="2"/>
  </r>
  <r>
    <n v="739"/>
    <n v="218"/>
    <n v="383"/>
    <n v="2"/>
    <n v="766"/>
    <x v="109"/>
    <x v="1"/>
    <n v="9"/>
    <x v="19"/>
    <n v="286.92307692307691"/>
    <n v="0.33485254691689015"/>
    <x v="42"/>
    <n v="0.22494669509594867"/>
    <n v="0.22494669509594867"/>
    <n v="312.66666666666669"/>
    <d v="2022-12-05T00:00:00"/>
    <n v="438"/>
    <x v="4"/>
  </r>
  <r>
    <n v="740"/>
    <n v="46"/>
    <n v="370"/>
    <n v="5"/>
    <n v="1850"/>
    <x v="393"/>
    <x v="17"/>
    <n v="103"/>
    <x v="9"/>
    <n v="263.25423728813558"/>
    <n v="0.40548544939479791"/>
    <x v="55"/>
    <n v="0.25993189557321217"/>
    <n v="0.25993189557321217"/>
    <n v="293.66666666666669"/>
    <d v="2022-08-14T00:00:00"/>
    <n v="247"/>
    <x v="0"/>
  </r>
  <r>
    <n v="741"/>
    <n v="263"/>
    <n v="173"/>
    <n v="3"/>
    <n v="519"/>
    <x v="394"/>
    <x v="14"/>
    <n v="142"/>
    <x v="9"/>
    <n v="263.25423728813558"/>
    <n v="-0.34284058717486476"/>
    <x v="55"/>
    <n v="-0.41089670828603864"/>
    <n v="-0.41089670828603864"/>
    <n v="293.66666666666669"/>
    <d v="2022-05-02T00:00:00"/>
    <n v="707"/>
    <x v="2"/>
  </r>
  <r>
    <n v="742"/>
    <n v="201"/>
    <n v="113"/>
    <n v="5"/>
    <n v="565"/>
    <x v="107"/>
    <x v="13"/>
    <n v="470"/>
    <x v="2"/>
    <n v="283.468085106383"/>
    <n v="-0.60136605869548898"/>
    <x v="36"/>
    <n v="-0.5470941883767535"/>
    <n v="-0.5470941883767535"/>
    <n v="249.5"/>
    <d v="2022-05-09T00:00:00"/>
    <n v="269"/>
    <x v="4"/>
  </r>
  <r>
    <n v="743"/>
    <n v="434"/>
    <n v="366"/>
    <n v="4"/>
    <n v="1464"/>
    <x v="229"/>
    <x v="5"/>
    <n v="490"/>
    <x v="11"/>
    <n v="262.63492063492066"/>
    <n v="0.39356944276562289"/>
    <x v="47"/>
    <n v="0.35055350553505527"/>
    <n v="0.35055350553505527"/>
    <n v="271"/>
    <d v="2022-02-11T00:00:00"/>
    <n v="504"/>
    <x v="2"/>
  </r>
  <r>
    <n v="744"/>
    <n v="99"/>
    <n v="92"/>
    <n v="4"/>
    <n v="368"/>
    <x v="339"/>
    <x v="6"/>
    <n v="255"/>
    <x v="4"/>
    <n v="250.48780487804879"/>
    <n v="-0.63271665043816938"/>
    <x v="75"/>
    <n v="-0.55769230769230771"/>
    <n v="-0.55769230769230771"/>
    <n v="208"/>
    <d v="2022-08-20T00:00:00"/>
    <n v="280"/>
    <x v="3"/>
  </r>
  <r>
    <n v="745"/>
    <n v="357"/>
    <n v="290"/>
    <n v="4"/>
    <n v="1160"/>
    <x v="93"/>
    <x v="5"/>
    <n v="422"/>
    <x v="10"/>
    <n v="271.74545454545455"/>
    <n v="6.7175163923457681E-2"/>
    <x v="37"/>
    <n v="6.4794816414686762E-2"/>
    <n v="6.4794816414686762E-2"/>
    <n v="272.35294117647061"/>
    <d v="2022-08-11T00:00:00"/>
    <n v="293"/>
    <x v="3"/>
  </r>
  <r>
    <n v="746"/>
    <n v="337"/>
    <n v="453"/>
    <n v="4"/>
    <n v="1812"/>
    <x v="373"/>
    <x v="18"/>
    <n v="115"/>
    <x v="3"/>
    <n v="265.47674418604652"/>
    <n v="0.70636415400113872"/>
    <x v="16"/>
    <n v="0.63729608283676864"/>
    <n v="0.63729608283676864"/>
    <n v="276.67567567567568"/>
    <d v="2022-09-28T00:00:00"/>
    <n v="583"/>
    <x v="1"/>
  </r>
  <r>
    <n v="747"/>
    <n v="230"/>
    <n v="104"/>
    <n v="4"/>
    <n v="416"/>
    <x v="324"/>
    <x v="4"/>
    <n v="163"/>
    <x v="5"/>
    <n v="268.60344827586209"/>
    <n v="-0.61281211887797682"/>
    <x v="5"/>
    <n v="-0.63116480106394768"/>
    <n v="-0.63116480106394768"/>
    <n v="281.96875"/>
    <d v="2022-01-10T00:00:00"/>
    <n v="394"/>
    <x v="0"/>
  </r>
  <r>
    <n v="748"/>
    <n v="293"/>
    <n v="57"/>
    <n v="5"/>
    <n v="285"/>
    <x v="78"/>
    <x v="18"/>
    <n v="248"/>
    <x v="17"/>
    <n v="267.85483870967744"/>
    <n v="-0.78719816944661891"/>
    <x v="35"/>
    <n v="-0.7722361994968181"/>
    <n v="-0.7722361994968181"/>
    <n v="250.25925925925927"/>
    <d v="2022-05-13T00:00:00"/>
    <n v="310"/>
    <x v="2"/>
  </r>
  <r>
    <n v="749"/>
    <n v="254"/>
    <n v="326"/>
    <n v="1"/>
    <n v="326"/>
    <x v="126"/>
    <x v="2"/>
    <n v="201"/>
    <x v="1"/>
    <n v="264.8679245283019"/>
    <n v="0.23080210856247318"/>
    <x v="1"/>
    <n v="0.36878936319104283"/>
    <n v="0.36878936319104283"/>
    <n v="238.16666666666666"/>
    <d v="2022-10-09T00:00:00"/>
    <n v="529"/>
    <x v="4"/>
  </r>
  <r>
    <n v="750"/>
    <n v="248"/>
    <n v="176"/>
    <n v="5"/>
    <n v="880"/>
    <x v="76"/>
    <x v="8"/>
    <n v="434"/>
    <x v="17"/>
    <n v="267.85483870967744"/>
    <n v="-0.34292768109833205"/>
    <x v="66"/>
    <n v="-0.35678391959798994"/>
    <n v="-0.35678391959798994"/>
    <n v="273.625"/>
    <d v="2022-06-18T00:00:00"/>
    <n v="216"/>
    <x v="3"/>
  </r>
  <r>
    <n v="751"/>
    <n v="156"/>
    <n v="490"/>
    <n v="1"/>
    <n v="490"/>
    <x v="395"/>
    <x v="9"/>
    <n v="140"/>
    <x v="12"/>
    <n v="274.16279069767444"/>
    <n v="0.78725930952582912"/>
    <x v="50"/>
    <n v="0.74584323040380029"/>
    <n v="0.74584323040380029"/>
    <n v="280.66666666666669"/>
    <d v="2022-03-07T00:00:00"/>
    <n v="610"/>
    <x v="2"/>
  </r>
  <r>
    <n v="752"/>
    <n v="370"/>
    <n v="95"/>
    <n v="5"/>
    <n v="475"/>
    <x v="143"/>
    <x v="5"/>
    <n v="250"/>
    <x v="5"/>
    <n v="268.60344827586209"/>
    <n v="-0.64631876243661335"/>
    <x v="5"/>
    <n v="-0.66308323174110606"/>
    <n v="-0.66308323174110606"/>
    <n v="281.96875"/>
    <d v="2022-10-22T00:00:00"/>
    <n v="346"/>
    <x v="2"/>
  </r>
  <r>
    <n v="753"/>
    <n v="61"/>
    <n v="183"/>
    <n v="5"/>
    <n v="915"/>
    <x v="396"/>
    <x v="9"/>
    <n v="191"/>
    <x v="9"/>
    <n v="263.25423728813558"/>
    <n v="-0.30485449394797837"/>
    <x v="33"/>
    <n v="-0.26358148893360156"/>
    <n v="-0.26358148893360156"/>
    <n v="248.5"/>
    <d v="2022-11-01T00:00:00"/>
    <n v="196"/>
    <x v="3"/>
  </r>
  <r>
    <n v="754"/>
    <n v="246"/>
    <n v="302"/>
    <n v="5"/>
    <n v="1510"/>
    <x v="313"/>
    <x v="5"/>
    <n v="336"/>
    <x v="11"/>
    <n v="262.63492063492066"/>
    <n v="0.14988516862081469"/>
    <x v="21"/>
    <n v="0.26506865254828949"/>
    <n v="0.26506865254828949"/>
    <n v="238.72222222222223"/>
    <d v="2022-10-22T00:00:00"/>
    <n v="551"/>
    <x v="0"/>
  </r>
  <r>
    <n v="755"/>
    <n v="322"/>
    <n v="417"/>
    <n v="2"/>
    <n v="834"/>
    <x v="8"/>
    <x v="16"/>
    <n v="3"/>
    <x v="18"/>
    <n v="255.11627906976744"/>
    <n v="0.6345487693710119"/>
    <x v="67"/>
    <n v="0.65530929540191862"/>
    <n v="0.65530929540191862"/>
    <n v="251.91666666666666"/>
    <d v="2022-04-15T00:00:00"/>
    <n v="710"/>
    <x v="3"/>
  </r>
  <r>
    <n v="756"/>
    <n v="51"/>
    <n v="439"/>
    <n v="5"/>
    <n v="2195"/>
    <x v="151"/>
    <x v="9"/>
    <n v="435"/>
    <x v="19"/>
    <n v="286.92307692307691"/>
    <n v="0.53002680965147464"/>
    <x v="42"/>
    <n v="0.40405117270788904"/>
    <n v="0.40405117270788904"/>
    <n v="312.66666666666669"/>
    <d v="2022-02-26T00:00:00"/>
    <n v="735"/>
    <x v="0"/>
  </r>
  <r>
    <n v="757"/>
    <n v="189"/>
    <n v="136"/>
    <n v="5"/>
    <n v="680"/>
    <x v="250"/>
    <x v="18"/>
    <n v="80"/>
    <x v="16"/>
    <n v="300.31818181818181"/>
    <n v="-0.54714696533979112"/>
    <x v="38"/>
    <n v="-0.48484848484848486"/>
    <n v="-0.48484848484848486"/>
    <n v="264"/>
    <d v="2022-03-03T00:00:00"/>
    <n v="609"/>
    <x v="1"/>
  </r>
  <r>
    <n v="758"/>
    <n v="67"/>
    <n v="274"/>
    <n v="4"/>
    <n v="1096"/>
    <x v="397"/>
    <x v="2"/>
    <n v="262"/>
    <x v="9"/>
    <n v="263.25423728813558"/>
    <n v="4.0818954416688147E-2"/>
    <x v="43"/>
    <n v="-4.5628700801114697E-2"/>
    <n v="-4.5628700801114697E-2"/>
    <n v="287.10000000000002"/>
    <d v="2022-08-05T00:00:00"/>
    <n v="520"/>
    <x v="4"/>
  </r>
  <r>
    <n v="759"/>
    <n v="301"/>
    <n v="189"/>
    <n v="3"/>
    <n v="567"/>
    <x v="389"/>
    <x v="15"/>
    <n v="43"/>
    <x v="12"/>
    <n v="274.16279069767444"/>
    <n v="-0.31062855204003736"/>
    <x v="18"/>
    <n v="-0.25498891352549891"/>
    <n v="-0.25498891352549891"/>
    <n v="253.6875"/>
    <d v="2022-12-17T00:00:00"/>
    <n v="232"/>
    <x v="2"/>
  </r>
  <r>
    <n v="760"/>
    <n v="463"/>
    <n v="77"/>
    <n v="4"/>
    <n v="308"/>
    <x v="374"/>
    <x v="13"/>
    <n v="163"/>
    <x v="7"/>
    <n v="249.02380952380952"/>
    <n v="-0.69079261879720821"/>
    <x v="39"/>
    <n v="-0.65346534653465338"/>
    <n v="-0.65346534653465338"/>
    <n v="222.2"/>
    <d v="2022-01-10T00:00:00"/>
    <n v="722"/>
    <x v="0"/>
  </r>
  <r>
    <n v="761"/>
    <n v="151"/>
    <n v="239"/>
    <n v="2"/>
    <n v="478"/>
    <x v="398"/>
    <x v="6"/>
    <n v="386"/>
    <x v="15"/>
    <n v="294.95238095238096"/>
    <n v="-0.18969970939618985"/>
    <x v="53"/>
    <n v="-0.25901916572717032"/>
    <n v="-0.25901916572717032"/>
    <n v="322.54545454545456"/>
    <d v="2022-06-22T00:00:00"/>
    <n v="322"/>
    <x v="0"/>
  </r>
  <r>
    <n v="762"/>
    <n v="398"/>
    <n v="464"/>
    <n v="5"/>
    <n v="2320"/>
    <x v="28"/>
    <x v="3"/>
    <n v="342"/>
    <x v="5"/>
    <n v="268.60344827586209"/>
    <n v="0.72745362346748821"/>
    <x v="5"/>
    <n v="0.64557242602238718"/>
    <n v="0.64557242602238718"/>
    <n v="281.96875"/>
    <d v="2022-01-09T00:00:00"/>
    <n v="470"/>
    <x v="4"/>
  </r>
  <r>
    <n v="763"/>
    <n v="483"/>
    <n v="140"/>
    <n v="5"/>
    <n v="700"/>
    <x v="20"/>
    <x v="3"/>
    <n v="7"/>
    <x v="19"/>
    <n v="286.92307692307691"/>
    <n v="-0.51206434316353877"/>
    <x v="42"/>
    <n v="-0.55223880597014929"/>
    <n v="-0.55223880597014929"/>
    <n v="312.66666666666669"/>
    <d v="2022-11-28T00:00:00"/>
    <n v="351"/>
    <x v="2"/>
  </r>
  <r>
    <n v="764"/>
    <n v="86"/>
    <n v="353"/>
    <n v="2"/>
    <n v="706"/>
    <x v="399"/>
    <x v="19"/>
    <n v="264"/>
    <x v="0"/>
    <n v="252.76271186440678"/>
    <n v="0.39656675383893236"/>
    <x v="45"/>
    <n v="0.20308740978348028"/>
    <n v="0.20308740978348028"/>
    <n v="293.41176470588238"/>
    <d v="2022-12-12T00:00:00"/>
    <n v="426"/>
    <x v="1"/>
  </r>
  <r>
    <n v="765"/>
    <n v="158"/>
    <n v="318"/>
    <n v="5"/>
    <n v="1590"/>
    <x v="347"/>
    <x v="7"/>
    <n v="99"/>
    <x v="0"/>
    <n v="252.76271186440678"/>
    <n v="0.25809696238181457"/>
    <x v="11"/>
    <n v="0.32352941176470584"/>
    <n v="0.32352941176470584"/>
    <n v="240.26666666666668"/>
    <d v="2022-11-21T00:00:00"/>
    <n v="72"/>
    <x v="2"/>
  </r>
  <r>
    <n v="766"/>
    <n v="199"/>
    <n v="80"/>
    <n v="5"/>
    <n v="400"/>
    <x v="306"/>
    <x v="9"/>
    <n v="404"/>
    <x v="3"/>
    <n v="265.47674418604652"/>
    <n v="-0.69865533704174143"/>
    <x v="3"/>
    <n v="-0.66141272621132519"/>
    <n v="-0.66141272621132519"/>
    <n v="236.27586206896552"/>
    <d v="2022-12-18T00:00:00"/>
    <n v="495"/>
    <x v="3"/>
  </r>
  <r>
    <n v="767"/>
    <n v="259"/>
    <n v="90"/>
    <n v="4"/>
    <n v="360"/>
    <x v="18"/>
    <x v="4"/>
    <n v="79"/>
    <x v="9"/>
    <n v="263.25423728813558"/>
    <n v="-0.65812516095802209"/>
    <x v="9"/>
    <n v="-0.65086861190757295"/>
    <n v="-0.65086861190757295"/>
    <n v="257.78260869565219"/>
    <d v="2022-06-04T00:00:00"/>
    <n v="342"/>
    <x v="4"/>
  </r>
  <r>
    <n v="768"/>
    <n v="468"/>
    <n v="167"/>
    <n v="4"/>
    <n v="668"/>
    <x v="237"/>
    <x v="19"/>
    <n v="377"/>
    <x v="9"/>
    <n v="263.25423728813558"/>
    <n v="-0.36563224311099662"/>
    <x v="43"/>
    <n v="-0.41832114245907359"/>
    <n v="-0.41832114245907359"/>
    <n v="287.10000000000002"/>
    <d v="2022-08-21T00:00:00"/>
    <n v="417"/>
    <x v="0"/>
  </r>
  <r>
    <n v="769"/>
    <n v="4"/>
    <n v="478"/>
    <n v="4"/>
    <n v="1912"/>
    <x v="303"/>
    <x v="13"/>
    <n v="146"/>
    <x v="13"/>
    <n v="258.375"/>
    <n v="0.85002418964683124"/>
    <x v="20"/>
    <n v="0.7723009814612869"/>
    <n v="0.7723009814612869"/>
    <n v="269.70588235294116"/>
    <d v="2022-02-25T00:00:00"/>
    <n v="539"/>
    <x v="1"/>
  </r>
  <r>
    <n v="770"/>
    <n v="155"/>
    <n v="310"/>
    <n v="4"/>
    <n v="1240"/>
    <x v="71"/>
    <x v="11"/>
    <n v="346"/>
    <x v="9"/>
    <n v="263.25423728813558"/>
    <n v="0.17756889003347931"/>
    <x v="33"/>
    <n v="0.2474849094567404"/>
    <n v="0.2474849094567404"/>
    <n v="248.5"/>
    <d v="2022-03-16T00:00:00"/>
    <n v="294"/>
    <x v="2"/>
  </r>
  <r>
    <n v="771"/>
    <n v="413"/>
    <n v="210"/>
    <n v="5"/>
    <n v="1050"/>
    <x v="387"/>
    <x v="11"/>
    <n v="436"/>
    <x v="7"/>
    <n v="249.02380952380952"/>
    <n v="-0.15670714217420401"/>
    <x v="7"/>
    <n v="-0.23971036585365857"/>
    <n v="-0.23971036585365857"/>
    <n v="276.21052631578948"/>
    <d v="2022-05-02T00:00:00"/>
    <n v="739"/>
    <x v="2"/>
  </r>
  <r>
    <n v="772"/>
    <n v="200"/>
    <n v="67"/>
    <n v="1"/>
    <n v="67"/>
    <x v="400"/>
    <x v="6"/>
    <n v="103"/>
    <x v="14"/>
    <n v="273.72549019607845"/>
    <n v="-0.75522922636103151"/>
    <x v="63"/>
    <n v="-0.74837828610447255"/>
    <n v="-0.74837828610447255"/>
    <n v="266.27272727272725"/>
    <d v="2022-08-14T00:00:00"/>
    <n v="376"/>
    <x v="0"/>
  </r>
  <r>
    <n v="773"/>
    <n v="295"/>
    <n v="294"/>
    <n v="5"/>
    <n v="1470"/>
    <x v="191"/>
    <x v="18"/>
    <n v="493"/>
    <x v="2"/>
    <n v="283.468085106383"/>
    <n v="3.715379419049758E-2"/>
    <x v="36"/>
    <n v="0.17835671342685377"/>
    <n v="0.17835671342685377"/>
    <n v="249.5"/>
    <d v="2022-10-21T00:00:00"/>
    <n v="292"/>
    <x v="3"/>
  </r>
  <r>
    <n v="774"/>
    <n v="39"/>
    <n v="404"/>
    <n v="2"/>
    <n v="808"/>
    <x v="149"/>
    <x v="7"/>
    <n v="252"/>
    <x v="11"/>
    <n v="262.63492063492066"/>
    <n v="0.53825698053910287"/>
    <x v="47"/>
    <n v="0.4907749077490775"/>
    <n v="0.4907749077490775"/>
    <n v="271"/>
    <d v="2022-03-23T00:00:00"/>
    <n v="532"/>
    <x v="2"/>
  </r>
  <r>
    <n v="775"/>
    <n v="228"/>
    <n v="98"/>
    <n v="2"/>
    <n v="196"/>
    <x v="314"/>
    <x v="4"/>
    <n v="338"/>
    <x v="13"/>
    <n v="258.375"/>
    <n v="-0.62070633768746974"/>
    <x v="34"/>
    <n v="-0.46026750590086551"/>
    <n v="-0.46026750590086551"/>
    <n v="181.57142857142858"/>
    <d v="2022-01-16T00:00:00"/>
    <n v="767"/>
    <x v="4"/>
  </r>
  <r>
    <n v="776"/>
    <n v="37"/>
    <n v="139"/>
    <n v="3"/>
    <n v="417"/>
    <x v="366"/>
    <x v="9"/>
    <n v="397"/>
    <x v="1"/>
    <n v="264.8679245283019"/>
    <n v="-0.47521014389514182"/>
    <x v="1"/>
    <n v="-0.41637508747375784"/>
    <n v="-0.41637508747375784"/>
    <n v="238.16666666666666"/>
    <d v="2022-06-16T00:00:00"/>
    <n v="286"/>
    <x v="1"/>
  </r>
  <r>
    <n v="777"/>
    <n v="62"/>
    <n v="241"/>
    <n v="2"/>
    <n v="482"/>
    <x v="277"/>
    <x v="0"/>
    <n v="247"/>
    <x v="6"/>
    <n v="258.5128205128205"/>
    <n v="-6.7744495139853145E-2"/>
    <x v="60"/>
    <n v="-0.16864699118436188"/>
    <n v="-0.16864699118436188"/>
    <n v="289.88888888888891"/>
    <d v="2022-07-20T00:00:00"/>
    <n v="469"/>
    <x v="0"/>
  </r>
  <r>
    <n v="778"/>
    <n v="468"/>
    <n v="182"/>
    <n v="5"/>
    <n v="910"/>
    <x v="186"/>
    <x v="16"/>
    <n v="445"/>
    <x v="9"/>
    <n v="263.25423728813558"/>
    <n v="-0.30865310327066697"/>
    <x v="43"/>
    <n v="-0.3660745384883316"/>
    <n v="-0.3660745384883316"/>
    <n v="287.10000000000002"/>
    <d v="2022-04-25T00:00:00"/>
    <n v="329"/>
    <x v="2"/>
  </r>
  <r>
    <n v="779"/>
    <n v="497"/>
    <n v="275"/>
    <n v="4"/>
    <n v="1100"/>
    <x v="401"/>
    <x v="3"/>
    <n v="477"/>
    <x v="17"/>
    <n v="267.85483870967744"/>
    <n v="2.667549828385618E-2"/>
    <x v="35"/>
    <n v="9.8860441024123169E-2"/>
    <n v="9.8860441024123169E-2"/>
    <n v="250.25925925925927"/>
    <d v="2022-06-26T00:00:00"/>
    <n v="498"/>
    <x v="0"/>
  </r>
  <r>
    <n v="780"/>
    <n v="372"/>
    <n v="182"/>
    <n v="2"/>
    <n v="364"/>
    <x v="140"/>
    <x v="14"/>
    <n v="402"/>
    <x v="7"/>
    <n v="249.02380952380952"/>
    <n v="-0.26914618988431016"/>
    <x v="39"/>
    <n v="-0.18091809180918084"/>
    <n v="-0.18091809180918084"/>
    <n v="222.2"/>
    <d v="2022-06-30T00:00:00"/>
    <n v="249"/>
    <x v="0"/>
  </r>
  <r>
    <n v="781"/>
    <n v="354"/>
    <n v="203"/>
    <n v="5"/>
    <n v="1015"/>
    <x v="43"/>
    <x v="17"/>
    <n v="265"/>
    <x v="8"/>
    <n v="271.18181818181819"/>
    <n v="-0.25142474019443517"/>
    <x v="14"/>
    <n v="-0.21970463281408048"/>
    <n v="-0.21970463281408048"/>
    <n v="260.15789473684208"/>
    <d v="2022-07-14T00:00:00"/>
    <n v="478"/>
    <x v="0"/>
  </r>
  <r>
    <n v="782"/>
    <n v="460"/>
    <n v="103"/>
    <n v="5"/>
    <n v="515"/>
    <x v="158"/>
    <x v="12"/>
    <n v="124"/>
    <x v="7"/>
    <n v="249.02380952380952"/>
    <n v="-0.58638493163782379"/>
    <x v="77"/>
    <n v="-0.26428571428571423"/>
    <n v="-0.26428571428571423"/>
    <n v="140"/>
    <d v="2022-08-22T00:00:00"/>
    <n v="616"/>
    <x v="2"/>
  </r>
  <r>
    <n v="783"/>
    <n v="63"/>
    <n v="344"/>
    <n v="2"/>
    <n v="688"/>
    <x v="40"/>
    <x v="13"/>
    <n v="208"/>
    <x v="6"/>
    <n v="258.5128205128205"/>
    <n v="0.33068835548502284"/>
    <x v="60"/>
    <n v="0.18666155615178215"/>
    <n v="0.18666155615178215"/>
    <n v="289.88888888888891"/>
    <d v="2022-06-24T00:00:00"/>
    <n v="458"/>
    <x v="3"/>
  </r>
  <r>
    <n v="784"/>
    <n v="467"/>
    <n v="436"/>
    <n v="3"/>
    <n v="1308"/>
    <x v="148"/>
    <x v="5"/>
    <n v="343"/>
    <x v="3"/>
    <n v="265.47674418604652"/>
    <n v="0.64232841312250888"/>
    <x v="3"/>
    <n v="0.84530064214827783"/>
    <n v="0.84530064214827783"/>
    <n v="236.27586206896552"/>
    <d v="2022-11-09T00:00:00"/>
    <n v="415"/>
    <x v="3"/>
  </r>
  <r>
    <n v="785"/>
    <n v="184"/>
    <n v="79"/>
    <n v="4"/>
    <n v="316"/>
    <x v="313"/>
    <x v="1"/>
    <n v="394"/>
    <x v="17"/>
    <n v="267.85483870967744"/>
    <n v="-0.7050641295839104"/>
    <x v="70"/>
    <n v="-0.70522388059701491"/>
    <n v="-0.70522388059701491"/>
    <n v="268"/>
    <d v="2022-05-27T00:00:00"/>
    <n v="699"/>
    <x v="2"/>
  </r>
  <r>
    <n v="786"/>
    <n v="265"/>
    <n v="339"/>
    <n v="3"/>
    <n v="1017"/>
    <x v="378"/>
    <x v="1"/>
    <n v="242"/>
    <x v="10"/>
    <n v="271.74545454545455"/>
    <n v="0.24749096748293864"/>
    <x v="15"/>
    <n v="7.0808107396683306E-2"/>
    <n v="7.0808107396683306E-2"/>
    <n v="316.58333333333331"/>
    <d v="2022-07-05T00:00:00"/>
    <n v="197"/>
    <x v="2"/>
  </r>
  <r>
    <n v="787"/>
    <n v="130"/>
    <n v="319"/>
    <n v="3"/>
    <n v="957"/>
    <x v="279"/>
    <x v="19"/>
    <n v="56"/>
    <x v="1"/>
    <n v="264.8679245283019"/>
    <n v="0.20437384242769618"/>
    <x v="1"/>
    <n v="0.33939818054583637"/>
    <n v="0.33939818054583637"/>
    <n v="238.16666666666666"/>
    <d v="2022-04-11T00:00:00"/>
    <n v="483"/>
    <x v="4"/>
  </r>
  <r>
    <n v="788"/>
    <n v="443"/>
    <n v="348"/>
    <n v="3"/>
    <n v="1044"/>
    <x v="71"/>
    <x v="16"/>
    <n v="324"/>
    <x v="7"/>
    <n v="249.02380952380952"/>
    <n v="0.3974567358256047"/>
    <x v="7"/>
    <n v="0.25990853658536572"/>
    <n v="0.25990853658536572"/>
    <n v="276.21052631578948"/>
    <d v="2022-07-19T00:00:00"/>
    <n v="169"/>
    <x v="0"/>
  </r>
  <r>
    <n v="789"/>
    <n v="408"/>
    <n v="60"/>
    <n v="4"/>
    <n v="240"/>
    <x v="227"/>
    <x v="7"/>
    <n v="486"/>
    <x v="9"/>
    <n v="263.25423728813558"/>
    <n v="-0.7720834406386814"/>
    <x v="33"/>
    <n v="-0.75855130784708247"/>
    <n v="-0.75855130784708247"/>
    <n v="248.5"/>
    <d v="2022-06-11T00:00:00"/>
    <n v="576"/>
    <x v="2"/>
  </r>
  <r>
    <n v="790"/>
    <n v="249"/>
    <n v="125"/>
    <n v="5"/>
    <n v="625"/>
    <x v="197"/>
    <x v="3"/>
    <n v="71"/>
    <x v="8"/>
    <n v="271.18181818181819"/>
    <n v="-0.539054642976869"/>
    <x v="14"/>
    <n v="-0.5195225571515274"/>
    <n v="-0.5195225571515274"/>
    <n v="260.15789473684208"/>
    <d v="2022-07-20T00:00:00"/>
    <n v="560"/>
    <x v="3"/>
  </r>
  <r>
    <n v="791"/>
    <n v="241"/>
    <n v="490"/>
    <n v="1"/>
    <n v="490"/>
    <x v="305"/>
    <x v="7"/>
    <n v="299"/>
    <x v="19"/>
    <n v="286.92307692307691"/>
    <n v="0.70777479892761397"/>
    <x v="40"/>
    <n v="0.79104477611940305"/>
    <n v="0.79104477611940305"/>
    <n v="273.58333333333331"/>
    <d v="2022-04-15T00:00:00"/>
    <n v="605"/>
    <x v="3"/>
  </r>
  <r>
    <n v="792"/>
    <n v="202"/>
    <n v="298"/>
    <n v="4"/>
    <n v="1192"/>
    <x v="364"/>
    <x v="16"/>
    <n v="265"/>
    <x v="4"/>
    <n v="250.48780487804879"/>
    <n v="0.18967867575462516"/>
    <x v="25"/>
    <n v="-1.9167473378509214E-2"/>
    <n v="-1.9167473378509214E-2"/>
    <n v="303.8235294117647"/>
    <d v="2022-07-14T00:00:00"/>
    <n v="223"/>
    <x v="0"/>
  </r>
  <r>
    <n v="793"/>
    <n v="376"/>
    <n v="441"/>
    <n v="2"/>
    <n v="882"/>
    <x v="323"/>
    <x v="17"/>
    <n v="272"/>
    <x v="17"/>
    <n v="267.85483870967744"/>
    <n v="0.64641416270247465"/>
    <x v="66"/>
    <n v="0.61169483782549117"/>
    <n v="0.61169483782549117"/>
    <n v="273.625"/>
    <d v="2022-04-17T00:00:00"/>
    <n v="696"/>
    <x v="4"/>
  </r>
  <r>
    <n v="794"/>
    <n v="371"/>
    <n v="126"/>
    <n v="5"/>
    <n v="630"/>
    <x v="402"/>
    <x v="5"/>
    <n v="371"/>
    <x v="0"/>
    <n v="252.76271186440678"/>
    <n v="-0.5015087507543754"/>
    <x v="45"/>
    <n v="-0.57056936647955103"/>
    <n v="-0.57056936647955103"/>
    <n v="293.41176470588238"/>
    <d v="2022-10-10T00:00:00"/>
    <n v="386"/>
    <x v="3"/>
  </r>
  <r>
    <n v="795"/>
    <n v="308"/>
    <n v="416"/>
    <n v="4"/>
    <n v="1664"/>
    <x v="256"/>
    <x v="6"/>
    <n v="360"/>
    <x v="17"/>
    <n v="267.85483870967744"/>
    <n v="0.55308002649485144"/>
    <x v="35"/>
    <n v="0.66227615805830986"/>
    <n v="0.66227615805830986"/>
    <n v="250.25925925925927"/>
    <d v="2022-06-16T00:00:00"/>
    <n v="489"/>
    <x v="1"/>
  </r>
  <r>
    <n v="796"/>
    <n v="146"/>
    <n v="387"/>
    <n v="4"/>
    <n v="1548"/>
    <x v="22"/>
    <x v="2"/>
    <n v="368"/>
    <x v="5"/>
    <n v="268.60344827586209"/>
    <n v="0.44078567302137484"/>
    <x v="28"/>
    <n v="0.59378509921377765"/>
    <n v="0.59378509921377765"/>
    <n v="242.81818181818181"/>
    <d v="2022-11-07T00:00:00"/>
    <n v="155"/>
    <x v="0"/>
  </r>
  <r>
    <n v="797"/>
    <n v="77"/>
    <n v="151"/>
    <n v="2"/>
    <n v="302"/>
    <x v="228"/>
    <x v="19"/>
    <n v="481"/>
    <x v="3"/>
    <n v="265.47674418604652"/>
    <n v="-0.43121194866628709"/>
    <x v="16"/>
    <n v="-0.45423463905441053"/>
    <n v="-0.45423463905441053"/>
    <n v="276.67567567567568"/>
    <d v="2022-07-14T00:00:00"/>
    <n v="311"/>
    <x v="1"/>
  </r>
  <r>
    <n v="798"/>
    <n v="407"/>
    <n v="157"/>
    <n v="3"/>
    <n v="471"/>
    <x v="403"/>
    <x v="1"/>
    <n v="354"/>
    <x v="17"/>
    <n v="267.85483870967744"/>
    <n v="-0.41386162461612575"/>
    <x v="70"/>
    <n v="-0.41417910447761197"/>
    <n v="-0.41417910447761197"/>
    <n v="268"/>
    <d v="2022-09-07T00:00:00"/>
    <n v="464"/>
    <x v="0"/>
  </r>
  <r>
    <n v="799"/>
    <n v="357"/>
    <n v="55"/>
    <n v="5"/>
    <n v="275"/>
    <x v="74"/>
    <x v="16"/>
    <n v="8"/>
    <x v="10"/>
    <n v="271.74545454545455"/>
    <n v="-0.79760471029037872"/>
    <x v="37"/>
    <n v="-0.79805615550755937"/>
    <n v="-0.79805615550755937"/>
    <n v="272.35294117647061"/>
    <d v="2022-11-18T00:00:00"/>
    <n v="419"/>
    <x v="1"/>
  </r>
  <r>
    <n v="800"/>
    <n v="409"/>
    <n v="235"/>
    <n v="5"/>
    <n v="1175"/>
    <x v="111"/>
    <x v="8"/>
    <n v="1"/>
    <x v="12"/>
    <n v="274.16279069767444"/>
    <n v="-0.14284502502332685"/>
    <x v="65"/>
    <n v="-9.0232281119714153E-2"/>
    <n v="-9.0232281119714153E-2"/>
    <n v="258.30769230769232"/>
    <d v="2022-01-24T00:00:00"/>
    <n v="375"/>
    <x v="2"/>
  </r>
  <r>
    <n v="801"/>
    <n v="148"/>
    <n v="474"/>
    <n v="4"/>
    <n v="1896"/>
    <x v="289"/>
    <x v="11"/>
    <n v="333"/>
    <x v="5"/>
    <n v="268.60344827586209"/>
    <n v="0.76468322742152872"/>
    <x v="5"/>
    <n v="0.68103734899700763"/>
    <n v="0.68103734899700763"/>
    <n v="281.96875"/>
    <d v="2022-10-23T00:00:00"/>
    <n v="217"/>
    <x v="2"/>
  </r>
  <r>
    <n v="802"/>
    <n v="63"/>
    <n v="479"/>
    <n v="4"/>
    <n v="1916"/>
    <x v="90"/>
    <x v="3"/>
    <n v="396"/>
    <x v="6"/>
    <n v="258.5128205128205"/>
    <n v="0.85290616941083131"/>
    <x v="60"/>
    <n v="0.65235722499041771"/>
    <n v="0.65235722499041771"/>
    <n v="289.88888888888891"/>
    <d v="2022-11-06T00:00:00"/>
    <n v="364"/>
    <x v="3"/>
  </r>
  <r>
    <n v="803"/>
    <n v="410"/>
    <n v="320"/>
    <n v="4"/>
    <n v="1280"/>
    <x v="210"/>
    <x v="8"/>
    <n v="401"/>
    <x v="14"/>
    <n v="273.72549019607845"/>
    <n v="0.16905444126074487"/>
    <x v="44"/>
    <n v="-1.7825311942958333E-3"/>
    <n v="-1.7825311942958333E-3"/>
    <n v="320.57142857142856"/>
    <d v="2022-10-22T00:00:00"/>
    <n v="189"/>
    <x v="2"/>
  </r>
  <r>
    <n v="804"/>
    <n v="223"/>
    <n v="477"/>
    <n v="4"/>
    <n v="1908"/>
    <x v="239"/>
    <x v="7"/>
    <n v="121"/>
    <x v="8"/>
    <n v="271.18181818181819"/>
    <n v="0.75896748240026812"/>
    <x v="8"/>
    <n v="0.63661883967560828"/>
    <n v="0.63661883967560828"/>
    <n v="291.45454545454544"/>
    <d v="2022-07-21T00:00:00"/>
    <n v="301"/>
    <x v="2"/>
  </r>
  <r>
    <n v="805"/>
    <n v="35"/>
    <n v="277"/>
    <n v="4"/>
    <n v="1108"/>
    <x v="387"/>
    <x v="2"/>
    <n v="108"/>
    <x v="18"/>
    <n v="255.11627906976744"/>
    <n v="8.5779398359161263E-2"/>
    <x v="34"/>
    <n v="0.10663798401966806"/>
    <n v="0.10663798401966806"/>
    <n v="250.30769230769232"/>
    <d v="2022-10-01T00:00:00"/>
    <n v="587"/>
    <x v="0"/>
  </r>
  <r>
    <n v="806"/>
    <n v="398"/>
    <n v="127"/>
    <n v="5"/>
    <n v="635"/>
    <x v="156"/>
    <x v="7"/>
    <n v="191"/>
    <x v="5"/>
    <n v="268.60344827586209"/>
    <n v="-0.52718402978368317"/>
    <x v="5"/>
    <n v="-0.54959547822232069"/>
    <n v="-0.54959547822232069"/>
    <n v="281.96875"/>
    <d v="2022-11-01T00:00:00"/>
    <n v="387"/>
    <x v="3"/>
  </r>
  <r>
    <n v="807"/>
    <n v="132"/>
    <n v="154"/>
    <n v="3"/>
    <n v="462"/>
    <x v="404"/>
    <x v="11"/>
    <n v="443"/>
    <x v="6"/>
    <n v="258.5128205128205"/>
    <n v="-0.40428486411426301"/>
    <x v="6"/>
    <n v="-0.40916271721958919"/>
    <n v="-0.40916271721958919"/>
    <n v="260.64705882352939"/>
    <d v="2022-03-29T00:00:00"/>
    <n v="645"/>
    <x v="2"/>
  </r>
  <r>
    <n v="808"/>
    <n v="415"/>
    <n v="84"/>
    <n v="5"/>
    <n v="420"/>
    <x v="303"/>
    <x v="18"/>
    <n v="191"/>
    <x v="14"/>
    <n v="273.72549019607845"/>
    <n v="-0.69312320916905446"/>
    <x v="22"/>
    <n v="-0.70025488530161428"/>
    <n v="-0.70025488530161428"/>
    <n v="280.23809523809524"/>
    <d v="2022-11-01T00:00:00"/>
    <n v="290"/>
    <x v="3"/>
  </r>
  <r>
    <n v="809"/>
    <n v="384"/>
    <n v="423"/>
    <n v="5"/>
    <n v="2115"/>
    <x v="253"/>
    <x v="17"/>
    <n v="249"/>
    <x v="0"/>
    <n v="252.76271186440678"/>
    <n v="0.6735063367531684"/>
    <x v="11"/>
    <n v="0.76054384017758037"/>
    <n v="0.76054384017758037"/>
    <n v="240.26666666666668"/>
    <d v="2022-08-08T00:00:00"/>
    <n v="565"/>
    <x v="2"/>
  </r>
  <r>
    <n v="810"/>
    <n v="311"/>
    <n v="470"/>
    <n v="2"/>
    <n v="940"/>
    <x v="310"/>
    <x v="11"/>
    <n v="418"/>
    <x v="3"/>
    <n v="265.47674418604652"/>
    <n v="0.77039989487976879"/>
    <x v="16"/>
    <n v="0.69873986519488129"/>
    <n v="0.69873986519488129"/>
    <n v="276.67567567567568"/>
    <d v="2022-05-19T00:00:00"/>
    <n v="604"/>
    <x v="1"/>
  </r>
  <r>
    <n v="811"/>
    <n v="328"/>
    <n v="59"/>
    <n v="1"/>
    <n v="59"/>
    <x v="140"/>
    <x v="14"/>
    <n v="126"/>
    <x v="14"/>
    <n v="273.72549019607845"/>
    <n v="-0.78445558739255017"/>
    <x v="58"/>
    <n v="-0.75603032391454172"/>
    <n v="-0.75603032391454172"/>
    <n v="241.83333333333334"/>
    <d v="2022-09-18T00:00:00"/>
    <n v="169"/>
    <x v="0"/>
  </r>
  <r>
    <n v="812"/>
    <n v="74"/>
    <n v="332"/>
    <n v="3"/>
    <n v="996"/>
    <x v="67"/>
    <x v="16"/>
    <n v="497"/>
    <x v="19"/>
    <n v="286.92307692307691"/>
    <n v="0.15710455764075082"/>
    <x v="73"/>
    <n v="3.669008587041378E-2"/>
    <n v="3.669008587041378E-2"/>
    <n v="320.25"/>
    <d v="2022-09-22T00:00:00"/>
    <n v="174"/>
    <x v="0"/>
  </r>
  <r>
    <n v="813"/>
    <n v="152"/>
    <n v="94"/>
    <n v="5"/>
    <n v="470"/>
    <x v="92"/>
    <x v="16"/>
    <n v="332"/>
    <x v="2"/>
    <n v="283.468085106383"/>
    <n v="-0.66839300457854844"/>
    <x v="36"/>
    <n v="-0.62324649298597201"/>
    <n v="-0.62324649298597201"/>
    <n v="249.5"/>
    <d v="2022-10-24T00:00:00"/>
    <n v="84"/>
    <x v="0"/>
  </r>
  <r>
    <n v="814"/>
    <n v="319"/>
    <n v="148"/>
    <n v="1"/>
    <n v="148"/>
    <x v="376"/>
    <x v="6"/>
    <n v="445"/>
    <x v="9"/>
    <n v="263.25423728813558"/>
    <n v="-0.43780582024208081"/>
    <x v="33"/>
    <n v="-0.40442655935613681"/>
    <n v="-0.40442655935613681"/>
    <n v="248.5"/>
    <d v="2022-04-25T00:00:00"/>
    <n v="467"/>
    <x v="2"/>
  </r>
  <r>
    <n v="815"/>
    <n v="19"/>
    <n v="378"/>
    <n v="2"/>
    <n v="756"/>
    <x v="362"/>
    <x v="15"/>
    <n v="167"/>
    <x v="10"/>
    <n v="271.74545454545455"/>
    <n v="0.39100762745885187"/>
    <x v="37"/>
    <n v="0.38790496760259163"/>
    <n v="0.38790496760259163"/>
    <n v="272.35294117647061"/>
    <d v="2022-01-02T00:00:00"/>
    <n v="795"/>
    <x v="0"/>
  </r>
  <r>
    <n v="816"/>
    <n v="242"/>
    <n v="265"/>
    <n v="4"/>
    <n v="1060"/>
    <x v="286"/>
    <x v="19"/>
    <n v="415"/>
    <x v="4"/>
    <n v="250.48780487804879"/>
    <n v="5.7935735150924872E-2"/>
    <x v="25"/>
    <n v="-0.12778315585672795"/>
    <n v="-0.12778315585672795"/>
    <n v="303.8235294117647"/>
    <d v="2022-04-10T00:00:00"/>
    <n v="270"/>
    <x v="3"/>
  </r>
  <r>
    <n v="817"/>
    <n v="354"/>
    <n v="431"/>
    <n v="1"/>
    <n v="431"/>
    <x v="405"/>
    <x v="12"/>
    <n v="229"/>
    <x v="8"/>
    <n v="271.18181818181819"/>
    <n v="0.58933959101575595"/>
    <x v="14"/>
    <n v="0.65668622294153356"/>
    <n v="0.65668622294153356"/>
    <n v="260.15789473684208"/>
    <d v="2022-07-24T00:00:00"/>
    <n v="653"/>
    <x v="1"/>
  </r>
  <r>
    <n v="818"/>
    <n v="354"/>
    <n v="382"/>
    <n v="4"/>
    <n v="1528"/>
    <x v="80"/>
    <x v="8"/>
    <n v="119"/>
    <x v="8"/>
    <n v="271.18181818181819"/>
    <n v="0.40864901106268858"/>
    <x v="14"/>
    <n v="0.46833906534493241"/>
    <n v="0.46833906534493241"/>
    <n v="260.15789473684208"/>
    <d v="2022-05-09T00:00:00"/>
    <n v="249"/>
    <x v="2"/>
  </r>
  <r>
    <n v="819"/>
    <n v="245"/>
    <n v="281"/>
    <n v="1"/>
    <n v="281"/>
    <x v="255"/>
    <x v="3"/>
    <n v="341"/>
    <x v="0"/>
    <n v="252.76271186440678"/>
    <n v="0.11171461141286132"/>
    <x v="0"/>
    <n v="0.16839916839916835"/>
    <n v="0.16839916839916835"/>
    <n v="240.5"/>
    <d v="2022-06-12T00:00:00"/>
    <n v="312"/>
    <x v="2"/>
  </r>
  <r>
    <n v="820"/>
    <n v="386"/>
    <n v="149"/>
    <n v="5"/>
    <n v="745"/>
    <x v="130"/>
    <x v="0"/>
    <n v="407"/>
    <x v="18"/>
    <n v="255.11627906976744"/>
    <n v="-0.41595259799453055"/>
    <x v="67"/>
    <n v="-0.4085345683096262"/>
    <n v="-0.4085345683096262"/>
    <n v="251.91666666666666"/>
    <d v="2022-03-01T00:00:00"/>
    <n v="482"/>
    <x v="1"/>
  </r>
  <r>
    <n v="821"/>
    <n v="434"/>
    <n v="257"/>
    <n v="2"/>
    <n v="514"/>
    <x v="406"/>
    <x v="2"/>
    <n v="264"/>
    <x v="11"/>
    <n v="262.63492063492066"/>
    <n v="-2.1455336637253852E-2"/>
    <x v="47"/>
    <n v="-5.1660516605166018E-2"/>
    <n v="-5.1660516605166018E-2"/>
    <n v="271"/>
    <d v="2022-12-12T00:00:00"/>
    <n v="221"/>
    <x v="1"/>
  </r>
  <r>
    <n v="822"/>
    <n v="402"/>
    <n v="218"/>
    <n v="1"/>
    <n v="218"/>
    <x v="197"/>
    <x v="6"/>
    <n v="91"/>
    <x v="16"/>
    <n v="300.31818181818181"/>
    <n v="-0.27410322385348873"/>
    <x v="51"/>
    <n v="-0.34172118772018123"/>
    <n v="-0.34172118772018123"/>
    <n v="331.16666666666669"/>
    <d v="2022-05-06T00:00:00"/>
    <n v="635"/>
    <x v="2"/>
  </r>
  <r>
    <n v="823"/>
    <n v="326"/>
    <n v="198"/>
    <n v="2"/>
    <n v="396"/>
    <x v="193"/>
    <x v="2"/>
    <n v="362"/>
    <x v="18"/>
    <n v="255.11627906976744"/>
    <n v="-0.22388331814038287"/>
    <x v="67"/>
    <n v="-0.21402580218326162"/>
    <n v="-0.21402580218326162"/>
    <n v="251.91666666666666"/>
    <d v="2022-12-21T00:00:00"/>
    <n v="480"/>
    <x v="2"/>
  </r>
  <r>
    <n v="824"/>
    <n v="491"/>
    <n v="111"/>
    <n v="4"/>
    <n v="444"/>
    <x v="279"/>
    <x v="1"/>
    <n v="473"/>
    <x v="4"/>
    <n v="250.48780487804879"/>
    <n v="-0.5568646543330088"/>
    <x v="4"/>
    <n v="-0.30276381909547734"/>
    <n v="-0.30276381909547734"/>
    <n v="159.19999999999999"/>
    <d v="2022-08-26T00:00:00"/>
    <n v="346"/>
    <x v="2"/>
  </r>
  <r>
    <n v="825"/>
    <n v="240"/>
    <n v="306"/>
    <n v="5"/>
    <n v="1530"/>
    <x v="407"/>
    <x v="19"/>
    <n v="482"/>
    <x v="3"/>
    <n v="265.47674418604652"/>
    <n v="0.15264333581533873"/>
    <x v="3"/>
    <n v="0.29509632224168114"/>
    <n v="0.29509632224168114"/>
    <n v="236.27586206896552"/>
    <d v="2022-04-28T00:00:00"/>
    <n v="640"/>
    <x v="3"/>
  </r>
  <r>
    <n v="826"/>
    <n v="352"/>
    <n v="391"/>
    <n v="1"/>
    <n v="391"/>
    <x v="26"/>
    <x v="12"/>
    <n v="367"/>
    <x v="9"/>
    <n v="263.25423728813558"/>
    <n v="0.48525624517125943"/>
    <x v="33"/>
    <n v="0.57344064386317917"/>
    <n v="0.57344064386317917"/>
    <n v="248.5"/>
    <d v="2022-11-02T00:00:00"/>
    <n v="232"/>
    <x v="4"/>
  </r>
  <r>
    <n v="827"/>
    <n v="305"/>
    <n v="252"/>
    <n v="1"/>
    <n v="252"/>
    <x v="152"/>
    <x v="10"/>
    <n v="172"/>
    <x v="2"/>
    <n v="283.468085106383"/>
    <n v="-0.11101103355100206"/>
    <x v="46"/>
    <n v="-0.21650650084793666"/>
    <n v="-0.21650650084793666"/>
    <n v="321.63636363636363"/>
    <d v="2022-06-25T00:00:00"/>
    <n v="676"/>
    <x v="2"/>
  </r>
  <r>
    <n v="828"/>
    <n v="269"/>
    <n v="398"/>
    <n v="4"/>
    <n v="1592"/>
    <x v="137"/>
    <x v="15"/>
    <n v="466"/>
    <x v="0"/>
    <n v="252.76271186440678"/>
    <n v="0.57459934285522696"/>
    <x v="45"/>
    <n v="0.35645549318364056"/>
    <n v="0.35645549318364056"/>
    <n v="293.41176470588238"/>
    <d v="2022-07-30T00:00:00"/>
    <n v="279"/>
    <x v="1"/>
  </r>
  <r>
    <n v="829"/>
    <n v="380"/>
    <n v="100"/>
    <n v="2"/>
    <n v="200"/>
    <x v="96"/>
    <x v="9"/>
    <n v="57"/>
    <x v="17"/>
    <n v="267.85483870967744"/>
    <n v="-0.62666345516950683"/>
    <x v="35"/>
    <n v="-0.60041438508213707"/>
    <n v="-0.60041438508213707"/>
    <n v="250.25925925925927"/>
    <d v="2022-04-18T00:00:00"/>
    <n v="413"/>
    <x v="2"/>
  </r>
  <r>
    <n v="830"/>
    <n v="44"/>
    <n v="310"/>
    <n v="3"/>
    <n v="930"/>
    <x v="35"/>
    <x v="7"/>
    <n v="48"/>
    <x v="15"/>
    <n v="294.95238095238096"/>
    <n v="5.1017113335485975E-2"/>
    <x v="53"/>
    <n v="-3.8895152198421656E-2"/>
    <n v="-3.8895152198421656E-2"/>
    <n v="322.54545454545456"/>
    <d v="2022-10-22T00:00:00"/>
    <n v="115"/>
    <x v="0"/>
  </r>
  <r>
    <n v="831"/>
    <n v="183"/>
    <n v="286"/>
    <n v="2"/>
    <n v="572"/>
    <x v="172"/>
    <x v="14"/>
    <n v="11"/>
    <x v="17"/>
    <n v="267.85483870967744"/>
    <n v="6.774251821521049E-2"/>
    <x v="35"/>
    <n v="0.14281485866508792"/>
    <n v="0.14281485866508792"/>
    <n v="250.25925925925927"/>
    <d v="2022-05-09T00:00:00"/>
    <n v="293"/>
    <x v="4"/>
  </r>
  <r>
    <n v="832"/>
    <n v="65"/>
    <n v="201"/>
    <n v="2"/>
    <n v="402"/>
    <x v="384"/>
    <x v="1"/>
    <n v="125"/>
    <x v="16"/>
    <n v="300.31818181818181"/>
    <n v="-0.33070985318601487"/>
    <x v="24"/>
    <n v="-0.28655939422621868"/>
    <n v="-0.28655939422621868"/>
    <n v="281.73333333333335"/>
    <d v="2022-05-20T00:00:00"/>
    <n v="595"/>
    <x v="2"/>
  </r>
  <r>
    <n v="833"/>
    <n v="425"/>
    <n v="258"/>
    <n v="4"/>
    <n v="1032"/>
    <x v="406"/>
    <x v="15"/>
    <n v="72"/>
    <x v="1"/>
    <n v="264.8679245283019"/>
    <n v="-2.5929619603932252E-2"/>
    <x v="13"/>
    <n v="-0.1958762886597939"/>
    <n v="-0.1958762886597939"/>
    <n v="320.84615384615387"/>
    <d v="2022-12-11T00:00:00"/>
    <n v="222"/>
    <x v="4"/>
  </r>
  <r>
    <n v="834"/>
    <n v="230"/>
    <n v="179"/>
    <n v="4"/>
    <n v="716"/>
    <x v="408"/>
    <x v="19"/>
    <n v="68"/>
    <x v="5"/>
    <n v="268.60344827586209"/>
    <n v="-0.33359008922267164"/>
    <x v="5"/>
    <n v="-0.36517787875429453"/>
    <n v="-0.36517787875429453"/>
    <n v="281.96875"/>
    <d v="2022-11-17T00:00:00"/>
    <n v="513"/>
    <x v="0"/>
  </r>
  <r>
    <n v="835"/>
    <n v="497"/>
    <n v="113"/>
    <n v="2"/>
    <n v="226"/>
    <x v="244"/>
    <x v="17"/>
    <n v="219"/>
    <x v="17"/>
    <n v="267.85483870967744"/>
    <n v="-0.57812970434154276"/>
    <x v="35"/>
    <n v="-0.54846825514281483"/>
    <n v="-0.54846825514281483"/>
    <n v="250.25925925925927"/>
    <d v="2022-01-24T00:00:00"/>
    <n v="658"/>
    <x v="4"/>
  </r>
  <r>
    <n v="836"/>
    <n v="82"/>
    <n v="73"/>
    <n v="1"/>
    <n v="73"/>
    <x v="409"/>
    <x v="8"/>
    <n v="218"/>
    <x v="11"/>
    <n v="262.63492063492066"/>
    <n v="-0.72204762480357787"/>
    <x v="62"/>
    <n v="-0.56547619047619047"/>
    <n v="-0.56547619047619047"/>
    <n v="168"/>
    <d v="2022-06-09T00:00:00"/>
    <n v="438"/>
    <x v="0"/>
  </r>
  <r>
    <n v="837"/>
    <n v="104"/>
    <n v="420"/>
    <n v="2"/>
    <n v="840"/>
    <x v="189"/>
    <x v="2"/>
    <n v="26"/>
    <x v="9"/>
    <n v="263.25423728813558"/>
    <n v="0.59541591552923001"/>
    <x v="9"/>
    <n v="0.62927981109799291"/>
    <n v="0.62927981109799291"/>
    <n v="257.78260869565219"/>
    <d v="2022-09-15T00:00:00"/>
    <n v="608"/>
    <x v="4"/>
  </r>
  <r>
    <n v="838"/>
    <n v="364"/>
    <n v="496"/>
    <n v="1"/>
    <n v="496"/>
    <x v="410"/>
    <x v="2"/>
    <n v="417"/>
    <x v="0"/>
    <n v="252.76271186440678"/>
    <n v="0.96231475893515728"/>
    <x v="45"/>
    <n v="0.69045709703287872"/>
    <n v="0.69045709703287872"/>
    <n v="293.41176470588238"/>
    <d v="2022-02-16T00:00:00"/>
    <n v="452"/>
    <x v="4"/>
  </r>
  <r>
    <n v="839"/>
    <n v="334"/>
    <n v="223"/>
    <n v="2"/>
    <n v="446"/>
    <x v="43"/>
    <x v="4"/>
    <n v="216"/>
    <x v="15"/>
    <n v="294.95238095238096"/>
    <n v="-0.24394575395544082"/>
    <x v="41"/>
    <n v="-0.18843509906995548"/>
    <n v="-0.18843509906995548"/>
    <n v="274.77777777777777"/>
    <d v="2022-04-04T00:00:00"/>
    <n v="579"/>
    <x v="4"/>
  </r>
  <r>
    <n v="840"/>
    <n v="356"/>
    <n v="97"/>
    <n v="2"/>
    <n v="194"/>
    <x v="9"/>
    <x v="3"/>
    <n v="491"/>
    <x v="2"/>
    <n v="283.468085106383"/>
    <n v="-0.65780980259701272"/>
    <x v="46"/>
    <n v="-0.69841718485019788"/>
    <n v="-0.69841718485019788"/>
    <n v="321.63636363636363"/>
    <d v="2022-07-10T00:00:00"/>
    <n v="280"/>
    <x v="2"/>
  </r>
  <r>
    <n v="841"/>
    <n v="446"/>
    <n v="445"/>
    <n v="5"/>
    <n v="2225"/>
    <x v="69"/>
    <x v="15"/>
    <n v="307"/>
    <x v="14"/>
    <n v="273.72549019607845"/>
    <n v="0.62571633237822333"/>
    <x v="44"/>
    <n v="0.3881461675579323"/>
    <n v="0.3881461675579323"/>
    <n v="320.57142857142856"/>
    <d v="2022-07-22T00:00:00"/>
    <n v="229"/>
    <x v="1"/>
  </r>
  <r>
    <n v="842"/>
    <n v="88"/>
    <n v="206"/>
    <n v="4"/>
    <n v="824"/>
    <x v="395"/>
    <x v="15"/>
    <n v="492"/>
    <x v="18"/>
    <n v="255.11627906976744"/>
    <n v="-0.1925250683682771"/>
    <x v="34"/>
    <n v="-0.17701290719114937"/>
    <n v="-0.17701290719114937"/>
    <n v="250.30769230769232"/>
    <d v="2022-05-07T00:00:00"/>
    <n v="549"/>
    <x v="3"/>
  </r>
  <r>
    <n v="843"/>
    <n v="347"/>
    <n v="265"/>
    <n v="1"/>
    <n v="265"/>
    <x v="394"/>
    <x v="11"/>
    <n v="264"/>
    <x v="3"/>
    <n v="265.47674418604652"/>
    <n v="-1.7958039507687262E-3"/>
    <x v="16"/>
    <n v="-4.2199863241183966E-2"/>
    <n v="-4.2199863241183966E-2"/>
    <n v="276.67567567567568"/>
    <d v="2022-12-12T00:00:00"/>
    <n v="483"/>
    <x v="1"/>
  </r>
  <r>
    <n v="844"/>
    <n v="342"/>
    <n v="269"/>
    <n v="4"/>
    <n v="1076"/>
    <x v="411"/>
    <x v="13"/>
    <n v="190"/>
    <x v="4"/>
    <n v="250.48780487804879"/>
    <n v="7.3904576436222058E-2"/>
    <x v="25"/>
    <n v="-0.11461761858664077"/>
    <n v="-0.11461761858664077"/>
    <n v="303.8235294117647"/>
    <d v="2022-05-08T00:00:00"/>
    <n v="404"/>
    <x v="1"/>
  </r>
  <r>
    <n v="845"/>
    <n v="474"/>
    <n v="405"/>
    <n v="2"/>
    <n v="810"/>
    <x v="394"/>
    <x v="8"/>
    <n v="18"/>
    <x v="15"/>
    <n v="294.95238095238096"/>
    <n v="0.37310300290603804"/>
    <x v="23"/>
    <n v="0.27031650983746802"/>
    <n v="0.27031650983746802"/>
    <n v="318.81818181818181"/>
    <d v="2022-01-17T00:00:00"/>
    <n v="812"/>
    <x v="3"/>
  </r>
  <r>
    <n v="846"/>
    <n v="69"/>
    <n v="197"/>
    <n v="2"/>
    <n v="394"/>
    <x v="183"/>
    <x v="13"/>
    <n v="125"/>
    <x v="14"/>
    <n v="273.72549019607845"/>
    <n v="-0.28030085959885398"/>
    <x v="63"/>
    <n v="-0.26015705018777735"/>
    <n v="-0.26015705018777735"/>
    <n v="266.27272727272725"/>
    <d v="2022-05-20T00:00:00"/>
    <n v="494"/>
    <x v="2"/>
  </r>
  <r>
    <n v="847"/>
    <n v="206"/>
    <n v="93"/>
    <n v="2"/>
    <n v="186"/>
    <x v="412"/>
    <x v="9"/>
    <n v="155"/>
    <x v="15"/>
    <n v="294.95238095238096"/>
    <n v="-0.68469486599935425"/>
    <x v="41"/>
    <n v="-0.66154468257177523"/>
    <n v="-0.66154468257177523"/>
    <n v="274.77777777777777"/>
    <d v="2022-01-03T00:00:00"/>
    <n v="590"/>
    <x v="3"/>
  </r>
  <r>
    <n v="848"/>
    <n v="319"/>
    <n v="193"/>
    <n v="1"/>
    <n v="193"/>
    <x v="193"/>
    <x v="7"/>
    <n v="43"/>
    <x v="9"/>
    <n v="263.25423728813558"/>
    <n v="-0.26686840072109197"/>
    <x v="33"/>
    <n v="-0.22334004024144871"/>
    <n v="-0.22334004024144871"/>
    <n v="248.5"/>
    <d v="2022-12-17T00:00:00"/>
    <n v="484"/>
    <x v="2"/>
  </r>
  <r>
    <n v="849"/>
    <n v="59"/>
    <n v="150"/>
    <n v="4"/>
    <n v="600"/>
    <x v="390"/>
    <x v="9"/>
    <n v="343"/>
    <x v="0"/>
    <n v="252.76271186440678"/>
    <n v="-0.40655803661235168"/>
    <x v="0"/>
    <n v="-0.37629937629937626"/>
    <n v="-0.37629937629937626"/>
    <n v="240.5"/>
    <d v="2022-11-09T00:00:00"/>
    <n v="260"/>
    <x v="3"/>
  </r>
  <r>
    <n v="850"/>
    <n v="16"/>
    <n v="207"/>
    <n v="2"/>
    <n v="414"/>
    <x v="170"/>
    <x v="3"/>
    <n v="26"/>
    <x v="11"/>
    <n v="262.63492063492066"/>
    <n v="-0.21183367581288537"/>
    <x v="47"/>
    <n v="-0.23616236162361626"/>
    <n v="-0.23616236162361626"/>
    <n v="271"/>
    <d v="2022-09-15T00:00:00"/>
    <n v="432"/>
    <x v="4"/>
  </r>
  <r>
    <n v="851"/>
    <n v="220"/>
    <n v="305"/>
    <n v="4"/>
    <n v="1220"/>
    <x v="398"/>
    <x v="6"/>
    <n v="306"/>
    <x v="8"/>
    <n v="271.18181818181819"/>
    <n v="0.12470667113643974"/>
    <x v="48"/>
    <n v="8.2519964507542065E-2"/>
    <n v="8.2519964507542065E-2"/>
    <n v="281.75"/>
    <d v="2022-11-07T00:00:00"/>
    <n v="184"/>
    <x v="3"/>
  </r>
  <r>
    <n v="852"/>
    <n v="474"/>
    <n v="171"/>
    <n v="3"/>
    <n v="513"/>
    <x v="225"/>
    <x v="3"/>
    <n v="260"/>
    <x v="15"/>
    <n v="294.95238095238096"/>
    <n v="-0.42024539877300615"/>
    <x v="23"/>
    <n v="-0.46364414029084688"/>
    <n v="-0.46364414029084688"/>
    <n v="318.81818181818181"/>
    <d v="2022-06-17T00:00:00"/>
    <n v="256"/>
    <x v="3"/>
  </r>
  <r>
    <n v="853"/>
    <n v="118"/>
    <n v="466"/>
    <n v="3"/>
    <n v="1398"/>
    <x v="15"/>
    <x v="14"/>
    <n v="188"/>
    <x v="0"/>
    <n v="252.76271186440678"/>
    <n v="0.84362636625762755"/>
    <x v="0"/>
    <n v="0.93762993762993774"/>
    <n v="0.93762993762993774"/>
    <n v="240.5"/>
    <d v="2022-08-28T00:00:00"/>
    <n v="179"/>
    <x v="4"/>
  </r>
  <r>
    <n v="854"/>
    <n v="207"/>
    <n v="57"/>
    <n v="2"/>
    <n v="114"/>
    <x v="314"/>
    <x v="13"/>
    <n v="152"/>
    <x v="0"/>
    <n v="252.76271186440678"/>
    <n v="-0.7744920539126936"/>
    <x v="68"/>
    <n v="-0.73593646591661144"/>
    <n v="-0.73593646591661144"/>
    <n v="215.85714285714286"/>
    <d v="2022-08-18T00:00:00"/>
    <n v="553"/>
    <x v="1"/>
  </r>
  <r>
    <n v="855"/>
    <n v="239"/>
    <n v="397"/>
    <n v="2"/>
    <n v="794"/>
    <x v="48"/>
    <x v="6"/>
    <n v="65"/>
    <x v="9"/>
    <n v="263.25423728813558"/>
    <n v="0.50804790110739129"/>
    <x v="33"/>
    <n v="0.59758551307847085"/>
    <n v="0.59758551307847085"/>
    <n v="248.5"/>
    <d v="2022-03-03T00:00:00"/>
    <n v="775"/>
    <x v="3"/>
  </r>
  <r>
    <n v="856"/>
    <n v="367"/>
    <n v="289"/>
    <n v="1"/>
    <n v="289"/>
    <x v="146"/>
    <x v="1"/>
    <n v="281"/>
    <x v="19"/>
    <n v="286.92307692307691"/>
    <n v="7.238605898123307E-3"/>
    <x v="40"/>
    <n v="5.6350898568382712E-2"/>
    <n v="5.6350898568382712E-2"/>
    <n v="273.58333333333331"/>
    <d v="2022-05-30T00:00:00"/>
    <n v="330"/>
    <x v="0"/>
  </r>
  <r>
    <n v="857"/>
    <n v="87"/>
    <n v="191"/>
    <n v="3"/>
    <n v="573"/>
    <x v="30"/>
    <x v="18"/>
    <n v="430"/>
    <x v="7"/>
    <n v="249.02380952380952"/>
    <n v="-0.23300506740606175"/>
    <x v="7"/>
    <n v="-0.30849847560975607"/>
    <n v="-0.30849847560975607"/>
    <n v="276.21052631578948"/>
    <d v="2022-08-26T00:00:00"/>
    <n v="326"/>
    <x v="4"/>
  </r>
  <r>
    <n v="858"/>
    <n v="309"/>
    <n v="244"/>
    <n v="3"/>
    <n v="732"/>
    <x v="262"/>
    <x v="19"/>
    <n v="299"/>
    <x v="17"/>
    <n v="267.85483870967744"/>
    <n v="-8.9058830613596762E-2"/>
    <x v="27"/>
    <n v="-0.15347761440607965"/>
    <n v="-0.15347761440607965"/>
    <n v="288.23809523809524"/>
    <d v="2022-04-15T00:00:00"/>
    <n v="708"/>
    <x v="3"/>
  </r>
  <r>
    <n v="859"/>
    <n v="271"/>
    <n v="392"/>
    <n v="3"/>
    <n v="1176"/>
    <x v="130"/>
    <x v="11"/>
    <n v="132"/>
    <x v="11"/>
    <n v="262.63492063492066"/>
    <n v="0.49256617913695133"/>
    <x v="47"/>
    <n v="0.44649446494464939"/>
    <n v="0.44649446494464939"/>
    <n v="271"/>
    <d v="2022-02-09T00:00:00"/>
    <n v="502"/>
    <x v="3"/>
  </r>
  <r>
    <n v="860"/>
    <n v="354"/>
    <n v="493"/>
    <n v="2"/>
    <n v="986"/>
    <x v="413"/>
    <x v="16"/>
    <n v="68"/>
    <x v="8"/>
    <n v="271.18181818181819"/>
    <n v="0.81796848809922884"/>
    <x v="14"/>
    <n v="0.89500303459437602"/>
    <n v="0.89500303459437602"/>
    <n v="260.15789473684208"/>
    <d v="2022-11-17T00:00:00"/>
    <n v="438"/>
    <x v="0"/>
  </r>
  <r>
    <n v="861"/>
    <n v="266"/>
    <n v="339"/>
    <n v="5"/>
    <n v="1695"/>
    <x v="362"/>
    <x v="1"/>
    <n v="42"/>
    <x v="6"/>
    <n v="258.5128205128205"/>
    <n v="0.31134695496925224"/>
    <x v="6"/>
    <n v="0.30060934326337185"/>
    <n v="0.30060934326337185"/>
    <n v="260.64705882352939"/>
    <d v="2022-08-10T00:00:00"/>
    <n v="575"/>
    <x v="4"/>
  </r>
  <r>
    <n v="862"/>
    <n v="441"/>
    <n v="316"/>
    <n v="4"/>
    <n v="1264"/>
    <x v="300"/>
    <x v="14"/>
    <n v="488"/>
    <x v="8"/>
    <n v="271.18181818181819"/>
    <n v="0.16526986255447529"/>
    <x v="14"/>
    <n v="0.21464697552093881"/>
    <n v="0.21464697552093881"/>
    <n v="260.15789473684208"/>
    <d v="2022-06-26T00:00:00"/>
    <n v="672"/>
    <x v="1"/>
  </r>
  <r>
    <n v="863"/>
    <n v="245"/>
    <n v="284"/>
    <n v="4"/>
    <n v="1136"/>
    <x v="204"/>
    <x v="7"/>
    <n v="324"/>
    <x v="0"/>
    <n v="252.76271186440678"/>
    <n v="0.12358345068061416"/>
    <x v="0"/>
    <n v="0.18087318087318094"/>
    <n v="0.18087318087318094"/>
    <n v="240.5"/>
    <d v="2022-07-19T00:00:00"/>
    <n v="644"/>
    <x v="0"/>
  </r>
  <r>
    <n v="864"/>
    <n v="369"/>
    <n v="206"/>
    <n v="4"/>
    <n v="824"/>
    <x v="265"/>
    <x v="9"/>
    <n v="346"/>
    <x v="15"/>
    <n v="294.95238095238096"/>
    <n v="-0.30158217629964479"/>
    <x v="41"/>
    <n v="-0.25030327537403962"/>
    <n v="-0.25030327537403962"/>
    <n v="274.77777777777777"/>
    <d v="2022-03-16T00:00:00"/>
    <n v="496"/>
    <x v="2"/>
  </r>
  <r>
    <n v="865"/>
    <n v="176"/>
    <n v="217"/>
    <n v="4"/>
    <n v="868"/>
    <x v="414"/>
    <x v="4"/>
    <n v="313"/>
    <x v="0"/>
    <n v="252.76271186440678"/>
    <n v="-0.14148729296586871"/>
    <x v="0"/>
    <n v="-9.7713097713097663E-2"/>
    <n v="-9.7713097713097663E-2"/>
    <n v="240.5"/>
    <d v="2022-12-01T00:00:00"/>
    <n v="239"/>
    <x v="0"/>
  </r>
  <r>
    <n v="866"/>
    <n v="467"/>
    <n v="72"/>
    <n v="2"/>
    <n v="144"/>
    <x v="415"/>
    <x v="5"/>
    <n v="233"/>
    <x v="3"/>
    <n v="265.47674418604652"/>
    <n v="-0.72878980333756727"/>
    <x v="3"/>
    <n v="-0.69527145359019271"/>
    <n v="-0.69527145359019271"/>
    <n v="236.27586206896552"/>
    <d v="2022-02-24T00:00:00"/>
    <n v="434"/>
    <x v="4"/>
  </r>
  <r>
    <n v="867"/>
    <n v="237"/>
    <n v="121"/>
    <n v="3"/>
    <n v="363"/>
    <x v="416"/>
    <x v="18"/>
    <n v="77"/>
    <x v="17"/>
    <n v="267.85483870967744"/>
    <n v="-0.54826278075510326"/>
    <x v="27"/>
    <n v="-0.58020816124235919"/>
    <n v="-0.58020816124235919"/>
    <n v="288.23809523809524"/>
    <d v="2022-03-24T00:00:00"/>
    <n v="596"/>
    <x v="2"/>
  </r>
  <r>
    <n v="868"/>
    <n v="300"/>
    <n v="140"/>
    <n v="4"/>
    <n v="560"/>
    <x v="321"/>
    <x v="9"/>
    <n v="107"/>
    <x v="0"/>
    <n v="252.76271186440678"/>
    <n v="-0.44612083417152815"/>
    <x v="0"/>
    <n v="-0.41787941787941785"/>
    <n v="-0.41787941787941785"/>
    <n v="240.5"/>
    <d v="2022-07-02T00:00:00"/>
    <n v="573"/>
    <x v="4"/>
  </r>
  <r>
    <n v="869"/>
    <n v="137"/>
    <n v="295"/>
    <n v="2"/>
    <n v="590"/>
    <x v="417"/>
    <x v="13"/>
    <n v="375"/>
    <x v="12"/>
    <n v="274.16279069767444"/>
    <n v="7.6003053694121636E-2"/>
    <x v="18"/>
    <n v="0.16284799211628487"/>
    <n v="0.16284799211628487"/>
    <n v="253.6875"/>
    <d v="2022-04-23T00:00:00"/>
    <n v="437"/>
    <x v="2"/>
  </r>
  <r>
    <n v="870"/>
    <n v="194"/>
    <n v="325"/>
    <n v="4"/>
    <n v="1300"/>
    <x v="407"/>
    <x v="12"/>
    <n v="62"/>
    <x v="1"/>
    <n v="264.8679245283019"/>
    <n v="0.22702664197179079"/>
    <x v="69"/>
    <n v="0.18743149433686512"/>
    <n v="0.18743149433686512"/>
    <n v="273.7"/>
    <d v="2022-04-20T00:00:00"/>
    <n v="648"/>
    <x v="2"/>
  </r>
  <r>
    <n v="871"/>
    <n v="215"/>
    <n v="147"/>
    <n v="3"/>
    <n v="441"/>
    <x v="77"/>
    <x v="5"/>
    <n v="368"/>
    <x v="5"/>
    <n v="268.60344827586209"/>
    <n v="-0.45272482187560181"/>
    <x v="5"/>
    <n v="-0.4786656322730799"/>
    <n v="-0.4786656322730799"/>
    <n v="281.96875"/>
    <d v="2022-11-07T00:00:00"/>
    <n v="301"/>
    <x v="0"/>
  </r>
  <r>
    <n v="872"/>
    <n v="307"/>
    <n v="419"/>
    <n v="1"/>
    <n v="419"/>
    <x v="81"/>
    <x v="17"/>
    <n v="64"/>
    <x v="11"/>
    <n v="262.63492063492066"/>
    <n v="0.59537048229179246"/>
    <x v="17"/>
    <n v="0.34582441113490381"/>
    <n v="0.34582441113490381"/>
    <n v="311.33333333333331"/>
    <d v="2022-05-26T00:00:00"/>
    <n v="482"/>
    <x v="0"/>
  </r>
  <r>
    <n v="873"/>
    <n v="424"/>
    <n v="457"/>
    <n v="1"/>
    <n v="457"/>
    <x v="26"/>
    <x v="10"/>
    <n v="286"/>
    <x v="2"/>
    <n v="283.468085106383"/>
    <n v="0.61217443518726999"/>
    <x v="31"/>
    <n v="0.41452380952380952"/>
    <n v="0.41452380952380952"/>
    <n v="323.07692307692309"/>
    <d v="2022-01-02T00:00:00"/>
    <n v="536"/>
    <x v="4"/>
  </r>
  <r>
    <n v="874"/>
    <n v="439"/>
    <n v="392"/>
    <n v="2"/>
    <n v="784"/>
    <x v="414"/>
    <x v="7"/>
    <n v="74"/>
    <x v="5"/>
    <n v="268.60344827586209"/>
    <n v="0.45940047499839509"/>
    <x v="28"/>
    <n v="0.61437663796330955"/>
    <n v="0.61437663796330955"/>
    <n v="242.81818181818181"/>
    <d v="2022-10-23T00:00:00"/>
    <n v="278"/>
    <x v="2"/>
  </r>
  <r>
    <n v="875"/>
    <n v="83"/>
    <n v="282"/>
    <n v="5"/>
    <n v="1410"/>
    <x v="418"/>
    <x v="4"/>
    <n v="6"/>
    <x v="5"/>
    <n v="268.60344827586209"/>
    <n v="4.9874831503947448E-2"/>
    <x v="32"/>
    <n v="0.10944206008583679"/>
    <n v="0.10944206008583679"/>
    <n v="254.18181818181819"/>
    <d v="2022-05-29T00:00:00"/>
    <n v="260"/>
    <x v="3"/>
  </r>
  <r>
    <n v="876"/>
    <n v="329"/>
    <n v="265"/>
    <n v="2"/>
    <n v="530"/>
    <x v="152"/>
    <x v="14"/>
    <n v="258"/>
    <x v="1"/>
    <n v="264.8679245283019"/>
    <n v="4.9864653084474853E-4"/>
    <x v="64"/>
    <n v="0.11853675694688715"/>
    <n v="0.11853675694688715"/>
    <n v="236.91666666666666"/>
    <d v="2022-06-05T00:00:00"/>
    <n v="696"/>
    <x v="3"/>
  </r>
  <r>
    <n v="877"/>
    <n v="91"/>
    <n v="146"/>
    <n v="1"/>
    <n v="146"/>
    <x v="179"/>
    <x v="16"/>
    <n v="138"/>
    <x v="11"/>
    <n v="262.63492063492066"/>
    <n v="-0.44409524960715585"/>
    <x v="47"/>
    <n v="-0.46125461254612543"/>
    <n v="-0.46125461254612543"/>
    <n v="271"/>
    <d v="2022-06-11T00:00:00"/>
    <n v="299"/>
    <x v="3"/>
  </r>
  <r>
    <n v="878"/>
    <n v="296"/>
    <n v="58"/>
    <n v="2"/>
    <n v="116"/>
    <x v="419"/>
    <x v="0"/>
    <n v="419"/>
    <x v="18"/>
    <n v="255.11627906976744"/>
    <n v="-0.7726526891522334"/>
    <x v="34"/>
    <n v="-0.76828518746158569"/>
    <n v="-0.76828518746158569"/>
    <n v="250.30769230769232"/>
    <d v="2022-11-04T00:00:00"/>
    <n v="532"/>
    <x v="4"/>
  </r>
  <r>
    <n v="879"/>
    <n v="437"/>
    <n v="379"/>
    <n v="2"/>
    <n v="758"/>
    <x v="34"/>
    <x v="17"/>
    <n v="148"/>
    <x v="8"/>
    <n v="271.18181818181819"/>
    <n v="0.39758632249413339"/>
    <x v="48"/>
    <n v="0.34516415261756883"/>
    <n v="0.34516415261756883"/>
    <n v="281.75"/>
    <d v="2022-05-19T00:00:00"/>
    <n v="681"/>
    <x v="2"/>
  </r>
  <r>
    <n v="880"/>
    <n v="193"/>
    <n v="201"/>
    <n v="4"/>
    <n v="804"/>
    <x v="334"/>
    <x v="6"/>
    <n v="105"/>
    <x v="1"/>
    <n v="264.8679245283019"/>
    <n v="-0.24113121527283088"/>
    <x v="69"/>
    <n v="-0.2656192911947387"/>
    <n v="-0.2656192911947387"/>
    <n v="273.7"/>
    <d v="2022-12-23T00:00:00"/>
    <n v="285"/>
    <x v="0"/>
  </r>
  <r>
    <n v="881"/>
    <n v="144"/>
    <n v="337"/>
    <n v="3"/>
    <n v="1011"/>
    <x v="103"/>
    <x v="16"/>
    <n v="365"/>
    <x v="3"/>
    <n v="265.47674418604652"/>
    <n v="0.2694143927116639"/>
    <x v="29"/>
    <n v="0.43066037735849072"/>
    <n v="0.43066037735849072"/>
    <n v="235.55555555555554"/>
    <d v="2022-10-07T00:00:00"/>
    <n v="198"/>
    <x v="1"/>
  </r>
  <r>
    <n v="882"/>
    <n v="27"/>
    <n v="160"/>
    <n v="1"/>
    <n v="160"/>
    <x v="162"/>
    <x v="8"/>
    <n v="416"/>
    <x v="3"/>
    <n v="265.47674418604652"/>
    <n v="-0.39731067408348297"/>
    <x v="16"/>
    <n v="-0.42170557780599782"/>
    <n v="-0.42170557780599782"/>
    <n v="276.67567567567568"/>
    <d v="2022-05-22T00:00:00"/>
    <n v="573"/>
    <x v="4"/>
  </r>
  <r>
    <n v="883"/>
    <n v="375"/>
    <n v="197"/>
    <n v="5"/>
    <n v="985"/>
    <x v="27"/>
    <x v="7"/>
    <n v="315"/>
    <x v="3"/>
    <n v="265.47674418604652"/>
    <n v="-0.25793876746528843"/>
    <x v="3"/>
    <n v="-0.16622883829538826"/>
    <n v="-0.16622883829538826"/>
    <n v="236.27586206896552"/>
    <d v="2022-07-05T00:00:00"/>
    <n v="621"/>
    <x v="0"/>
  </r>
  <r>
    <n v="884"/>
    <n v="453"/>
    <n v="437"/>
    <n v="2"/>
    <n v="874"/>
    <x v="11"/>
    <x v="17"/>
    <n v="81"/>
    <x v="3"/>
    <n v="265.47674418604652"/>
    <n v="0.64609522140948705"/>
    <x v="19"/>
    <n v="0.32716731087796802"/>
    <n v="0.32716731087796802"/>
    <n v="329.27272727272725"/>
    <d v="2022-09-21T00:00:00"/>
    <n v="569"/>
    <x v="2"/>
  </r>
  <r>
    <n v="885"/>
    <n v="388"/>
    <n v="205"/>
    <n v="2"/>
    <n v="410"/>
    <x v="358"/>
    <x v="13"/>
    <n v="262"/>
    <x v="6"/>
    <n v="258.5128205128205"/>
    <n v="-0.20700257885340201"/>
    <x v="6"/>
    <n v="-0.21349582487023244"/>
    <n v="-0.21349582487023244"/>
    <n v="260.64705882352939"/>
    <d v="2022-08-05T00:00:00"/>
    <n v="626"/>
    <x v="4"/>
  </r>
  <r>
    <n v="886"/>
    <n v="312"/>
    <n v="476"/>
    <n v="2"/>
    <n v="952"/>
    <x v="367"/>
    <x v="16"/>
    <n v="239"/>
    <x v="16"/>
    <n v="300.31818181818181"/>
    <n v="0.58498562131073117"/>
    <x v="51"/>
    <n v="0.43734272773024663"/>
    <n v="0.43734272773024663"/>
    <n v="331.16666666666669"/>
    <d v="2022-07-25T00:00:00"/>
    <n v="346"/>
    <x v="0"/>
  </r>
  <r>
    <n v="887"/>
    <n v="486"/>
    <n v="230"/>
    <n v="2"/>
    <n v="460"/>
    <x v="267"/>
    <x v="1"/>
    <n v="358"/>
    <x v="1"/>
    <n v="264.8679245283019"/>
    <n v="-0.13164268414304037"/>
    <x v="1"/>
    <n v="-3.4289713086074092E-2"/>
    <n v="-3.4289713086074092E-2"/>
    <n v="238.16666666666666"/>
    <d v="2022-07-29T00:00:00"/>
    <n v="436"/>
    <x v="3"/>
  </r>
  <r>
    <n v="888"/>
    <n v="295"/>
    <n v="219"/>
    <n v="5"/>
    <n v="1095"/>
    <x v="153"/>
    <x v="11"/>
    <n v="331"/>
    <x v="2"/>
    <n v="283.468085106383"/>
    <n v="-0.22742625534789462"/>
    <x v="36"/>
    <n v="-0.12224448897795592"/>
    <n v="-0.12224448897795592"/>
    <n v="249.5"/>
    <d v="2022-09-09T00:00:00"/>
    <n v="352"/>
    <x v="0"/>
  </r>
  <r>
    <n v="889"/>
    <n v="1"/>
    <n v="206"/>
    <n v="3"/>
    <n v="618"/>
    <x v="285"/>
    <x v="5"/>
    <n v="31"/>
    <x v="18"/>
    <n v="255.11627906976744"/>
    <n v="-0.1925250683682771"/>
    <x v="72"/>
    <n v="-0.18283447529751173"/>
    <n v="-0.18283447529751173"/>
    <n v="252.09090909090909"/>
    <d v="2022-01-19T00:00:00"/>
    <n v="406"/>
    <x v="3"/>
  </r>
  <r>
    <n v="890"/>
    <n v="347"/>
    <n v="343"/>
    <n v="3"/>
    <n v="1029"/>
    <x v="420"/>
    <x v="2"/>
    <n v="74"/>
    <x v="3"/>
    <n v="265.47674418604652"/>
    <n v="0.29201524243353338"/>
    <x v="16"/>
    <n v="0.239718667578392"/>
    <n v="0.239718667578392"/>
    <n v="276.67567567567568"/>
    <d v="2022-10-23T00:00:00"/>
    <n v="80"/>
    <x v="2"/>
  </r>
  <r>
    <n v="891"/>
    <n v="308"/>
    <n v="147"/>
    <n v="2"/>
    <n v="294"/>
    <x v="207"/>
    <x v="11"/>
    <n v="80"/>
    <x v="17"/>
    <n v="267.85483870967744"/>
    <n v="-0.45119527909917512"/>
    <x v="35"/>
    <n v="-0.41260914607074151"/>
    <n v="-0.41260914607074151"/>
    <n v="250.25925925925927"/>
    <d v="2022-03-03T00:00:00"/>
    <n v="638"/>
    <x v="1"/>
  </r>
  <r>
    <n v="892"/>
    <n v="52"/>
    <n v="423"/>
    <n v="3"/>
    <n v="1269"/>
    <x v="336"/>
    <x v="6"/>
    <n v="496"/>
    <x v="1"/>
    <n v="264.8679245283019"/>
    <n v="0.59702236785866925"/>
    <x v="1"/>
    <n v="0.77606717984604634"/>
    <n v="0.77606717984604634"/>
    <n v="238.16666666666666"/>
    <d v="2022-11-02T00:00:00"/>
    <n v="511"/>
    <x v="3"/>
  </r>
  <r>
    <n v="893"/>
    <n v="75"/>
    <n v="494"/>
    <n v="4"/>
    <n v="1976"/>
    <x v="421"/>
    <x v="3"/>
    <n v="477"/>
    <x v="2"/>
    <n v="283.468085106383"/>
    <n v="0.7427005929595436"/>
    <x v="36"/>
    <n v="0.97995991983967934"/>
    <n v="0.97995991983967934"/>
    <n v="249.5"/>
    <d v="2022-06-26T00:00:00"/>
    <n v="292"/>
    <x v="0"/>
  </r>
  <r>
    <n v="894"/>
    <n v="148"/>
    <n v="270"/>
    <n v="2"/>
    <n v="540"/>
    <x v="292"/>
    <x v="5"/>
    <n v="196"/>
    <x v="5"/>
    <n v="268.60344827586209"/>
    <n v="5.199306759098743E-3"/>
    <x v="5"/>
    <n v="-4.2447079685248856E-2"/>
    <n v="-4.2447079685248856E-2"/>
    <n v="281.96875"/>
    <d v="2022-10-01T00:00:00"/>
    <n v="371"/>
    <x v="2"/>
  </r>
  <r>
    <n v="895"/>
    <n v="481"/>
    <n v="470"/>
    <n v="2"/>
    <n v="940"/>
    <x v="422"/>
    <x v="1"/>
    <n v="400"/>
    <x v="14"/>
    <n v="273.72549019607845"/>
    <n v="0.71704871060171915"/>
    <x v="22"/>
    <n v="0.67714528462192014"/>
    <n v="0.67714528462192014"/>
    <n v="280.23809523809524"/>
    <d v="2022-07-23T00:00:00"/>
    <n v="336"/>
    <x v="1"/>
  </r>
  <r>
    <n v="896"/>
    <n v="194"/>
    <n v="278"/>
    <n v="4"/>
    <n v="1112"/>
    <x v="369"/>
    <x v="9"/>
    <n v="271"/>
    <x v="1"/>
    <n v="264.8679245283019"/>
    <n v="4.9579712209716353E-2"/>
    <x v="69"/>
    <n v="1.5710632078918652E-2"/>
    <n v="1.5710632078918652E-2"/>
    <n v="273.7"/>
    <d v="2022-11-27T00:00:00"/>
    <n v="394"/>
    <x v="1"/>
  </r>
  <r>
    <n v="897"/>
    <n v="422"/>
    <n v="244"/>
    <n v="3"/>
    <n v="732"/>
    <x v="243"/>
    <x v="5"/>
    <n v="265"/>
    <x v="7"/>
    <n v="249.02380952380952"/>
    <n v="-2.0174012811932318E-2"/>
    <x v="59"/>
    <n v="-5.0214091086025592E-2"/>
    <n v="-5.0214091086025592E-2"/>
    <n v="256.89999999999998"/>
    <d v="2022-07-14T00:00:00"/>
    <n v="614"/>
    <x v="0"/>
  </r>
  <r>
    <n v="898"/>
    <n v="52"/>
    <n v="142"/>
    <n v="3"/>
    <n v="426"/>
    <x v="363"/>
    <x v="10"/>
    <n v="366"/>
    <x v="1"/>
    <n v="264.8679245283019"/>
    <n v="-0.46388374412309452"/>
    <x v="1"/>
    <n v="-0.40377886634009796"/>
    <n v="-0.40377886634009796"/>
    <n v="238.16666666666666"/>
    <d v="2022-09-23T00:00:00"/>
    <n v="102"/>
    <x v="0"/>
  </r>
  <r>
    <n v="899"/>
    <n v="73"/>
    <n v="160"/>
    <n v="4"/>
    <n v="640"/>
    <x v="400"/>
    <x v="4"/>
    <n v="302"/>
    <x v="16"/>
    <n v="300.31818181818181"/>
    <n v="-0.46723172392916601"/>
    <x v="38"/>
    <n v="-0.39393939393939392"/>
    <n v="-0.39393939393939392"/>
    <n v="264"/>
    <d v="2022-10-25T00:00:00"/>
    <n v="304"/>
    <x v="2"/>
  </r>
  <r>
    <n v="900"/>
    <n v="208"/>
    <n v="476"/>
    <n v="5"/>
    <n v="2380"/>
    <x v="3"/>
    <x v="18"/>
    <n v="326"/>
    <x v="17"/>
    <n v="267.85483870967744"/>
    <n v="0.77708195339314745"/>
    <x v="70"/>
    <n v="0.77611940298507465"/>
    <n v="0.77611940298507465"/>
    <n v="268"/>
    <d v="2022-04-04T00:00:00"/>
    <n v="607"/>
    <x v="2"/>
  </r>
  <r>
    <n v="901"/>
    <n v="458"/>
    <n v="343"/>
    <n v="3"/>
    <n v="1029"/>
    <x v="186"/>
    <x v="12"/>
    <n v="282"/>
    <x v="3"/>
    <n v="265.47674418604652"/>
    <n v="0.29201524243353338"/>
    <x v="3"/>
    <n v="0.45169293636894325"/>
    <n v="0.45169293636894325"/>
    <n v="236.27586206896552"/>
    <d v="2022-06-23T00:00:00"/>
    <n v="270"/>
    <x v="0"/>
  </r>
  <r>
    <n v="902"/>
    <n v="444"/>
    <n v="328"/>
    <n v="3"/>
    <n v="984"/>
    <x v="246"/>
    <x v="19"/>
    <n v="292"/>
    <x v="9"/>
    <n v="263.25423728813558"/>
    <n v="0.24594385784187489"/>
    <x v="33"/>
    <n v="0.31991951710261568"/>
    <n v="0.31991951710261568"/>
    <n v="248.5"/>
    <d v="2022-02-16T00:00:00"/>
    <n v="494"/>
    <x v="2"/>
  </r>
  <r>
    <n v="903"/>
    <n v="369"/>
    <n v="379"/>
    <n v="5"/>
    <n v="1895"/>
    <x v="81"/>
    <x v="16"/>
    <n v="267"/>
    <x v="15"/>
    <n v="294.95238095238096"/>
    <n v="0.28495318049725538"/>
    <x v="41"/>
    <n v="0.37929640113222818"/>
    <n v="0.37929640113222818"/>
    <n v="274.77777777777777"/>
    <d v="2022-12-15T00:00:00"/>
    <n v="279"/>
    <x v="2"/>
  </r>
  <r>
    <n v="904"/>
    <n v="6"/>
    <n v="70"/>
    <n v="5"/>
    <n v="350"/>
    <x v="323"/>
    <x v="4"/>
    <n v="433"/>
    <x v="12"/>
    <n v="274.16279069767444"/>
    <n v="-0.74467724149631009"/>
    <x v="50"/>
    <n v="-0.75059382422802856"/>
    <n v="-0.75059382422802856"/>
    <n v="280.66666666666669"/>
    <d v="2022-09-28T00:00:00"/>
    <n v="532"/>
    <x v="4"/>
  </r>
  <r>
    <n v="905"/>
    <n v="318"/>
    <n v="280"/>
    <n v="1"/>
    <n v="280"/>
    <x v="302"/>
    <x v="1"/>
    <n v="382"/>
    <x v="15"/>
    <n v="294.95238095238096"/>
    <n v="-5.0694220213109542E-2"/>
    <x v="41"/>
    <n v="1.9005256773150014E-2"/>
    <n v="1.9005256773150014E-2"/>
    <n v="274.77777777777777"/>
    <d v="2022-10-16T00:00:00"/>
    <n v="363"/>
    <x v="1"/>
  </r>
  <r>
    <n v="906"/>
    <n v="269"/>
    <n v="315"/>
    <n v="1"/>
    <n v="315"/>
    <x v="335"/>
    <x v="2"/>
    <n v="41"/>
    <x v="0"/>
    <n v="252.76271186440678"/>
    <n v="0.2462281231140615"/>
    <x v="45"/>
    <n v="7.3576583801122641E-2"/>
    <n v="7.3576583801122641E-2"/>
    <n v="293.41176470588238"/>
    <d v="2022-10-08T00:00:00"/>
    <n v="513"/>
    <x v="2"/>
  </r>
  <r>
    <n v="907"/>
    <n v="55"/>
    <n v="353"/>
    <n v="1"/>
    <n v="353"/>
    <x v="152"/>
    <x v="19"/>
    <n v="129"/>
    <x v="18"/>
    <n v="255.11627906976744"/>
    <n v="0.38368277119416594"/>
    <x v="61"/>
    <n v="0.28697916666666679"/>
    <n v="0.28697916666666679"/>
    <n v="274.28571428571428"/>
    <d v="2022-11-03T00:00:00"/>
    <n v="545"/>
    <x v="1"/>
  </r>
  <r>
    <n v="908"/>
    <n v="327"/>
    <n v="342"/>
    <n v="2"/>
    <n v="684"/>
    <x v="328"/>
    <x v="1"/>
    <n v="335"/>
    <x v="19"/>
    <n v="286.92307692307691"/>
    <n v="0.19195710455764092"/>
    <x v="73"/>
    <n v="6.7915690866510614E-2"/>
    <n v="6.7915690866510614E-2"/>
    <n v="320.25"/>
    <d v="2022-02-27T00:00:00"/>
    <n v="665"/>
    <x v="0"/>
  </r>
  <r>
    <n v="909"/>
    <n v="364"/>
    <n v="299"/>
    <n v="3"/>
    <n v="897"/>
    <x v="261"/>
    <x v="14"/>
    <n v="194"/>
    <x v="0"/>
    <n v="252.76271186440678"/>
    <n v="0.18292764701937902"/>
    <x v="45"/>
    <n v="1.9045709703287894E-2"/>
    <n v="1.9045709703287894E-2"/>
    <n v="293.41176470588238"/>
    <d v="2022-12-29T00:00:00"/>
    <n v="8"/>
    <x v="2"/>
  </r>
  <r>
    <n v="910"/>
    <n v="378"/>
    <n v="397"/>
    <n v="1"/>
    <n v="397"/>
    <x v="67"/>
    <x v="5"/>
    <n v="56"/>
    <x v="5"/>
    <n v="268.60344827586209"/>
    <n v="0.47801527697541557"/>
    <x v="5"/>
    <n v="0.40795744209243034"/>
    <n v="0.40795744209243034"/>
    <n v="281.96875"/>
    <d v="2022-04-11T00:00:00"/>
    <n v="338"/>
    <x v="4"/>
  </r>
  <r>
    <n v="911"/>
    <n v="462"/>
    <n v="231"/>
    <n v="2"/>
    <n v="462"/>
    <x v="342"/>
    <x v="18"/>
    <n v="493"/>
    <x v="13"/>
    <n v="258.375"/>
    <n v="-0.10595065312046448"/>
    <x v="20"/>
    <n v="-0.14351145038167934"/>
    <n v="-0.14351145038167934"/>
    <n v="269.70588235294116"/>
    <d v="2022-10-21T00:00:00"/>
    <n v="95"/>
    <x v="3"/>
  </r>
  <r>
    <n v="912"/>
    <n v="89"/>
    <n v="120"/>
    <n v="5"/>
    <n v="600"/>
    <x v="423"/>
    <x v="19"/>
    <n v="222"/>
    <x v="17"/>
    <n v="267.85483870967744"/>
    <n v="-0.5519961462034082"/>
    <x v="27"/>
    <n v="-0.58367751528167844"/>
    <n v="-0.58367751528167844"/>
    <n v="288.23809523809524"/>
    <d v="2022-05-13T00:00:00"/>
    <n v="268"/>
    <x v="3"/>
  </r>
  <r>
    <n v="913"/>
    <n v="465"/>
    <n v="177"/>
    <n v="1"/>
    <n v="177"/>
    <x v="381"/>
    <x v="8"/>
    <n v="167"/>
    <x v="9"/>
    <n v="263.25423728813558"/>
    <n v="-0.32764614988411023"/>
    <x v="9"/>
    <n v="-0.31337493675156014"/>
    <n v="-0.31337493675156014"/>
    <n v="257.78260869565219"/>
    <d v="2022-01-02T00:00:00"/>
    <n v="559"/>
    <x v="0"/>
  </r>
  <r>
    <n v="914"/>
    <n v="208"/>
    <n v="412"/>
    <n v="4"/>
    <n v="1648"/>
    <x v="407"/>
    <x v="6"/>
    <n v="212"/>
    <x v="17"/>
    <n v="267.85483870967744"/>
    <n v="0.53814656470163169"/>
    <x v="70"/>
    <n v="0.53731343283582089"/>
    <n v="0.53731343283582089"/>
    <n v="268"/>
    <d v="2022-09-11T00:00:00"/>
    <n v="504"/>
    <x v="0"/>
  </r>
  <r>
    <n v="915"/>
    <n v="357"/>
    <n v="279"/>
    <n v="2"/>
    <n v="558"/>
    <x v="12"/>
    <x v="15"/>
    <n v="499"/>
    <x v="10"/>
    <n v="271.74545454545455"/>
    <n v="2.6696105981533602E-2"/>
    <x v="37"/>
    <n v="2.4406047516198681E-2"/>
    <n v="2.4406047516198681E-2"/>
    <n v="272.35294117647061"/>
    <d v="2022-08-25T00:00:00"/>
    <n v="468"/>
    <x v="1"/>
  </r>
  <r>
    <n v="916"/>
    <n v="416"/>
    <n v="472"/>
    <n v="1"/>
    <n v="472"/>
    <x v="424"/>
    <x v="19"/>
    <n v="401"/>
    <x v="6"/>
    <n v="258.5128205128205"/>
    <n v="0.82582820868875229"/>
    <x v="6"/>
    <n v="0.81087790566463558"/>
    <n v="0.81087790566463558"/>
    <n v="260.64705882352939"/>
    <d v="2022-10-22T00:00:00"/>
    <n v="483"/>
    <x v="2"/>
  </r>
  <r>
    <n v="917"/>
    <n v="374"/>
    <n v="52"/>
    <n v="3"/>
    <n v="156"/>
    <x v="425"/>
    <x v="18"/>
    <n v="463"/>
    <x v="7"/>
    <n v="249.02380952380952"/>
    <n v="-0.79118462568123149"/>
    <x v="77"/>
    <n v="-0.62857142857142856"/>
    <n v="-0.62857142857142856"/>
    <n v="140"/>
    <d v="2022-11-04T00:00:00"/>
    <n v="157"/>
    <x v="3"/>
  </r>
  <r>
    <n v="918"/>
    <n v="145"/>
    <n v="144"/>
    <n v="5"/>
    <n v="720"/>
    <x v="299"/>
    <x v="0"/>
    <n v="347"/>
    <x v="4"/>
    <n v="250.48780487804879"/>
    <n v="-0.42512171372930874"/>
    <x v="75"/>
    <n v="-0.30769230769230771"/>
    <n v="-0.30769230769230771"/>
    <n v="208"/>
    <d v="2022-01-27T00:00:00"/>
    <n v="724"/>
    <x v="4"/>
  </r>
  <r>
    <n v="919"/>
    <n v="289"/>
    <n v="258"/>
    <n v="2"/>
    <n v="516"/>
    <x v="221"/>
    <x v="1"/>
    <n v="54"/>
    <x v="5"/>
    <n v="268.60344827586209"/>
    <n v="-3.9476217985750184E-2"/>
    <x v="28"/>
    <n v="6.2523399475851837E-2"/>
    <n v="6.2523399475851837E-2"/>
    <n v="242.81818181818181"/>
    <d v="2022-10-13T00:00:00"/>
    <n v="545"/>
    <x v="1"/>
  </r>
  <r>
    <n v="920"/>
    <n v="173"/>
    <n v="173"/>
    <n v="2"/>
    <n v="346"/>
    <x v="426"/>
    <x v="18"/>
    <n v="246"/>
    <x v="5"/>
    <n v="268.60344827586209"/>
    <n v="-0.35592785159509599"/>
    <x v="5"/>
    <n v="-0.38645683253906682"/>
    <n v="-0.38645683253906682"/>
    <n v="281.96875"/>
    <d v="2022-09-01T00:00:00"/>
    <n v="292"/>
    <x v="0"/>
  </r>
  <r>
    <n v="921"/>
    <n v="390"/>
    <n v="494"/>
    <n v="3"/>
    <n v="1482"/>
    <x v="41"/>
    <x v="11"/>
    <n v="65"/>
    <x v="5"/>
    <n v="268.60344827586209"/>
    <n v="0.83914243532961019"/>
    <x v="32"/>
    <n v="0.94349070100143062"/>
    <n v="0.94349070100143062"/>
    <n v="254.18181818181819"/>
    <d v="2022-03-03T00:00:00"/>
    <n v="573"/>
    <x v="3"/>
  </r>
  <r>
    <n v="922"/>
    <n v="482"/>
    <n v="198"/>
    <n v="2"/>
    <n v="396"/>
    <x v="91"/>
    <x v="18"/>
    <n v="44"/>
    <x v="18"/>
    <n v="255.11627906976744"/>
    <n v="-0.22388331814038287"/>
    <x v="34"/>
    <n v="-0.20897357098955138"/>
    <n v="-0.20897357098955138"/>
    <n v="250.30769230769232"/>
    <d v="2022-05-20T00:00:00"/>
    <n v="496"/>
    <x v="1"/>
  </r>
  <r>
    <n v="923"/>
    <n v="465"/>
    <n v="71"/>
    <n v="5"/>
    <n v="355"/>
    <x v="156"/>
    <x v="8"/>
    <n v="321"/>
    <x v="9"/>
    <n v="263.25423728813558"/>
    <n v="-0.73029873808910639"/>
    <x v="9"/>
    <n v="-0.7245741271715298"/>
    <n v="-0.7245741271715298"/>
    <n v="257.78260869565219"/>
    <d v="2022-07-14T00:00:00"/>
    <n v="497"/>
    <x v="4"/>
  </r>
  <r>
    <n v="924"/>
    <n v="114"/>
    <n v="228"/>
    <n v="2"/>
    <n v="456"/>
    <x v="149"/>
    <x v="14"/>
    <n v="50"/>
    <x v="11"/>
    <n v="262.63492063492066"/>
    <n v="-0.13187477335912012"/>
    <x v="47"/>
    <n v="-0.15867158671586712"/>
    <n v="-0.15867158671586712"/>
    <n v="271"/>
    <d v="2022-01-15T00:00:00"/>
    <n v="599"/>
    <x v="0"/>
  </r>
  <r>
    <n v="925"/>
    <n v="46"/>
    <n v="290"/>
    <n v="3"/>
    <n v="870"/>
    <x v="194"/>
    <x v="5"/>
    <n v="460"/>
    <x v="9"/>
    <n v="263.25423728813558"/>
    <n v="0.10159670357970652"/>
    <x v="55"/>
    <n v="-1.2485811577752637E-2"/>
    <n v="-1.2485811577752637E-2"/>
    <n v="293.66666666666669"/>
    <d v="2022-09-17T00:00:00"/>
    <n v="238"/>
    <x v="2"/>
  </r>
  <r>
    <n v="926"/>
    <n v="222"/>
    <n v="168"/>
    <n v="3"/>
    <n v="504"/>
    <x v="113"/>
    <x v="13"/>
    <n v="79"/>
    <x v="15"/>
    <n v="294.95238095238096"/>
    <n v="-0.43041653212786568"/>
    <x v="23"/>
    <n v="-0.47305389221556882"/>
    <n v="-0.47305389221556882"/>
    <n v="318.81818181818181"/>
    <d v="2022-06-04T00:00:00"/>
    <n v="597"/>
    <x v="4"/>
  </r>
  <r>
    <n v="927"/>
    <n v="210"/>
    <n v="374"/>
    <n v="2"/>
    <n v="748"/>
    <x v="268"/>
    <x v="8"/>
    <n v="209"/>
    <x v="19"/>
    <n v="286.92307692307691"/>
    <n v="0.30348525469168908"/>
    <x v="40"/>
    <n v="0.36704233932378938"/>
    <n v="0.36704233932378938"/>
    <n v="273.58333333333331"/>
    <d v="2022-03-08T00:00:00"/>
    <n v="424"/>
    <x v="2"/>
  </r>
  <r>
    <n v="928"/>
    <n v="399"/>
    <n v="67"/>
    <n v="2"/>
    <n v="134"/>
    <x v="203"/>
    <x v="18"/>
    <n v="451"/>
    <x v="16"/>
    <n v="300.31818181818181"/>
    <n v="-0.77690328439533829"/>
    <x v="24"/>
    <n v="-0.76218646474207286"/>
    <n v="-0.76218646474207286"/>
    <n v="281.73333333333335"/>
    <d v="2022-01-23T00:00:00"/>
    <n v="367"/>
    <x v="2"/>
  </r>
  <r>
    <n v="929"/>
    <n v="498"/>
    <n v="244"/>
    <n v="2"/>
    <n v="488"/>
    <x v="427"/>
    <x v="3"/>
    <n v="49"/>
    <x v="15"/>
    <n v="294.95238095238096"/>
    <n v="-0.17274782047142401"/>
    <x v="41"/>
    <n v="-0.11200970481196926"/>
    <n v="-0.11200970481196926"/>
    <n v="274.77777777777777"/>
    <d v="2022-04-21T00:00:00"/>
    <n v="566"/>
    <x v="4"/>
  </r>
  <r>
    <n v="930"/>
    <n v="170"/>
    <n v="312"/>
    <n v="1"/>
    <n v="312"/>
    <x v="428"/>
    <x v="11"/>
    <n v="162"/>
    <x v="17"/>
    <n v="267.85483870967744"/>
    <n v="0.16481001987113864"/>
    <x v="70"/>
    <n v="0.16417910447761197"/>
    <n v="0.16417910447761197"/>
    <n v="268"/>
    <d v="2022-03-19T00:00:00"/>
    <n v="433"/>
    <x v="4"/>
  </r>
  <r>
    <n v="931"/>
    <n v="205"/>
    <n v="212"/>
    <n v="4"/>
    <n v="848"/>
    <x v="382"/>
    <x v="9"/>
    <n v="414"/>
    <x v="3"/>
    <n v="265.47674418604652"/>
    <n v="-0.20143664316061494"/>
    <x v="3"/>
    <n v="-0.10274372446001168"/>
    <n v="-0.10274372446001168"/>
    <n v="236.27586206896552"/>
    <d v="2022-08-21T00:00:00"/>
    <n v="226"/>
    <x v="1"/>
  </r>
  <r>
    <n v="932"/>
    <n v="188"/>
    <n v="233"/>
    <n v="2"/>
    <n v="466"/>
    <x v="55"/>
    <x v="10"/>
    <n v="445"/>
    <x v="15"/>
    <n v="294.95238095238096"/>
    <n v="-0.21004197610590902"/>
    <x v="74"/>
    <n v="0.20413436692506459"/>
    <n v="0.20413436692506459"/>
    <n v="193.5"/>
    <d v="2022-04-25T00:00:00"/>
    <n v="538"/>
    <x v="2"/>
  </r>
  <r>
    <n v="933"/>
    <n v="246"/>
    <n v="400"/>
    <n v="4"/>
    <n v="1600"/>
    <x v="8"/>
    <x v="15"/>
    <n v="191"/>
    <x v="11"/>
    <n v="262.63492063492066"/>
    <n v="0.52302671340505236"/>
    <x v="21"/>
    <n v="0.67558761926925759"/>
    <n v="0.67558761926925759"/>
    <n v="238.72222222222223"/>
    <d v="2022-11-01T00:00:00"/>
    <n v="510"/>
    <x v="3"/>
  </r>
  <r>
    <n v="934"/>
    <n v="187"/>
    <n v="168"/>
    <n v="3"/>
    <n v="504"/>
    <x v="76"/>
    <x v="14"/>
    <n v="126"/>
    <x v="3"/>
    <n v="265.47674418604652"/>
    <n v="-0.36717620778765714"/>
    <x v="16"/>
    <n v="-0.39279085669629776"/>
    <n v="-0.39279085669629776"/>
    <n v="276.67567567567568"/>
    <d v="2022-09-18T00:00:00"/>
    <n v="124"/>
    <x v="0"/>
  </r>
  <r>
    <n v="935"/>
    <n v="9"/>
    <n v="321"/>
    <n v="1"/>
    <n v="321"/>
    <x v="77"/>
    <x v="15"/>
    <n v="217"/>
    <x v="9"/>
    <n v="263.25423728813558"/>
    <n v="0.21935359258305431"/>
    <x v="43"/>
    <n v="0.11807732497387669"/>
    <n v="0.11807732497387669"/>
    <n v="287.10000000000002"/>
    <d v="2022-09-22T00:00:00"/>
    <n v="347"/>
    <x v="2"/>
  </r>
  <r>
    <n v="936"/>
    <n v="302"/>
    <n v="229"/>
    <n v="5"/>
    <n v="1145"/>
    <x v="126"/>
    <x v="4"/>
    <n v="42"/>
    <x v="15"/>
    <n v="294.95238095238096"/>
    <n v="-0.22360348724572165"/>
    <x v="41"/>
    <n v="-0.16659927213910231"/>
    <n v="-0.16659927213910231"/>
    <n v="274.77777777777777"/>
    <d v="2022-08-10T00:00:00"/>
    <n v="589"/>
    <x v="4"/>
  </r>
  <r>
    <n v="937"/>
    <n v="166"/>
    <n v="166"/>
    <n v="5"/>
    <n v="830"/>
    <x v="429"/>
    <x v="4"/>
    <n v="407"/>
    <x v="5"/>
    <n v="268.60344827586209"/>
    <n v="-0.38198857436292455"/>
    <x v="28"/>
    <n v="-0.31636091351553719"/>
    <n v="-0.31636091351553719"/>
    <n v="242.81818181818181"/>
    <d v="2022-03-01T00:00:00"/>
    <n v="631"/>
    <x v="1"/>
  </r>
  <r>
    <n v="938"/>
    <n v="329"/>
    <n v="71"/>
    <n v="2"/>
    <n v="142"/>
    <x v="430"/>
    <x v="4"/>
    <n v="117"/>
    <x v="1"/>
    <n v="264.8679245283019"/>
    <n v="-0.73194187206154726"/>
    <x v="64"/>
    <n v="-0.7003165670066831"/>
    <n v="-0.7003165670066831"/>
    <n v="236.91666666666666"/>
    <d v="2022-05-25T00:00:00"/>
    <n v="432"/>
    <x v="3"/>
  </r>
  <r>
    <n v="939"/>
    <n v="35"/>
    <n v="345"/>
    <n v="2"/>
    <n v="690"/>
    <x v="312"/>
    <x v="11"/>
    <n v="91"/>
    <x v="18"/>
    <n v="255.11627906976744"/>
    <n v="0.35232452142206006"/>
    <x v="34"/>
    <n v="0.37830362630608483"/>
    <n v="0.37830362630608483"/>
    <n v="250.30769230769232"/>
    <d v="2022-05-06T00:00:00"/>
    <n v="391"/>
    <x v="2"/>
  </r>
  <r>
    <n v="940"/>
    <n v="342"/>
    <n v="259"/>
    <n v="5"/>
    <n v="1295"/>
    <x v="6"/>
    <x v="9"/>
    <n v="380"/>
    <x v="4"/>
    <n v="250.48780487804879"/>
    <n v="3.3982473222979426E-2"/>
    <x v="25"/>
    <n v="-0.14753146176185861"/>
    <n v="-0.14753146176185861"/>
    <n v="303.8235294117647"/>
    <d v="2022-01-02T00:00:00"/>
    <n v="786"/>
    <x v="2"/>
  </r>
  <r>
    <n v="941"/>
    <n v="44"/>
    <n v="439"/>
    <n v="5"/>
    <n v="2195"/>
    <x v="297"/>
    <x v="6"/>
    <n v="469"/>
    <x v="15"/>
    <n v="294.95238095238096"/>
    <n v="0.48837584759444619"/>
    <x v="53"/>
    <n v="0.36104847801578344"/>
    <n v="0.36104847801578344"/>
    <n v="322.54545454545456"/>
    <d v="2022-04-08T00:00:00"/>
    <n v="349"/>
    <x v="2"/>
  </r>
  <r>
    <n v="942"/>
    <n v="128"/>
    <n v="246"/>
    <n v="4"/>
    <n v="984"/>
    <x v="132"/>
    <x v="2"/>
    <n v="479"/>
    <x v="10"/>
    <n v="271.74545454545455"/>
    <n v="-9.4741067844239302E-2"/>
    <x v="15"/>
    <n v="-0.22295340879178727"/>
    <n v="-0.22295340879178727"/>
    <n v="316.58333333333331"/>
    <d v="2022-08-20T00:00:00"/>
    <n v="517"/>
    <x v="2"/>
  </r>
  <r>
    <n v="943"/>
    <n v="447"/>
    <n v="118"/>
    <n v="3"/>
    <n v="354"/>
    <x v="209"/>
    <x v="8"/>
    <n v="9"/>
    <x v="9"/>
    <n v="263.25423728813558"/>
    <n v="-0.55176409992274011"/>
    <x v="33"/>
    <n v="-0.52515090543259557"/>
    <n v="-0.52515090543259557"/>
    <n v="248.5"/>
    <d v="2022-12-05T00:00:00"/>
    <n v="437"/>
    <x v="4"/>
  </r>
  <r>
    <n v="944"/>
    <n v="48"/>
    <n v="116"/>
    <n v="5"/>
    <n v="580"/>
    <x v="393"/>
    <x v="17"/>
    <n v="477"/>
    <x v="12"/>
    <n v="274.16279069767444"/>
    <n v="-0.57689371447959958"/>
    <x v="65"/>
    <n v="-0.55092316855270995"/>
    <n v="-0.55092316855270995"/>
    <n v="258.30769230769232"/>
    <d v="2022-06-26T00:00:00"/>
    <n v="296"/>
    <x v="0"/>
  </r>
  <r>
    <n v="945"/>
    <n v="415"/>
    <n v="307"/>
    <n v="3"/>
    <n v="921"/>
    <x v="89"/>
    <x v="18"/>
    <n v="498"/>
    <x v="14"/>
    <n v="273.72549019607845"/>
    <n v="0.12156160458452714"/>
    <x v="22"/>
    <n v="9.5497026338147828E-2"/>
    <n v="9.5497026338147828E-2"/>
    <n v="280.23809523809524"/>
    <d v="2022-06-09T00:00:00"/>
    <n v="569"/>
    <x v="3"/>
  </r>
  <r>
    <n v="946"/>
    <n v="298"/>
    <n v="84"/>
    <n v="5"/>
    <n v="420"/>
    <x v="165"/>
    <x v="2"/>
    <n v="93"/>
    <x v="18"/>
    <n v="255.11627906976744"/>
    <n v="-0.67073837739288966"/>
    <x v="67"/>
    <n v="-0.66655640092623214"/>
    <n v="-0.66655640092623214"/>
    <n v="251.91666666666666"/>
    <d v="2022-12-10T00:00:00"/>
    <n v="430"/>
    <x v="3"/>
  </r>
  <r>
    <n v="947"/>
    <n v="3"/>
    <n v="180"/>
    <n v="3"/>
    <n v="540"/>
    <x v="431"/>
    <x v="10"/>
    <n v="200"/>
    <x v="18"/>
    <n v="255.11627906976744"/>
    <n v="-0.29443938012762083"/>
    <x v="72"/>
    <n v="-0.28597187161918503"/>
    <n v="-0.28597187161918503"/>
    <n v="252.09090909090909"/>
    <d v="2022-08-10T00:00:00"/>
    <n v="157"/>
    <x v="0"/>
  </r>
  <r>
    <n v="948"/>
    <n v="60"/>
    <n v="334"/>
    <n v="1"/>
    <n v="334"/>
    <x v="41"/>
    <x v="17"/>
    <n v="381"/>
    <x v="7"/>
    <n v="249.02380952380952"/>
    <n v="0.34123721197055179"/>
    <x v="7"/>
    <n v="0.20922256097560976"/>
    <n v="0.20922256097560976"/>
    <n v="276.21052631578948"/>
    <d v="2022-06-02T00:00:00"/>
    <n v="482"/>
    <x v="0"/>
  </r>
  <r>
    <n v="949"/>
    <n v="59"/>
    <n v="234"/>
    <n v="2"/>
    <n v="468"/>
    <x v="422"/>
    <x v="6"/>
    <n v="18"/>
    <x v="0"/>
    <n v="252.76271186440678"/>
    <n v="-7.4230537115268613E-2"/>
    <x v="0"/>
    <n v="-2.7027027027026973E-2"/>
    <n v="-2.7027027027026973E-2"/>
    <n v="240.5"/>
    <d v="2022-01-17T00:00:00"/>
    <n v="523"/>
    <x v="3"/>
  </r>
  <r>
    <n v="950"/>
    <n v="119"/>
    <n v="426"/>
    <n v="1"/>
    <n v="426"/>
    <x v="309"/>
    <x v="7"/>
    <n v="327"/>
    <x v="2"/>
    <n v="283.468085106383"/>
    <n v="0.50281468137806784"/>
    <x v="31"/>
    <n v="0.31857142857142851"/>
    <n v="0.31857142857142851"/>
    <n v="323.07692307692309"/>
    <d v="2022-01-04T00:00:00"/>
    <n v="529"/>
    <x v="4"/>
  </r>
  <r>
    <n v="951"/>
    <n v="199"/>
    <n v="494"/>
    <n v="1"/>
    <n v="494"/>
    <x v="429"/>
    <x v="2"/>
    <n v="340"/>
    <x v="3"/>
    <n v="265.47674418604652"/>
    <n v="0.86080329376724629"/>
    <x v="3"/>
    <n v="1.0907764156450672"/>
    <n v="1.0907764156450672"/>
    <n v="236.27586206896552"/>
    <d v="2022-12-01T00:00:00"/>
    <n v="356"/>
    <x v="2"/>
  </r>
  <r>
    <n v="952"/>
    <n v="272"/>
    <n v="353"/>
    <n v="3"/>
    <n v="1059"/>
    <x v="63"/>
    <x v="15"/>
    <n v="490"/>
    <x v="18"/>
    <n v="255.11627906976744"/>
    <n v="0.38368277119416594"/>
    <x v="72"/>
    <n v="0.40028849621348717"/>
    <n v="0.40028849621348717"/>
    <n v="252.09090909090909"/>
    <d v="2022-02-11T00:00:00"/>
    <n v="386"/>
    <x v="2"/>
  </r>
  <r>
    <n v="953"/>
    <n v="386"/>
    <n v="288"/>
    <n v="2"/>
    <n v="576"/>
    <x v="101"/>
    <x v="14"/>
    <n v="67"/>
    <x v="18"/>
    <n v="255.11627906976744"/>
    <n v="0.12889699179580671"/>
    <x v="67"/>
    <n v="0.14323519682434682"/>
    <n v="0.14323519682434682"/>
    <n v="251.91666666666666"/>
    <d v="2022-06-19T00:00:00"/>
    <n v="554"/>
    <x v="0"/>
  </r>
  <r>
    <n v="954"/>
    <n v="464"/>
    <n v="430"/>
    <n v="2"/>
    <n v="860"/>
    <x v="359"/>
    <x v="18"/>
    <n v="132"/>
    <x v="11"/>
    <n v="262.63492063492066"/>
    <n v="0.63725371691043131"/>
    <x v="47"/>
    <n v="0.58671586715867163"/>
    <n v="0.58671586715867163"/>
    <n v="271"/>
    <d v="2022-02-09T00:00:00"/>
    <n v="547"/>
    <x v="3"/>
  </r>
  <r>
    <n v="955"/>
    <n v="494"/>
    <n v="471"/>
    <n v="5"/>
    <n v="2355"/>
    <x v="148"/>
    <x v="0"/>
    <n v="95"/>
    <x v="11"/>
    <n v="262.63492063492066"/>
    <n v="0.79336395503444934"/>
    <x v="47"/>
    <n v="0.73800738007380073"/>
    <n v="0.73800738007380073"/>
    <n v="271"/>
    <d v="2022-05-23T00:00:00"/>
    <n v="585"/>
    <x v="0"/>
  </r>
  <r>
    <n v="956"/>
    <n v="242"/>
    <n v="313"/>
    <n v="3"/>
    <n v="939"/>
    <x v="432"/>
    <x v="17"/>
    <n v="75"/>
    <x v="4"/>
    <n v="250.48780487804879"/>
    <n v="0.24956183057448866"/>
    <x v="25"/>
    <n v="3.0203291384317543E-2"/>
    <n v="3.0203291384317543E-2"/>
    <n v="303.8235294117647"/>
    <d v="2022-08-23T00:00:00"/>
    <n v="453"/>
    <x v="3"/>
  </r>
  <r>
    <n v="957"/>
    <n v="434"/>
    <n v="340"/>
    <n v="4"/>
    <n v="1360"/>
    <x v="420"/>
    <x v="9"/>
    <n v="419"/>
    <x v="11"/>
    <n v="262.63492063492066"/>
    <n v="0.29457270639429467"/>
    <x v="47"/>
    <n v="0.25461254612546136"/>
    <n v="0.25461254612546136"/>
    <n v="271"/>
    <d v="2022-11-04T00:00:00"/>
    <n v="68"/>
    <x v="4"/>
  </r>
  <r>
    <n v="958"/>
    <n v="110"/>
    <n v="148"/>
    <n v="2"/>
    <n v="296"/>
    <x v="433"/>
    <x v="2"/>
    <n v="42"/>
    <x v="3"/>
    <n v="265.47674418604652"/>
    <n v="-0.44251237352722173"/>
    <x v="16"/>
    <n v="-0.46507765947054802"/>
    <n v="-0.46507765947054802"/>
    <n v="276.67567567567568"/>
    <d v="2022-08-10T00:00:00"/>
    <n v="212"/>
    <x v="4"/>
  </r>
  <r>
    <n v="959"/>
    <n v="168"/>
    <n v="391"/>
    <n v="2"/>
    <n v="782"/>
    <x v="376"/>
    <x v="18"/>
    <n v="316"/>
    <x v="18"/>
    <n v="255.11627906976744"/>
    <n v="0.53263445761166817"/>
    <x v="72"/>
    <n v="0.55102776776054818"/>
    <n v="0.55102776776054818"/>
    <n v="252.09090909090909"/>
    <d v="2022-08-14T00:00:00"/>
    <n v="356"/>
    <x v="4"/>
  </r>
  <r>
    <n v="960"/>
    <n v="13"/>
    <n v="181"/>
    <n v="4"/>
    <n v="724"/>
    <x v="48"/>
    <x v="15"/>
    <n v="117"/>
    <x v="3"/>
    <n v="265.47674418604652"/>
    <n v="-0.3182077000569401"/>
    <x v="16"/>
    <n v="-0.34580443489303503"/>
    <n v="-0.34580443489303503"/>
    <n v="276.67567567567568"/>
    <d v="2022-05-25T00:00:00"/>
    <n v="692"/>
    <x v="3"/>
  </r>
  <r>
    <n v="961"/>
    <n v="141"/>
    <n v="279"/>
    <n v="1"/>
    <n v="279"/>
    <x v="371"/>
    <x v="2"/>
    <n v="243"/>
    <x v="12"/>
    <n v="274.16279069767444"/>
    <n v="1.7643566036135372E-2"/>
    <x v="65"/>
    <n v="8.0107206670637199E-2"/>
    <n v="8.0107206670637199E-2"/>
    <n v="258.30769230769232"/>
    <d v="2022-04-30T00:00:00"/>
    <n v="643"/>
    <x v="2"/>
  </r>
  <r>
    <n v="962"/>
    <n v="120"/>
    <n v="229"/>
    <n v="5"/>
    <n v="1145"/>
    <x v="71"/>
    <x v="17"/>
    <n v="6"/>
    <x v="16"/>
    <n v="300.31818181818181"/>
    <n v="-0.23747540487361884"/>
    <x v="38"/>
    <n v="-0.13257575757575757"/>
    <n v="-0.13257575757575757"/>
    <n v="264"/>
    <d v="2022-05-29T00:00:00"/>
    <n v="220"/>
    <x v="3"/>
  </r>
  <r>
    <n v="963"/>
    <n v="316"/>
    <n v="97"/>
    <n v="4"/>
    <n v="388"/>
    <x v="261"/>
    <x v="9"/>
    <n v="283"/>
    <x v="3"/>
    <n v="265.47674418604652"/>
    <n v="-0.63461959616311159"/>
    <x v="3"/>
    <n v="-0.58946293053123178"/>
    <n v="-0.58946293053123178"/>
    <n v="236.27586206896552"/>
    <d v="2022-11-24T00:00:00"/>
    <n v="43"/>
    <x v="4"/>
  </r>
  <r>
    <n v="964"/>
    <n v="448"/>
    <n v="484"/>
    <n v="1"/>
    <n v="484"/>
    <x v="316"/>
    <x v="2"/>
    <n v="404"/>
    <x v="9"/>
    <n v="263.25423728813558"/>
    <n v="0.83852691218130326"/>
    <x v="9"/>
    <n v="0.87755102040816313"/>
    <n v="0.87755102040816313"/>
    <n v="257.78260869565219"/>
    <d v="2022-12-18T00:00:00"/>
    <n v="388"/>
    <x v="3"/>
  </r>
  <r>
    <n v="965"/>
    <n v="143"/>
    <n v="200"/>
    <n v="4"/>
    <n v="800"/>
    <x v="68"/>
    <x v="0"/>
    <n v="379"/>
    <x v="0"/>
    <n v="252.76271186440678"/>
    <n v="-0.20874404881646891"/>
    <x v="68"/>
    <n v="-7.3461283917935161E-2"/>
    <n v="-7.3461283917935161E-2"/>
    <n v="215.85714285714286"/>
    <d v="2022-01-20T00:00:00"/>
    <n v="725"/>
    <x v="4"/>
  </r>
  <r>
    <n v="966"/>
    <n v="168"/>
    <n v="206"/>
    <n v="4"/>
    <n v="824"/>
    <x v="244"/>
    <x v="14"/>
    <n v="136"/>
    <x v="18"/>
    <n v="255.11627906976744"/>
    <n v="-0.1925250683682771"/>
    <x v="72"/>
    <n v="-0.18283447529751173"/>
    <n v="-0.18283447529751173"/>
    <n v="252.09090909090909"/>
    <d v="2022-10-26T00:00:00"/>
    <n v="383"/>
    <x v="3"/>
  </r>
  <r>
    <n v="967"/>
    <n v="435"/>
    <n v="116"/>
    <n v="4"/>
    <n v="464"/>
    <x v="214"/>
    <x v="14"/>
    <n v="20"/>
    <x v="10"/>
    <n v="271.74545454545455"/>
    <n v="-0.57312993443061688"/>
    <x v="37"/>
    <n v="-0.57408207343412532"/>
    <n v="-0.57408207343412532"/>
    <n v="272.35294117647061"/>
    <d v="2022-05-10T00:00:00"/>
    <n v="346"/>
    <x v="0"/>
  </r>
  <r>
    <n v="968"/>
    <n v="375"/>
    <n v="212"/>
    <n v="3"/>
    <n v="636"/>
    <x v="118"/>
    <x v="19"/>
    <n v="369"/>
    <x v="3"/>
    <n v="265.47674418604652"/>
    <n v="-0.20143664316061494"/>
    <x v="3"/>
    <n v="-0.10274372446001168"/>
    <n v="-0.10274372446001168"/>
    <n v="236.27586206896552"/>
    <d v="2022-04-27T00:00:00"/>
    <n v="331"/>
    <x v="2"/>
  </r>
  <r>
    <n v="969"/>
    <n v="416"/>
    <n v="202"/>
    <n v="4"/>
    <n v="808"/>
    <x v="101"/>
    <x v="3"/>
    <n v="499"/>
    <x v="6"/>
    <n v="258.5128205128205"/>
    <n v="-0.21860741916286441"/>
    <x v="6"/>
    <n v="-0.22500564206725338"/>
    <n v="-0.22500564206725338"/>
    <n v="260.64705882352939"/>
    <d v="2022-08-25T00:00:00"/>
    <n v="487"/>
    <x v="1"/>
  </r>
  <r>
    <n v="970"/>
    <n v="25"/>
    <n v="332"/>
    <n v="3"/>
    <n v="996"/>
    <x v="75"/>
    <x v="9"/>
    <n v="153"/>
    <x v="14"/>
    <n v="273.72549019607845"/>
    <n v="0.21289398280802274"/>
    <x v="58"/>
    <n v="0.37284631288766357"/>
    <n v="0.37284631288766357"/>
    <n v="241.83333333333334"/>
    <d v="2022-08-29T00:00:00"/>
    <n v="362"/>
    <x v="2"/>
  </r>
  <r>
    <n v="971"/>
    <n v="236"/>
    <n v="420"/>
    <n v="5"/>
    <n v="2100"/>
    <x v="117"/>
    <x v="10"/>
    <n v="34"/>
    <x v="2"/>
    <n v="283.468085106383"/>
    <n v="0.48164827741499661"/>
    <x v="46"/>
    <n v="0.30582249858677213"/>
    <n v="0.30582249858677213"/>
    <n v="321.63636363636363"/>
    <d v="2022-04-03T00:00:00"/>
    <n v="606"/>
    <x v="4"/>
  </r>
  <r>
    <n v="972"/>
    <n v="418"/>
    <n v="139"/>
    <n v="2"/>
    <n v="278"/>
    <x v="408"/>
    <x v="17"/>
    <n v="337"/>
    <x v="12"/>
    <n v="274.16279069767444"/>
    <n v="-0.49300195097124444"/>
    <x v="76"/>
    <n v="-0.62351029252437695"/>
    <n v="-0.62351029252437695"/>
    <n v="369.2"/>
    <d v="2022-11-10T00:00:00"/>
    <n v="520"/>
    <x v="2"/>
  </r>
  <r>
    <n v="973"/>
    <n v="141"/>
    <n v="112"/>
    <n v="4"/>
    <n v="448"/>
    <x v="9"/>
    <x v="13"/>
    <n v="200"/>
    <x v="12"/>
    <n v="274.16279069767444"/>
    <n v="-0.59148358639409615"/>
    <x v="65"/>
    <n v="-0.56640857653365106"/>
    <n v="-0.56640857653365106"/>
    <n v="258.30769230769232"/>
    <d v="2022-08-10T00:00:00"/>
    <n v="249"/>
    <x v="0"/>
  </r>
  <r>
    <n v="974"/>
    <n v="294"/>
    <n v="485"/>
    <n v="3"/>
    <n v="1455"/>
    <x v="333"/>
    <x v="18"/>
    <n v="8"/>
    <x v="5"/>
    <n v="268.60344827586209"/>
    <n v="0.80563579177097355"/>
    <x v="5"/>
    <n v="0.72004876426909004"/>
    <n v="0.72004876426909004"/>
    <n v="281.96875"/>
    <d v="2022-11-18T00:00:00"/>
    <n v="447"/>
    <x v="1"/>
  </r>
  <r>
    <n v="975"/>
    <n v="497"/>
    <n v="120"/>
    <n v="1"/>
    <n v="120"/>
    <x v="328"/>
    <x v="14"/>
    <n v="280"/>
    <x v="17"/>
    <n v="267.85483870967744"/>
    <n v="-0.5519961462034082"/>
    <x v="35"/>
    <n v="-0.52049726209856439"/>
    <n v="-0.52049726209856439"/>
    <n v="250.25925925925927"/>
    <d v="2022-01-02T00:00:00"/>
    <n v="721"/>
    <x v="2"/>
  </r>
  <r>
    <n v="976"/>
    <n v="359"/>
    <n v="359"/>
    <n v="4"/>
    <n v="1436"/>
    <x v="320"/>
    <x v="5"/>
    <n v="94"/>
    <x v="10"/>
    <n v="271.74545454545455"/>
    <n v="0.32108925465007365"/>
    <x v="15"/>
    <n v="0.13398262700710717"/>
    <n v="0.13398262700710717"/>
    <n v="316.58333333333331"/>
    <d v="2022-06-11T00:00:00"/>
    <n v="659"/>
    <x v="3"/>
  </r>
  <r>
    <n v="977"/>
    <n v="175"/>
    <n v="198"/>
    <n v="3"/>
    <n v="594"/>
    <x v="279"/>
    <x v="3"/>
    <n v="331"/>
    <x v="4"/>
    <n v="250.48780487804879"/>
    <n v="-0.2095423563777995"/>
    <x v="75"/>
    <n v="-4.8076923076923128E-2"/>
    <n v="-4.8076923076923128E-2"/>
    <n v="208"/>
    <d v="2022-09-09T00:00:00"/>
    <n v="332"/>
    <x v="0"/>
  </r>
  <r>
    <n v="978"/>
    <n v="236"/>
    <n v="363"/>
    <n v="4"/>
    <n v="1452"/>
    <x v="233"/>
    <x v="1"/>
    <n v="405"/>
    <x v="2"/>
    <n v="283.468085106383"/>
    <n v="0.28056743976581844"/>
    <x v="46"/>
    <n v="0.12860373092142452"/>
    <n v="0.12860373092142452"/>
    <n v="321.63636363636363"/>
    <d v="2022-08-25T00:00:00"/>
    <n v="370"/>
    <x v="3"/>
  </r>
  <r>
    <n v="979"/>
    <n v="195"/>
    <n v="103"/>
    <n v="1"/>
    <n v="103"/>
    <x v="32"/>
    <x v="7"/>
    <n v="42"/>
    <x v="16"/>
    <n v="300.31818181818181"/>
    <n v="-0.65703042227940056"/>
    <x v="51"/>
    <n v="-0.68897835933568197"/>
    <n v="-0.68897835933568197"/>
    <n v="331.16666666666669"/>
    <d v="2022-08-10T00:00:00"/>
    <n v="214"/>
    <x v="4"/>
  </r>
  <r>
    <n v="980"/>
    <n v="364"/>
    <n v="401"/>
    <n v="2"/>
    <n v="802"/>
    <x v="138"/>
    <x v="17"/>
    <n v="271"/>
    <x v="0"/>
    <n v="252.76271186440678"/>
    <n v="0.58646818212298002"/>
    <x v="45"/>
    <n v="0.36668003207698474"/>
    <n v="0.36668003207698474"/>
    <n v="293.41176470588238"/>
    <d v="2022-11-27T00:00:00"/>
    <n v="189"/>
    <x v="1"/>
  </r>
  <r>
    <n v="981"/>
    <n v="347"/>
    <n v="139"/>
    <n v="1"/>
    <n v="139"/>
    <x v="356"/>
    <x v="13"/>
    <n v="56"/>
    <x v="3"/>
    <n v="265.47674418604652"/>
    <n v="-0.47641364811002584"/>
    <x v="16"/>
    <n v="-0.49760672071896062"/>
    <n v="-0.49760672071896062"/>
    <n v="276.67567567567568"/>
    <d v="2022-04-11T00:00:00"/>
    <n v="656"/>
    <x v="4"/>
  </r>
  <r>
    <n v="982"/>
    <n v="149"/>
    <n v="468"/>
    <n v="1"/>
    <n v="468"/>
    <x v="288"/>
    <x v="2"/>
    <n v="427"/>
    <x v="17"/>
    <n v="267.85483870967744"/>
    <n v="0.74721502980670795"/>
    <x v="35"/>
    <n v="0.87006067781559859"/>
    <n v="0.87006067781559859"/>
    <n v="250.25925925925927"/>
    <d v="2022-09-30T00:00:00"/>
    <n v="543"/>
    <x v="2"/>
  </r>
  <r>
    <n v="983"/>
    <n v="384"/>
    <n v="100"/>
    <n v="4"/>
    <n v="400"/>
    <x v="356"/>
    <x v="3"/>
    <n v="323"/>
    <x v="0"/>
    <n v="252.76271186440678"/>
    <n v="-0.60437202440823445"/>
    <x v="11"/>
    <n v="-0.58379578246392905"/>
    <n v="-0.58379578246392905"/>
    <n v="240.26666666666668"/>
    <d v="2022-09-17T00:00:00"/>
    <n v="497"/>
    <x v="4"/>
  </r>
  <r>
    <n v="984"/>
    <n v="404"/>
    <n v="304"/>
    <n v="5"/>
    <n v="1520"/>
    <x v="370"/>
    <x v="3"/>
    <n v="17"/>
    <x v="9"/>
    <n v="263.25423728813558"/>
    <n v="0.15477723409734745"/>
    <x v="9"/>
    <n v="0.17928824422330902"/>
    <n v="0.17928824422330902"/>
    <n v="257.78260869565219"/>
    <d v="2022-11-12T00:00:00"/>
    <n v="411"/>
    <x v="4"/>
  </r>
  <r>
    <n v="985"/>
    <n v="469"/>
    <n v="357"/>
    <n v="4"/>
    <n v="1428"/>
    <x v="288"/>
    <x v="16"/>
    <n v="165"/>
    <x v="0"/>
    <n v="252.76271186440678"/>
    <n v="0.41239187286260304"/>
    <x v="11"/>
    <n v="0.48584905660377342"/>
    <n v="0.48584905660377342"/>
    <n v="240.26666666666668"/>
    <d v="2022-02-07T00:00:00"/>
    <n v="778"/>
    <x v="4"/>
  </r>
  <r>
    <n v="986"/>
    <n v="134"/>
    <n v="89"/>
    <n v="5"/>
    <n v="445"/>
    <x v="172"/>
    <x v="19"/>
    <n v="403"/>
    <x v="6"/>
    <n v="258.5128205128205"/>
    <n v="-0.65572307081928183"/>
    <x v="6"/>
    <n v="-0.6585420898217107"/>
    <n v="-0.6585420898217107"/>
    <n v="260.64705882352939"/>
    <d v="2022-02-02T00:00:00"/>
    <n v="389"/>
    <x v="2"/>
  </r>
  <r>
    <n v="987"/>
    <n v="361"/>
    <n v="283"/>
    <n v="5"/>
    <n v="1415"/>
    <x v="13"/>
    <x v="0"/>
    <n v="274"/>
    <x v="10"/>
    <n v="271.74545454545455"/>
    <n v="4.141576341496056E-2"/>
    <x v="12"/>
    <n v="0.32980910425844345"/>
    <n v="0.32980910425844345"/>
    <n v="212.8125"/>
    <d v="2022-02-15T00:00:00"/>
    <n v="526"/>
    <x v="2"/>
  </r>
  <r>
    <n v="988"/>
    <n v="110"/>
    <n v="280"/>
    <n v="3"/>
    <n v="840"/>
    <x v="329"/>
    <x v="9"/>
    <n v="61"/>
    <x v="3"/>
    <n v="265.47674418604652"/>
    <n v="5.4706320353904658E-2"/>
    <x v="16"/>
    <n v="1.2015238839503839E-2"/>
    <n v="1.2015238839503839E-2"/>
    <n v="276.67567567567568"/>
    <d v="2022-07-27T00:00:00"/>
    <n v="352"/>
    <x v="4"/>
  </r>
  <r>
    <n v="989"/>
    <n v="280"/>
    <n v="459"/>
    <n v="4"/>
    <n v="1836"/>
    <x v="434"/>
    <x v="11"/>
    <n v="262"/>
    <x v="11"/>
    <n v="262.63492063492066"/>
    <n v="0.74767315363229758"/>
    <x v="21"/>
    <n v="0.92273679311147316"/>
    <n v="0.92273679311147316"/>
    <n v="238.72222222222223"/>
    <d v="2022-08-05T00:00:00"/>
    <n v="495"/>
    <x v="4"/>
  </r>
  <r>
    <n v="990"/>
    <n v="43"/>
    <n v="244"/>
    <n v="4"/>
    <n v="976"/>
    <x v="221"/>
    <x v="14"/>
    <n v="323"/>
    <x v="2"/>
    <n v="283.468085106383"/>
    <n v="-0.13923290550176393"/>
    <x v="31"/>
    <n v="-0.24476190476190485"/>
    <n v="-0.24476190476190485"/>
    <n v="323.07692307692309"/>
    <d v="2022-09-17T00:00:00"/>
    <n v="571"/>
    <x v="4"/>
  </r>
  <r>
    <n v="991"/>
    <n v="434"/>
    <n v="299"/>
    <n v="2"/>
    <n v="598"/>
    <x v="389"/>
    <x v="15"/>
    <n v="481"/>
    <x v="11"/>
    <n v="262.63492063492066"/>
    <n v="0.13846246827027664"/>
    <x v="47"/>
    <n v="0.10332103321033204"/>
    <n v="0.10332103321033204"/>
    <n v="271"/>
    <d v="2022-07-14T00:00:00"/>
    <n v="388"/>
    <x v="1"/>
  </r>
  <r>
    <n v="992"/>
    <n v="183"/>
    <n v="73"/>
    <n v="5"/>
    <n v="365"/>
    <x v="321"/>
    <x v="13"/>
    <n v="478"/>
    <x v="17"/>
    <n v="267.85483870967744"/>
    <n v="-0.72746432227374003"/>
    <x v="35"/>
    <n v="-0.70830250110996007"/>
    <n v="-0.70830250110996007"/>
    <n v="250.25925925925927"/>
    <d v="2022-06-14T00:00:00"/>
    <n v="591"/>
    <x v="3"/>
  </r>
  <r>
    <n v="993"/>
    <n v="224"/>
    <n v="421"/>
    <n v="3"/>
    <n v="1263"/>
    <x v="411"/>
    <x v="11"/>
    <n v="497"/>
    <x v="14"/>
    <n v="273.72549019607845"/>
    <n v="0.53803724928366758"/>
    <x v="22"/>
    <n v="0.50229396771452839"/>
    <n v="0.50229396771452839"/>
    <n v="280.23809523809524"/>
    <d v="2022-09-22T00:00:00"/>
    <n v="267"/>
    <x v="0"/>
  </r>
  <r>
    <n v="994"/>
    <n v="235"/>
    <n v="345"/>
    <n v="3"/>
    <n v="1035"/>
    <x v="316"/>
    <x v="0"/>
    <n v="406"/>
    <x v="16"/>
    <n v="300.31818181818181"/>
    <n v="0.14878159527773582"/>
    <x v="57"/>
    <n v="8.970309538850274E-2"/>
    <n v="8.970309538850274E-2"/>
    <n v="316.60000000000002"/>
    <d v="2022-11-30T00:00:00"/>
    <n v="406"/>
    <x v="3"/>
  </r>
  <r>
    <n v="995"/>
    <n v="477"/>
    <n v="50"/>
    <n v="1"/>
    <n v="50"/>
    <x v="279"/>
    <x v="7"/>
    <n v="58"/>
    <x v="3"/>
    <n v="265.47674418604652"/>
    <n v="-0.81165958565108842"/>
    <x v="3"/>
    <n v="-0.78838295388207824"/>
    <n v="-0.78838295388207824"/>
    <n v="236.27586206896552"/>
    <d v="2022-03-08T00:00:00"/>
    <n v="517"/>
    <x v="1"/>
  </r>
  <r>
    <n v="996"/>
    <n v="242"/>
    <n v="441"/>
    <n v="1"/>
    <n v="441"/>
    <x v="59"/>
    <x v="17"/>
    <n v="312"/>
    <x v="4"/>
    <n v="250.48780487804879"/>
    <n v="0.76056475170399218"/>
    <x v="25"/>
    <n v="0.45150048402710552"/>
    <n v="0.45150048402710552"/>
    <n v="303.8235294117647"/>
    <d v="2022-11-21T00:00:00"/>
    <n v="48"/>
    <x v="2"/>
  </r>
  <r>
    <n v="997"/>
    <n v="423"/>
    <n v="187"/>
    <n v="5"/>
    <n v="935"/>
    <x v="319"/>
    <x v="0"/>
    <n v="136"/>
    <x v="14"/>
    <n v="273.72549019607845"/>
    <n v="-0.31683381088825224"/>
    <x v="22"/>
    <n v="-0.33271028037383177"/>
    <n v="-0.33271028037383177"/>
    <n v="280.23809523809524"/>
    <d v="2022-10-26T00:00:00"/>
    <n v="387"/>
    <x v="3"/>
  </r>
  <r>
    <n v="998"/>
    <n v="414"/>
    <n v="170"/>
    <n v="1"/>
    <n v="170"/>
    <x v="435"/>
    <x v="4"/>
    <n v="328"/>
    <x v="12"/>
    <n v="274.16279069767444"/>
    <n v="-0.37993044363389605"/>
    <x v="18"/>
    <n v="-0.32988420793298845"/>
    <n v="-0.32988420793298845"/>
    <n v="253.6875"/>
    <d v="2022-01-07T00:00:00"/>
    <n v="680"/>
    <x v="2"/>
  </r>
  <r>
    <n v="999"/>
    <n v="110"/>
    <n v="114"/>
    <n v="3"/>
    <n v="342"/>
    <x v="133"/>
    <x v="14"/>
    <n v="172"/>
    <x v="3"/>
    <n v="265.47674418604652"/>
    <n v="-0.57058385528448163"/>
    <x v="16"/>
    <n v="-0.58796522418677344"/>
    <n v="-0.58796522418677344"/>
    <n v="276.67567567567568"/>
    <d v="2022-06-25T00:00:00"/>
    <n v="253"/>
    <x v="2"/>
  </r>
  <r>
    <n v="1000"/>
    <n v="296"/>
    <n v="453"/>
    <n v="1"/>
    <n v="453"/>
    <x v="176"/>
    <x v="7"/>
    <n v="167"/>
    <x v="18"/>
    <n v="255.11627906976744"/>
    <n v="0.7756608933454876"/>
    <x v="34"/>
    <n v="0.80977258758451121"/>
    <n v="0.80977258758451121"/>
    <n v="250.30769230769232"/>
    <d v="2022-01-02T00:00:00"/>
    <n v="70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s v="Сила Денисович Гурьев"/>
    <x v="0"/>
  </r>
  <r>
    <s v="Лора Болеславовна Потапова"/>
    <x v="1"/>
  </r>
  <r>
    <s v="Зоя Егоровна Третьякова"/>
    <x v="2"/>
  </r>
  <r>
    <s v="Лапин Эрнест Антипович"/>
    <x v="3"/>
  </r>
  <r>
    <s v="Миронов Аверкий Зиновьевич"/>
    <x v="4"/>
  </r>
  <r>
    <s v="Анжелика Валериевна Рожкова"/>
    <x v="5"/>
  </r>
  <r>
    <s v="Никита Венедиктович Третьяков"/>
    <x v="6"/>
  </r>
  <r>
    <s v="Тимофеев Аполлинарий Фомич"/>
    <x v="7"/>
  </r>
  <r>
    <s v="Исакова Людмила Олеговна"/>
    <x v="8"/>
  </r>
  <r>
    <s v="Демид Антонович Мясников"/>
    <x v="9"/>
  </r>
  <r>
    <s v="Антонина Борисовна Жданова"/>
    <x v="10"/>
  </r>
  <r>
    <s v="Елизар Харлампьевич Мамонтов"/>
    <x v="11"/>
  </r>
  <r>
    <s v="Петрова Майя Богдановна"/>
    <x v="12"/>
  </r>
  <r>
    <s v="Овчинникова Зоя Вячеславовна"/>
    <x v="2"/>
  </r>
  <r>
    <s v="Меркушева Марина Наумовна"/>
    <x v="13"/>
  </r>
  <r>
    <s v="Якушева Светлана Даниловна"/>
    <x v="14"/>
  </r>
  <r>
    <s v="Алла Рудольфовна Сидорова"/>
    <x v="15"/>
  </r>
  <r>
    <s v="Вероника Евгеньевна Федосеева"/>
    <x v="16"/>
  </r>
  <r>
    <s v="Поляков Боян Андреевич"/>
    <x v="17"/>
  </r>
  <r>
    <s v="Федотов Радислав Антонович"/>
    <x v="18"/>
  </r>
  <r>
    <s v="Морозова Майя Борисовна"/>
    <x v="12"/>
  </r>
  <r>
    <s v="Галина Кирилловна Прохорова"/>
    <x v="19"/>
  </r>
  <r>
    <s v="Владилен Иосифович Третьяков"/>
    <x v="20"/>
  </r>
  <r>
    <s v="Евдокимов Януарий Феликсович"/>
    <x v="21"/>
  </r>
  <r>
    <s v="Фёкла Феликсовна Харитонова"/>
    <x v="22"/>
  </r>
  <r>
    <s v="Кириллов Валерьян Иосипович"/>
    <x v="23"/>
  </r>
  <r>
    <s v="Арсений Вилорович Лобанов"/>
    <x v="24"/>
  </r>
  <r>
    <s v="Зыкова Таисия Леонидовна"/>
    <x v="25"/>
  </r>
  <r>
    <s v="г-н Савельев Федосий Феоктистович"/>
    <x v="26"/>
  </r>
  <r>
    <s v="Зуев Гостомысл Игоревич"/>
    <x v="27"/>
  </r>
  <r>
    <s v="Виктория Наумовна Никитина"/>
    <x v="28"/>
  </r>
  <r>
    <s v="Рожкова Маргарита Артемовна"/>
    <x v="29"/>
  </r>
  <r>
    <s v="Бирюкова Агафья Артемовна"/>
    <x v="30"/>
  </r>
  <r>
    <s v="Устинов Евграф Исидорович"/>
    <x v="31"/>
  </r>
  <r>
    <s v="Николай Гавриилович Савин"/>
    <x v="32"/>
  </r>
  <r>
    <s v="Фёкла Натановна Дементьева"/>
    <x v="22"/>
  </r>
  <r>
    <s v="Клавдия Богдановна Ковалева"/>
    <x v="33"/>
  </r>
  <r>
    <s v="Лариса Степановна Гурьева"/>
    <x v="34"/>
  </r>
  <r>
    <s v="Мария Анатольевна Смирнова"/>
    <x v="35"/>
  </r>
  <r>
    <s v="Феврония Антоновна Кулагина"/>
    <x v="36"/>
  </r>
  <r>
    <s v="Владимиров Орест Артемьевич"/>
    <x v="37"/>
  </r>
  <r>
    <s v="Рубен Димитриевич Веселов"/>
    <x v="38"/>
  </r>
  <r>
    <s v="Ермаков Степан Егорович"/>
    <x v="39"/>
  </r>
  <r>
    <s v="Копылов Мартьян Августович"/>
    <x v="40"/>
  </r>
  <r>
    <s v="Елизавета Артемовна Данилова"/>
    <x v="41"/>
  </r>
  <r>
    <s v="Гостомысл Фомич Одинцов"/>
    <x v="27"/>
  </r>
  <r>
    <s v="Ермаков Всеслав Эдуардович"/>
    <x v="42"/>
  </r>
  <r>
    <s v="Алевтина Алексеевна Исакова"/>
    <x v="43"/>
  </r>
  <r>
    <s v="Мартынов Фома Гордеевич"/>
    <x v="44"/>
  </r>
  <r>
    <s v="Миронов Фома Вилорович"/>
    <x v="44"/>
  </r>
  <r>
    <s v="Галина Семеновна Петухова"/>
    <x v="19"/>
  </r>
  <r>
    <s v="Никодим Арсенович Потапов"/>
    <x v="45"/>
  </r>
  <r>
    <s v="Лариса Романовна Крюкова"/>
    <x v="34"/>
  </r>
  <r>
    <s v="Лидия Андреевна Крюкова"/>
    <x v="46"/>
  </r>
  <r>
    <s v="Агата Юрьевна Галкина"/>
    <x v="47"/>
  </r>
  <r>
    <s v="Герасимов Еремей Демидович"/>
    <x v="48"/>
  </r>
  <r>
    <s v="Юлия Вячеславовна Журавлева"/>
    <x v="49"/>
  </r>
  <r>
    <s v="Стрелков Геннадий Бориславович"/>
    <x v="50"/>
  </r>
  <r>
    <s v="Валентина Захаровна Боброва"/>
    <x v="51"/>
  </r>
  <r>
    <s v="Панова Евгения Викторовна"/>
    <x v="52"/>
  </r>
  <r>
    <s v="Иванна Наумовна Иванова"/>
    <x v="53"/>
  </r>
  <r>
    <s v="Ратибор Андреевич Маслов"/>
    <x v="54"/>
  </r>
  <r>
    <s v="Чеслав Бориславович Мамонтов"/>
    <x v="55"/>
  </r>
  <r>
    <s v="Гурьев Евсей Гертрудович"/>
    <x v="56"/>
  </r>
  <r>
    <s v="Лазарев Арефий Анатольевич"/>
    <x v="57"/>
  </r>
  <r>
    <s v="г-н Копылов Лаврентий Артемьевич"/>
    <x v="58"/>
  </r>
  <r>
    <s v="Гущин Ипполит Яковлевич"/>
    <x v="59"/>
  </r>
  <r>
    <s v="Тихонова Евфросиния Феликсовна"/>
    <x v="60"/>
  </r>
  <r>
    <s v="Марк Яковлевич Корнилов"/>
    <x v="61"/>
  </r>
  <r>
    <s v="Андрон Валерьевич Морозов"/>
    <x v="62"/>
  </r>
  <r>
    <s v="Савельев Климент Гурьевич"/>
    <x v="63"/>
  </r>
  <r>
    <s v="Герман Арсеньевич Калинин"/>
    <x v="64"/>
  </r>
  <r>
    <s v="Матвей Адамович Богданов"/>
    <x v="65"/>
  </r>
  <r>
    <s v="Елизавета Яковлевна Лапина"/>
    <x v="41"/>
  </r>
  <r>
    <s v="Федосеева Василиса Аскольдовна"/>
    <x v="66"/>
  </r>
  <r>
    <s v="Ираида Феликсовна Белоусова"/>
    <x v="67"/>
  </r>
  <r>
    <s v="Прасковья Яковлевна Белоусова"/>
    <x v="68"/>
  </r>
  <r>
    <s v="Елизар Архипович Щербаков"/>
    <x v="11"/>
  </r>
  <r>
    <s v="Эдуард Фадеевич Сергеев"/>
    <x v="69"/>
  </r>
  <r>
    <s v="Шестакова Элеонора Дмитриевна"/>
    <x v="70"/>
  </r>
  <r>
    <s v="Любомир Валерианович Туров"/>
    <x v="71"/>
  </r>
  <r>
    <s v="Маркова Ксения Максимовна"/>
    <x v="72"/>
  </r>
  <r>
    <s v="Калинин Никита Артурович"/>
    <x v="6"/>
  </r>
  <r>
    <s v="Прасковья Петровна Дементьева"/>
    <x v="68"/>
  </r>
  <r>
    <s v="Копылова Эмилия Тарасовна"/>
    <x v="73"/>
  </r>
  <r>
    <s v="Маслов Захар Феофанович"/>
    <x v="74"/>
  </r>
  <r>
    <s v="Марфа Георгиевна Титова"/>
    <x v="75"/>
  </r>
  <r>
    <s v="Феврония Юрьевна Шубина"/>
    <x v="36"/>
  </r>
  <r>
    <s v="Максим Анатольевич Семенов"/>
    <x v="76"/>
  </r>
  <r>
    <s v="Гордей Матвеевич Медведев"/>
    <x v="77"/>
  </r>
  <r>
    <s v="Горшкова Клавдия Борисовна"/>
    <x v="33"/>
  </r>
  <r>
    <s v="Абрамов Амвросий Богданович"/>
    <x v="78"/>
  </r>
  <r>
    <s v="Евдокия Эдуардовна Соловьева"/>
    <x v="79"/>
  </r>
  <r>
    <s v="Никодим Игоревич Бобров"/>
    <x v="45"/>
  </r>
  <r>
    <s v="Лонгин Арсенович Никонов"/>
    <x v="80"/>
  </r>
  <r>
    <s v="Капустина Тамара Валериевна"/>
    <x v="81"/>
  </r>
  <r>
    <s v="Дементий Антипович Мухин"/>
    <x v="82"/>
  </r>
  <r>
    <s v="Регина Сергеевна Ефимова"/>
    <x v="83"/>
  </r>
  <r>
    <s v="Пестов Измаил Глебович"/>
    <x v="84"/>
  </r>
  <r>
    <s v="Виктор Жанович Никифоров"/>
    <x v="85"/>
  </r>
  <r>
    <s v="Ефремов Епифан Ильич"/>
    <x v="86"/>
  </r>
  <r>
    <s v="Федотова Ангелина Максимовна"/>
    <x v="87"/>
  </r>
  <r>
    <s v="Николаева Зинаида Ивановна"/>
    <x v="88"/>
  </r>
  <r>
    <s v="Трофимова Василиса Матвеевна"/>
    <x v="66"/>
  </r>
  <r>
    <s v="Белозеров Лука Харлампьевич"/>
    <x v="89"/>
  </r>
  <r>
    <s v="Королев Феофан Бориславович"/>
    <x v="90"/>
  </r>
  <r>
    <s v="Мария Кузьминична Борисова"/>
    <x v="35"/>
  </r>
  <r>
    <s v="Спиридон Чеславович Абрамов"/>
    <x v="91"/>
  </r>
  <r>
    <s v="Русаков Лев Тимурович"/>
    <x v="92"/>
  </r>
  <r>
    <s v="Федорова Жанна Вадимовна"/>
    <x v="93"/>
  </r>
  <r>
    <s v="Сорокина Феврония Геннадьевна"/>
    <x v="36"/>
  </r>
  <r>
    <s v="Анжела Ивановна Григорьева"/>
    <x v="94"/>
  </r>
  <r>
    <s v="Суханова Алла Эльдаровна"/>
    <x v="15"/>
  </r>
  <r>
    <s v="Валерьян Федосеевич Цветков"/>
    <x v="23"/>
  </r>
  <r>
    <s v="Любомир Архипович Пономарев"/>
    <x v="71"/>
  </r>
  <r>
    <s v="Маслова Иванна Макаровна"/>
    <x v="53"/>
  </r>
  <r>
    <s v="Артемьева София Ильинична"/>
    <x v="95"/>
  </r>
  <r>
    <s v="Кононова Прасковья Павловна"/>
    <x v="68"/>
  </r>
  <r>
    <s v="Алла Геннадьевна Фомина"/>
    <x v="15"/>
  </r>
  <r>
    <s v="Амвросий Артемьевич Гаврилов"/>
    <x v="78"/>
  </r>
  <r>
    <s v="Пономарев Творимир Демидович"/>
    <x v="96"/>
  </r>
  <r>
    <s v="Лыткина Ираида Александровна"/>
    <x v="67"/>
  </r>
  <r>
    <s v="Баранова Раиса Эльдаровна"/>
    <x v="97"/>
  </r>
  <r>
    <s v="Бобылева Анна Мироновна"/>
    <x v="98"/>
  </r>
  <r>
    <s v="г-жа Воробьева Иванна Юрьевна"/>
    <x v="99"/>
  </r>
  <r>
    <s v="Лаврентьева Вера Владиславовна"/>
    <x v="100"/>
  </r>
  <r>
    <s v="Белоусова Жанна Кузьминична"/>
    <x v="93"/>
  </r>
  <r>
    <s v="Юлия Леоновна Наумова"/>
    <x v="49"/>
  </r>
  <r>
    <s v="Виноградов Карл Алексеевич"/>
    <x v="101"/>
  </r>
  <r>
    <s v="Феофан Гурьевич Дорофеев"/>
    <x v="90"/>
  </r>
  <r>
    <s v="Алина Михайловна Шестакова"/>
    <x v="102"/>
  </r>
  <r>
    <s v="Ильина Милица Захаровна"/>
    <x v="103"/>
  </r>
  <r>
    <s v="Эмилия Олеговна Калинина"/>
    <x v="73"/>
  </r>
  <r>
    <s v="Бобылев Никодим Виленович"/>
    <x v="45"/>
  </r>
  <r>
    <s v="Блинов Натан Всеволодович"/>
    <x v="104"/>
  </r>
  <r>
    <s v="Анна Альбертовна Никифорова"/>
    <x v="98"/>
  </r>
  <r>
    <s v="Самойлова Жанна Семеновна"/>
    <x v="93"/>
  </r>
  <r>
    <s v="Белов Симон Иосипович"/>
    <x v="105"/>
  </r>
  <r>
    <s v="Самсонов Борислав Фролович"/>
    <x v="106"/>
  </r>
  <r>
    <s v="Сысоева Светлана Захаровна"/>
    <x v="14"/>
  </r>
  <r>
    <s v="Большаков Антип Тихонович"/>
    <x v="107"/>
  </r>
  <r>
    <s v="Юлия Кузьминична Капустина"/>
    <x v="49"/>
  </r>
  <r>
    <s v="Алевтина Архиповна Ефимова"/>
    <x v="43"/>
  </r>
  <r>
    <s v="Вероника Руслановна Ефремова"/>
    <x v="16"/>
  </r>
  <r>
    <s v="Мирон Давидович Горбачев"/>
    <x v="108"/>
  </r>
  <r>
    <s v="Пелагея Антоновна Цветкова"/>
    <x v="109"/>
  </r>
  <r>
    <s v="Давыдов Амос Владиславович"/>
    <x v="110"/>
  </r>
  <r>
    <s v="Анастасия Игоревна Белова"/>
    <x v="111"/>
  </r>
  <r>
    <s v="Николай Феоктистович Дроздов"/>
    <x v="32"/>
  </r>
  <r>
    <s v="Станислав Ильясович Ширяев"/>
    <x v="112"/>
  </r>
  <r>
    <s v="Гаврилов Матвей Трифонович"/>
    <x v="65"/>
  </r>
  <r>
    <s v="Екатерина Рудольфовна Кулакова"/>
    <x v="113"/>
  </r>
  <r>
    <s v="Моисеев Евстафий Чеславович"/>
    <x v="114"/>
  </r>
  <r>
    <s v="Фаина Аркадьевна Веселова"/>
    <x v="115"/>
  </r>
  <r>
    <s v="Эммануил Валерьевич Королев"/>
    <x v="116"/>
  </r>
  <r>
    <s v="Титова Ксения Дмитриевна"/>
    <x v="72"/>
  </r>
  <r>
    <s v="Тихонова Ираида Ефимовна"/>
    <x v="67"/>
  </r>
  <r>
    <s v="Константинов Милован Денисович"/>
    <x v="117"/>
  </r>
  <r>
    <s v="Воробьева Анжела Аскольдовна"/>
    <x v="94"/>
  </r>
  <r>
    <s v="Новикова Лидия Павловна"/>
    <x v="46"/>
  </r>
  <r>
    <s v="Алексеев Касьян Ефимович"/>
    <x v="118"/>
  </r>
  <r>
    <s v="Иванов Христофор Ильясович"/>
    <x v="119"/>
  </r>
  <r>
    <s v="Самойлова Татьяна Эльдаровна"/>
    <x v="120"/>
  </r>
  <r>
    <s v="Карп Афанасьевич Фомичев"/>
    <x v="121"/>
  </r>
  <r>
    <s v="Кондратьева Валентина Львовна"/>
    <x v="51"/>
  </r>
  <r>
    <s v="Бажен Дмитриевич Исаков"/>
    <x v="122"/>
  </r>
  <r>
    <s v="Ладимир Гурьевич Егоров"/>
    <x v="123"/>
  </r>
  <r>
    <s v="Эммануил Ааронович Кошелев"/>
    <x v="116"/>
  </r>
  <r>
    <s v="Жуков Никифор Фомич"/>
    <x v="124"/>
  </r>
  <r>
    <s v="Дорофеев Тимур Валерьянович"/>
    <x v="125"/>
  </r>
  <r>
    <s v="тов. Копылова Жанна Архиповна"/>
    <x v="126"/>
  </r>
  <r>
    <s v="Князева Акулина Алексеевна"/>
    <x v="127"/>
  </r>
  <r>
    <s v="Соловьев Родион Данилович"/>
    <x v="128"/>
  </r>
  <r>
    <s v="Прокл Тимурович Александров"/>
    <x v="129"/>
  </r>
  <r>
    <s v="Тимофеева Анастасия Натановна"/>
    <x v="111"/>
  </r>
  <r>
    <s v="Маслов Сократ Анатольевич"/>
    <x v="130"/>
  </r>
  <r>
    <s v="Сазонова Оксана Александровна"/>
    <x v="131"/>
  </r>
  <r>
    <s v="Филимон Ефимьевич Беляков"/>
    <x v="132"/>
  </r>
  <r>
    <s v="Алевтина Михайловна Зыкова"/>
    <x v="43"/>
  </r>
  <r>
    <s v="Юрий Августович Исаков"/>
    <x v="133"/>
  </r>
  <r>
    <s v="Шарова Екатерина Леоновна"/>
    <x v="113"/>
  </r>
  <r>
    <s v="Ия Робертовна Белова"/>
    <x v="134"/>
  </r>
  <r>
    <s v="Костина Жанна Рубеновна"/>
    <x v="93"/>
  </r>
  <r>
    <s v="Устинов Милан Архипович"/>
    <x v="135"/>
  </r>
  <r>
    <s v="Давыд Фёдорович Белоусов"/>
    <x v="136"/>
  </r>
  <r>
    <s v="Журавлева Александра Валентиновна"/>
    <x v="137"/>
  </r>
  <r>
    <s v="Потап Егорович Лапин"/>
    <x v="138"/>
  </r>
  <r>
    <s v="Гурьева Людмила Владимировна"/>
    <x v="8"/>
  </r>
  <r>
    <s v="Елена Эдуардовна Кудряшова"/>
    <x v="139"/>
  </r>
  <r>
    <s v="Евпраксия Федоровна Фомина"/>
    <x v="140"/>
  </r>
  <r>
    <s v="Синклитикия Никифоровна Овчинникова"/>
    <x v="141"/>
  </r>
  <r>
    <s v="Эмилия Вадимовна Александрова"/>
    <x v="73"/>
  </r>
  <r>
    <s v="Валентина Кирилловна Семенова"/>
    <x v="51"/>
  </r>
  <r>
    <s v="Маслова Анастасия Станиславовна"/>
    <x v="111"/>
  </r>
  <r>
    <s v="Михеев Андроник Ефимьевич"/>
    <x v="142"/>
  </r>
  <r>
    <s v="Никитина Лора Георгиевна"/>
    <x v="1"/>
  </r>
  <r>
    <s v="Горбунова Алевтина Максимовна"/>
    <x v="43"/>
  </r>
  <r>
    <s v="г-жа Миронова Клавдия Феликсовна"/>
    <x v="143"/>
  </r>
  <r>
    <s v="Октябрина Павловна Зимина"/>
    <x v="144"/>
  </r>
  <r>
    <s v="Васильева Анжелика Наумовна"/>
    <x v="5"/>
  </r>
  <r>
    <s v="г-н Зуев Трифон Зиновьевич"/>
    <x v="145"/>
  </r>
  <r>
    <s v="Ипат Дмитриевич Панов"/>
    <x v="146"/>
  </r>
  <r>
    <s v="Ольга Аскольдовна Данилова"/>
    <x v="147"/>
  </r>
  <r>
    <s v="Фадей Ефимович Калинин"/>
    <x v="148"/>
  </r>
  <r>
    <s v="Вера Георгиевна Некрасова"/>
    <x v="100"/>
  </r>
  <r>
    <s v="Зоя Кирилловна Брагина"/>
    <x v="2"/>
  </r>
  <r>
    <s v="Нинель Натановна Лазарева"/>
    <x v="149"/>
  </r>
  <r>
    <s v="Регина Кирилловна Нестерова"/>
    <x v="83"/>
  </r>
  <r>
    <s v="Фрол Авдеевич Фадеев"/>
    <x v="150"/>
  </r>
  <r>
    <s v="Филиппов Павел Игнатович"/>
    <x v="151"/>
  </r>
  <r>
    <s v="Таисия Богдановна Якушева"/>
    <x v="25"/>
  </r>
  <r>
    <s v="Максимова Евпраксия Ждановна"/>
    <x v="140"/>
  </r>
  <r>
    <s v="Маслова Агафья Юрьевна"/>
    <x v="30"/>
  </r>
  <r>
    <s v="Флорентин Демьянович Родионов"/>
    <x v="152"/>
  </r>
  <r>
    <s v="Ирина Анатольевна Васильева"/>
    <x v="153"/>
  </r>
  <r>
    <s v="Никита Виленович Степанов"/>
    <x v="6"/>
  </r>
  <r>
    <s v="Юлия Геннадиевна Белякова"/>
    <x v="49"/>
  </r>
  <r>
    <s v="Лазарев Аникей Венедиктович"/>
    <x v="154"/>
  </r>
  <r>
    <s v="Кира Степановна Рогова"/>
    <x v="155"/>
  </r>
  <r>
    <s v="Михей Феликсович Лихачев"/>
    <x v="156"/>
  </r>
  <r>
    <s v="Поляков Силантий Адамович"/>
    <x v="157"/>
  </r>
  <r>
    <s v="Нинель Кузьминична Журавлева"/>
    <x v="149"/>
  </r>
  <r>
    <s v="Наталья Геннадьевна Колесникова"/>
    <x v="158"/>
  </r>
  <r>
    <s v="Захар Артемьевич Воробьев"/>
    <x v="74"/>
  </r>
  <r>
    <s v="Лаврентьева Маргарита Артемовна"/>
    <x v="29"/>
  </r>
  <r>
    <s v="Кононова Элеонора Юрьевна"/>
    <x v="70"/>
  </r>
  <r>
    <s v="Любовь Богдановна Новикова"/>
    <x v="159"/>
  </r>
  <r>
    <s v="Александра Геннадиевна Филатова"/>
    <x v="137"/>
  </r>
  <r>
    <s v="Агата Олеговна Мартынова"/>
    <x v="47"/>
  </r>
  <r>
    <s v="Эмилия Болеславовна Цветкова"/>
    <x v="73"/>
  </r>
  <r>
    <s v="Авдеев Олимпий Жанович"/>
    <x v="160"/>
  </r>
  <r>
    <s v="Август Вячеславович Брагин"/>
    <x v="161"/>
  </r>
  <r>
    <s v="Полина Николаевна Евдокимова"/>
    <x v="162"/>
  </r>
  <r>
    <s v="Ратибор Арсеньевич Петров"/>
    <x v="54"/>
  </r>
  <r>
    <s v="Лукин Харлампий Игнатович"/>
    <x v="163"/>
  </r>
  <r>
    <s v="Ия Никифоровна Лапина"/>
    <x v="134"/>
  </r>
  <r>
    <s v="Агата Геннадьевна Колесникова"/>
    <x v="47"/>
  </r>
  <r>
    <s v="Капитон Феликсович Кабанов"/>
    <x v="164"/>
  </r>
  <r>
    <s v="Лыткина Вера Ждановна"/>
    <x v="100"/>
  </r>
  <r>
    <s v="Абрамова Елизавета Эдуардовна"/>
    <x v="41"/>
  </r>
  <r>
    <s v="Назар Августович Назаров"/>
    <x v="165"/>
  </r>
  <r>
    <s v="Брагин Любомир Гертрудович"/>
    <x v="71"/>
  </r>
  <r>
    <s v="Маргарита Ждановна Зуева"/>
    <x v="29"/>
  </r>
  <r>
    <s v="Авдей Брониславович Владимиров"/>
    <x v="166"/>
  </r>
  <r>
    <s v="Родионова Евпраксия Олеговна"/>
    <x v="140"/>
  </r>
  <r>
    <s v="Евфросиния Петровна Чернова"/>
    <x v="60"/>
  </r>
  <r>
    <s v="Любовь Альбертовна Одинцова"/>
    <x v="159"/>
  </r>
  <r>
    <s v="Спиридон Владленович Воронцов"/>
    <x v="91"/>
  </r>
  <r>
    <s v="Конон Валентинович Владимиров"/>
    <x v="167"/>
  </r>
  <r>
    <s v="Елисей Игнатович Лобанов"/>
    <x v="168"/>
  </r>
  <r>
    <s v="Муравьева Алла Петровна"/>
    <x v="15"/>
  </r>
  <r>
    <s v="Фокин Глеб Елизарович"/>
    <x v="169"/>
  </r>
  <r>
    <s v="Велимир Игоревич Макаров"/>
    <x v="170"/>
  </r>
  <r>
    <s v="Константин Ефимьевич Колесников"/>
    <x v="171"/>
  </r>
  <r>
    <s v="Дмитрий Трифонович Денисов"/>
    <x v="172"/>
  </r>
  <r>
    <s v="Ираида Егоровна Родионова"/>
    <x v="67"/>
  </r>
  <r>
    <s v="Галактион Жанович Новиков"/>
    <x v="173"/>
  </r>
  <r>
    <s v="Кошелева Марина Рудольфовна"/>
    <x v="13"/>
  </r>
  <r>
    <s v="Зоя Вячеславовна Панова"/>
    <x v="2"/>
  </r>
  <r>
    <s v="Орехова Кира Натановна"/>
    <x v="155"/>
  </r>
  <r>
    <s v="Журавлев Аристарх Евсеевич"/>
    <x v="174"/>
  </r>
  <r>
    <s v="Радислав Герасимович Колобов"/>
    <x v="18"/>
  </r>
  <r>
    <s v="Аггей Валентинович Артемьев"/>
    <x v="175"/>
  </r>
  <r>
    <s v="Виктория Ильинична Соколова"/>
    <x v="28"/>
  </r>
  <r>
    <s v="Харлампий Демьянович Алексеев"/>
    <x v="163"/>
  </r>
  <r>
    <s v="Кириллова Пелагея Юльевна"/>
    <x v="109"/>
  </r>
  <r>
    <s v="Творимир Артурович Гришин"/>
    <x v="96"/>
  </r>
  <r>
    <s v="Игнатова Вера Вячеславовна"/>
    <x v="100"/>
  </r>
  <r>
    <s v="Михайлова Лора Наумовна"/>
    <x v="1"/>
  </r>
  <r>
    <s v="Светлана Семеновна Николаева"/>
    <x v="14"/>
  </r>
  <r>
    <s v="Амос Гордеевич Евсеев"/>
    <x v="110"/>
  </r>
  <r>
    <s v="Любовь Георгиевна Мамонтова"/>
    <x v="159"/>
  </r>
  <r>
    <s v="Филимон Федотович Иванов"/>
    <x v="132"/>
  </r>
  <r>
    <s v="Сорокина Феврония Натановна"/>
    <x v="36"/>
  </r>
  <r>
    <s v="Чеслав Виленович Шестаков"/>
    <x v="55"/>
  </r>
  <r>
    <s v="Эмилия Руслановна Шарапова"/>
    <x v="73"/>
  </r>
  <r>
    <s v="Ипатий Устинович Зимин"/>
    <x v="176"/>
  </r>
  <r>
    <s v="Виктор Марсович Игнатов"/>
    <x v="85"/>
  </r>
  <r>
    <s v="Раиса Станиславовна Чернова"/>
    <x v="97"/>
  </r>
  <r>
    <s v="Зайцев Ефрем Даниилович"/>
    <x v="177"/>
  </r>
  <r>
    <s v="Глафира Николаевна Мельникова"/>
    <x v="178"/>
  </r>
  <r>
    <s v="Кир Васильевич Горбунов"/>
    <x v="179"/>
  </r>
  <r>
    <s v="Валерия Семеновна Потапова"/>
    <x v="180"/>
  </r>
  <r>
    <s v="Цветков Лука Витальевич"/>
    <x v="89"/>
  </r>
  <r>
    <s v="Лукин Борис Власович"/>
    <x v="181"/>
  </r>
  <r>
    <s v="Никонов Софон Авдеевич"/>
    <x v="182"/>
  </r>
  <r>
    <s v="Гуляева Раиса Кузьминична"/>
    <x v="97"/>
  </r>
  <r>
    <s v="Максимова Елена Валериевна"/>
    <x v="139"/>
  </r>
  <r>
    <s v="Анастасия Альбертовна Фролова"/>
    <x v="111"/>
  </r>
  <r>
    <s v="Шубин Орест Августович"/>
    <x v="37"/>
  </r>
  <r>
    <s v="Любовь Павловна Капустина"/>
    <x v="159"/>
  </r>
  <r>
    <s v="Ираклий Изотович Авдеев"/>
    <x v="183"/>
  </r>
  <r>
    <s v="Татьяна Павловна Павлова"/>
    <x v="120"/>
  </r>
  <r>
    <s v="Герасимов Родион Харитонович"/>
    <x v="128"/>
  </r>
  <r>
    <s v="Алевтина Ефимовна Белякова"/>
    <x v="43"/>
  </r>
  <r>
    <s v="Лука Игнатьевич Власов"/>
    <x v="89"/>
  </r>
  <r>
    <s v="Силина Татьяна Аркадьевна"/>
    <x v="120"/>
  </r>
  <r>
    <s v="Мартын Августович Баранов"/>
    <x v="184"/>
  </r>
  <r>
    <s v="Давыд Филатович Мухин"/>
    <x v="136"/>
  </r>
  <r>
    <s v="Рогов Сила Гордеевич"/>
    <x v="0"/>
  </r>
  <r>
    <s v="Измаил Глебович Зыков"/>
    <x v="84"/>
  </r>
  <r>
    <s v="Жанна Станиславовна Семенова"/>
    <x v="93"/>
  </r>
  <r>
    <s v="Соколова Кира Дмитриевна"/>
    <x v="155"/>
  </r>
  <r>
    <s v="Нестерова Таисия Яковлевна"/>
    <x v="25"/>
  </r>
  <r>
    <s v="Кудряшов Влас Алексеевич"/>
    <x v="185"/>
  </r>
  <r>
    <s v="Любомир Ермолаевич Стрелков"/>
    <x v="71"/>
  </r>
  <r>
    <s v="Еремей Бориславович Воронов"/>
    <x v="48"/>
  </r>
  <r>
    <s v="Корнилов Леон Иосипович"/>
    <x v="186"/>
  </r>
  <r>
    <s v="Якуб Филатович Молчанов"/>
    <x v="187"/>
  </r>
  <r>
    <s v="Носкова Вера Федоровна"/>
    <x v="100"/>
  </r>
  <r>
    <s v="Мефодий Филиппович Воробьев"/>
    <x v="188"/>
  </r>
  <r>
    <s v="Гурьев Влас Юлианович"/>
    <x v="185"/>
  </r>
  <r>
    <s v="Бирюков Олимпий Иосифович"/>
    <x v="160"/>
  </r>
  <r>
    <s v="Майя Вадимовна Рябова"/>
    <x v="12"/>
  </r>
  <r>
    <s v="Элеонора Ивановна Королева"/>
    <x v="70"/>
  </r>
  <r>
    <s v="Филиппова Юлия Леоновна"/>
    <x v="49"/>
  </r>
  <r>
    <s v="Горшкова Василиса Святославовна"/>
    <x v="66"/>
  </r>
  <r>
    <s v="Панфил Федотович Шаров"/>
    <x v="189"/>
  </r>
  <r>
    <s v="Сократ Юльевич Афанасьев"/>
    <x v="130"/>
  </r>
  <r>
    <s v="Аггей Терентьевич Волков"/>
    <x v="175"/>
  </r>
  <r>
    <s v="Силин Антип Ильясович"/>
    <x v="107"/>
  </r>
  <r>
    <s v="Никитин Светозар Харлампьевич"/>
    <x v="190"/>
  </r>
  <r>
    <s v="Якушев Мина Гавриилович"/>
    <x v="191"/>
  </r>
  <r>
    <s v="Брагина Полина Евгеньевна"/>
    <x v="162"/>
  </r>
  <r>
    <s v="Автоном Терентьевич Филиппов"/>
    <x v="192"/>
  </r>
  <r>
    <s v="Суханов Станислав Архипович"/>
    <x v="112"/>
  </r>
  <r>
    <s v="Агап Валерьевич Логинов"/>
    <x v="193"/>
  </r>
  <r>
    <s v="Нестеров Чеслав Аверьянович"/>
    <x v="55"/>
  </r>
  <r>
    <s v="Назарова Ия Ивановна"/>
    <x v="134"/>
  </r>
  <r>
    <s v="Сорокина Марфа Викторовна"/>
    <x v="75"/>
  </r>
  <r>
    <s v="Евфросиния Тимофеевна Миронова"/>
    <x v="60"/>
  </r>
  <r>
    <s v="Любим Зиновьевич Брагин"/>
    <x v="194"/>
  </r>
  <r>
    <s v="Ермакова Дарья Алексеевна"/>
    <x v="195"/>
  </r>
  <r>
    <s v="Фомичев Ипполит Артурович"/>
    <x v="59"/>
  </r>
  <r>
    <s v="Морозова Феврония Николаевна"/>
    <x v="36"/>
  </r>
  <r>
    <s v="Корнил Адрианович Комиссаров"/>
    <x v="196"/>
  </r>
  <r>
    <s v="Вадим Артёмович Анисимов"/>
    <x v="197"/>
  </r>
  <r>
    <s v="Щукина Элеонора Робертовна"/>
    <x v="70"/>
  </r>
  <r>
    <s v="Алевтина Егоровна Кузнецова"/>
    <x v="43"/>
  </r>
  <r>
    <s v="Григорьев Сократ Ануфриевич"/>
    <x v="130"/>
  </r>
  <r>
    <s v="Стрелкова Наина Эдуардовна"/>
    <x v="198"/>
  </r>
  <r>
    <s v="Любосмысл Тихонович Веселов"/>
    <x v="199"/>
  </r>
  <r>
    <s v="Осипов Светозар Ефремович"/>
    <x v="190"/>
  </r>
  <r>
    <s v="Кудрявцев Демид Ерофеевич"/>
    <x v="9"/>
  </r>
  <r>
    <s v="Кудрявцева Ульяна Филипповна"/>
    <x v="200"/>
  </r>
  <r>
    <s v="Полякова Анжела Аскольдовна"/>
    <x v="94"/>
  </r>
  <r>
    <s v="Абрамова Евдокия Егоровна"/>
    <x v="79"/>
  </r>
  <r>
    <s v="Регина Сергеевна Чернова"/>
    <x v="83"/>
  </r>
  <r>
    <s v="Татьяна Михайловна Новикова"/>
    <x v="120"/>
  </r>
  <r>
    <s v="Медведева Алина Алексеевна"/>
    <x v="102"/>
  </r>
  <r>
    <s v="Лазарев Софон Якубович"/>
    <x v="182"/>
  </r>
  <r>
    <s v="Ермаков Вадим Юлианович"/>
    <x v="197"/>
  </r>
  <r>
    <s v="Носкова Ольга Ждановна"/>
    <x v="147"/>
  </r>
  <r>
    <s v="Васильев Милован Георгиевич"/>
    <x v="117"/>
  </r>
  <r>
    <s v="тов. Степанова Синклитикия Александровна"/>
    <x v="201"/>
  </r>
  <r>
    <s v="Любовь Романовна Данилова"/>
    <x v="159"/>
  </r>
  <r>
    <s v="Иванна Захаровна Сергеева"/>
    <x v="53"/>
  </r>
  <r>
    <s v="Волкова Валентина Николаевна"/>
    <x v="51"/>
  </r>
  <r>
    <s v="Александр Архипович Гущин"/>
    <x v="202"/>
  </r>
  <r>
    <s v="Маркова Василиса Юрьевна"/>
    <x v="66"/>
  </r>
  <r>
    <s v="Владимирова Алина Феликсовна"/>
    <x v="102"/>
  </r>
  <r>
    <s v="Ермаков Ярослав Тихонович"/>
    <x v="203"/>
  </r>
  <r>
    <s v="Вероника Геннадьевна Воронова"/>
    <x v="16"/>
  </r>
  <r>
    <s v="Евсеев Ратмир Артемьевич"/>
    <x v="204"/>
  </r>
  <r>
    <s v="Кузнецов Севастьян Валерьевич"/>
    <x v="205"/>
  </r>
  <r>
    <s v="Олимпиада Львовна Михайлова"/>
    <x v="206"/>
  </r>
  <r>
    <s v="Дьячков Серафим Дорофеевич"/>
    <x v="207"/>
  </r>
  <r>
    <s v="Сергеев Панкратий Теймуразович"/>
    <x v="208"/>
  </r>
  <r>
    <s v="Пахом Даниилович Кузьмин"/>
    <x v="209"/>
  </r>
  <r>
    <s v="Дарья Степановна Потапова"/>
    <x v="195"/>
  </r>
  <r>
    <s v="Евдокия Ефимовна Карпова"/>
    <x v="79"/>
  </r>
  <r>
    <s v="Григорьева Ульяна Артемовна"/>
    <x v="200"/>
  </r>
  <r>
    <s v="Леон Аверьянович Захаров"/>
    <x v="186"/>
  </r>
  <r>
    <s v="Фомичева Феврония Даниловна"/>
    <x v="36"/>
  </r>
  <r>
    <s v="Русакова Полина Михайловна"/>
    <x v="162"/>
  </r>
  <r>
    <s v="Марфа Архиповна Белоусова"/>
    <x v="75"/>
  </r>
  <r>
    <s v="Одинцов Анисим Евсеевич"/>
    <x v="210"/>
  </r>
  <r>
    <s v="Феликс Ааронович Яковлев"/>
    <x v="211"/>
  </r>
  <r>
    <s v="Емельянов Игорь Андреевич"/>
    <x v="212"/>
  </r>
  <r>
    <s v="Людмила Борисовна Иванова"/>
    <x v="8"/>
  </r>
  <r>
    <s v="Александра Матвеевна Артемьева"/>
    <x v="137"/>
  </r>
  <r>
    <s v="Калинина Ирина Филипповна"/>
    <x v="153"/>
  </r>
  <r>
    <s v="Лукия Ефимовна Тимофеева"/>
    <x v="213"/>
  </r>
  <r>
    <s v="Сидор Вячеславович Зиновьев"/>
    <x v="214"/>
  </r>
  <r>
    <s v="Александра Владиславовна Беляева"/>
    <x v="137"/>
  </r>
  <r>
    <s v="Кудряшова Василиса Болеславовна"/>
    <x v="66"/>
  </r>
  <r>
    <s v="Анжела Филипповна Новикова"/>
    <x v="94"/>
  </r>
  <r>
    <s v="Бурова Марфа Игоревна"/>
    <x v="75"/>
  </r>
  <r>
    <s v="Жданов Аверьян Валерьевич"/>
    <x v="215"/>
  </r>
  <r>
    <s v="Василиса Леоновна Назарова"/>
    <x v="66"/>
  </r>
  <r>
    <s v="Авдеев Филипп Елисеевич"/>
    <x v="216"/>
  </r>
  <r>
    <s v="Русаков Модест Захарьевич"/>
    <x v="217"/>
  </r>
  <r>
    <s v="Абрамов Адриан Фролович"/>
    <x v="218"/>
  </r>
  <r>
    <s v="Никифоров Богдан Харитонович"/>
    <x v="219"/>
  </r>
  <r>
    <s v="Клавдия Константиновна Хохлова"/>
    <x v="33"/>
  </r>
  <r>
    <s v="Фомина Антонина Павловна"/>
    <x v="10"/>
  </r>
  <r>
    <s v="Савватий Богданович Фролов"/>
    <x v="220"/>
  </r>
  <r>
    <s v="Назаров Пантелеймон Трофимович"/>
    <x v="221"/>
  </r>
  <r>
    <s v="Арсений Ермолаевич Емельянов"/>
    <x v="24"/>
  </r>
  <r>
    <s v="Куликова Евгения Григорьевна"/>
    <x v="52"/>
  </r>
  <r>
    <s v="Лавр Харлампович Беляков"/>
    <x v="222"/>
  </r>
  <r>
    <s v="Новикова Ия Рубеновна"/>
    <x v="134"/>
  </r>
  <r>
    <s v="Новиков Ростислав Августович"/>
    <x v="223"/>
  </r>
  <r>
    <s v="Марфа Эдуардовна Макарова"/>
    <x v="75"/>
  </r>
  <r>
    <s v="Ирина Макаровна Шарова"/>
    <x v="153"/>
  </r>
  <r>
    <s v="Эммануил Филимонович Захаров"/>
    <x v="116"/>
  </r>
  <r>
    <s v="Волков Викентий Герасимович"/>
    <x v="224"/>
  </r>
  <r>
    <s v="Афанасьев Кузьма Исидорович"/>
    <x v="225"/>
  </r>
  <r>
    <s v="Амвросий Игнатович Юдин"/>
    <x v="78"/>
  </r>
  <r>
    <s v="г-н Рыбаков Автоном Антонович"/>
    <x v="226"/>
  </r>
  <r>
    <s v="Капитон Харитонович Родионов"/>
    <x v="164"/>
  </r>
  <r>
    <s v="Леонид Арсенович Давыдов"/>
    <x v="227"/>
  </r>
  <r>
    <s v="Горбунова Наина Филипповна"/>
    <x v="198"/>
  </r>
  <r>
    <s v="Самуил Зиновьевич Фокин"/>
    <x v="228"/>
  </r>
  <r>
    <s v="Вишняков Фома Викентьевич"/>
    <x v="44"/>
  </r>
  <r>
    <s v="Кулакова Нина Семеновна"/>
    <x v="229"/>
  </r>
  <r>
    <s v="Христофор Авдеевич Щукин"/>
    <x v="119"/>
  </r>
  <r>
    <s v="Калинин Лев Феодосьевич"/>
    <x v="92"/>
  </r>
  <r>
    <s v="Валерия Владимировна Медведева"/>
    <x v="180"/>
  </r>
  <r>
    <s v="Мясников Зосима Якубович"/>
    <x v="230"/>
  </r>
  <r>
    <s v="Никанор Феодосьевич Воронов"/>
    <x v="231"/>
  </r>
  <r>
    <s v="Красильников Павел Ермилович"/>
    <x v="151"/>
  </r>
  <r>
    <s v="Вишняков Ярослав Анатольевич"/>
    <x v="203"/>
  </r>
  <r>
    <s v="Лора Вадимовна Турова"/>
    <x v="1"/>
  </r>
  <r>
    <s v="Баранов Эраст Терентьевич"/>
    <x v="232"/>
  </r>
  <r>
    <s v="Евгения Георгиевна Рожкова"/>
    <x v="52"/>
  </r>
  <r>
    <s v="Ксения Кузьминична Авдеева"/>
    <x v="72"/>
  </r>
  <r>
    <s v="Вероника Сергеевна Блинова"/>
    <x v="16"/>
  </r>
  <r>
    <s v="Родион Яковлевич Коновалов"/>
    <x v="128"/>
  </r>
  <r>
    <s v="Боян Дорофеевич Калашников"/>
    <x v="17"/>
  </r>
  <r>
    <s v="Алексей Трифонович Блинов"/>
    <x v="233"/>
  </r>
  <r>
    <s v="Власов Адриан Чеславович"/>
    <x v="218"/>
  </r>
  <r>
    <s v="г-жа Ефимова Анна Филипповна"/>
    <x v="234"/>
  </r>
  <r>
    <s v="Князев Платон Андреевич"/>
    <x v="2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D3CBF-0B60-4AA2-87D2-3AB25B3366D7}" name="Сводная таблица14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B240" firstHeaderRow="1" firstDataRow="1" firstDataCol="1"/>
  <pivotFields count="2">
    <pivotField showAll="0"/>
    <pivotField axis="axisRow" dataField="1" showAll="0" sortType="descending">
      <items count="237">
        <item x="161"/>
        <item x="166"/>
        <item x="4"/>
        <item x="215"/>
        <item x="192"/>
        <item x="193"/>
        <item x="47"/>
        <item x="30"/>
        <item x="175"/>
        <item x="218"/>
        <item x="127"/>
        <item x="43"/>
        <item x="202"/>
        <item x="137"/>
        <item x="233"/>
        <item x="102"/>
        <item x="15"/>
        <item x="78"/>
        <item x="110"/>
        <item x="111"/>
        <item x="87"/>
        <item x="62"/>
        <item x="142"/>
        <item x="94"/>
        <item x="5"/>
        <item x="154"/>
        <item x="210"/>
        <item x="98"/>
        <item x="107"/>
        <item x="10"/>
        <item x="7"/>
        <item x="57"/>
        <item x="174"/>
        <item x="24"/>
        <item x="122"/>
        <item x="219"/>
        <item x="181"/>
        <item x="106"/>
        <item x="17"/>
        <item x="197"/>
        <item x="51"/>
        <item x="180"/>
        <item x="23"/>
        <item x="66"/>
        <item x="170"/>
        <item x="100"/>
        <item x="16"/>
        <item x="224"/>
        <item x="85"/>
        <item x="28"/>
        <item x="20"/>
        <item x="185"/>
        <item x="99"/>
        <item x="42"/>
        <item x="173"/>
        <item x="19"/>
        <item x="50"/>
        <item x="64"/>
        <item x="178"/>
        <item x="169"/>
        <item x="77"/>
        <item x="27"/>
        <item x="136"/>
        <item x="195"/>
        <item x="82"/>
        <item x="9"/>
        <item x="172"/>
        <item x="52"/>
        <item x="31"/>
        <item x="79"/>
        <item x="140"/>
        <item x="56"/>
        <item x="114"/>
        <item x="60"/>
        <item x="113"/>
        <item x="139"/>
        <item x="41"/>
        <item x="11"/>
        <item x="168"/>
        <item x="86"/>
        <item x="48"/>
        <item x="234"/>
        <item x="177"/>
        <item x="93"/>
        <item x="74"/>
        <item x="88"/>
        <item x="230"/>
        <item x="2"/>
        <item x="145"/>
        <item x="53"/>
        <item x="212"/>
        <item x="84"/>
        <item x="146"/>
        <item x="176"/>
        <item x="59"/>
        <item x="67"/>
        <item x="183"/>
        <item x="153"/>
        <item x="134"/>
        <item x="164"/>
        <item x="101"/>
        <item x="121"/>
        <item x="118"/>
        <item x="179"/>
        <item x="155"/>
        <item x="33"/>
        <item x="63"/>
        <item x="167"/>
        <item x="171"/>
        <item x="58"/>
        <item x="126"/>
        <item x="196"/>
        <item x="72"/>
        <item x="225"/>
        <item x="222"/>
        <item x="123"/>
        <item x="34"/>
        <item x="92"/>
        <item x="186"/>
        <item x="227"/>
        <item x="46"/>
        <item x="80"/>
        <item x="1"/>
        <item x="89"/>
        <item x="213"/>
        <item x="194"/>
        <item x="159"/>
        <item x="71"/>
        <item x="199"/>
        <item x="8"/>
        <item x="12"/>
        <item x="76"/>
        <item x="29"/>
        <item x="13"/>
        <item x="35"/>
        <item x="61"/>
        <item x="184"/>
        <item x="40"/>
        <item x="75"/>
        <item x="65"/>
        <item x="188"/>
        <item x="135"/>
        <item x="103"/>
        <item x="117"/>
        <item x="191"/>
        <item x="108"/>
        <item x="143"/>
        <item x="156"/>
        <item x="217"/>
        <item x="165"/>
        <item x="198"/>
        <item x="158"/>
        <item x="104"/>
        <item x="231"/>
        <item x="6"/>
        <item x="124"/>
        <item x="45"/>
        <item x="32"/>
        <item x="229"/>
        <item x="149"/>
        <item x="131"/>
        <item x="144"/>
        <item x="206"/>
        <item x="160"/>
        <item x="147"/>
        <item x="37"/>
        <item x="151"/>
        <item x="208"/>
        <item x="221"/>
        <item x="189"/>
        <item x="209"/>
        <item x="109"/>
        <item x="235"/>
        <item x="162"/>
        <item x="138"/>
        <item x="68"/>
        <item x="129"/>
        <item x="18"/>
        <item x="97"/>
        <item x="54"/>
        <item x="204"/>
        <item x="83"/>
        <item x="128"/>
        <item x="223"/>
        <item x="38"/>
        <item x="226"/>
        <item x="220"/>
        <item x="26"/>
        <item x="228"/>
        <item x="14"/>
        <item x="190"/>
        <item x="205"/>
        <item x="207"/>
        <item x="214"/>
        <item x="0"/>
        <item x="157"/>
        <item x="105"/>
        <item x="141"/>
        <item x="130"/>
        <item x="95"/>
        <item x="182"/>
        <item x="91"/>
        <item x="112"/>
        <item x="39"/>
        <item x="201"/>
        <item x="25"/>
        <item x="81"/>
        <item x="120"/>
        <item x="96"/>
        <item x="125"/>
        <item x="200"/>
        <item x="148"/>
        <item x="115"/>
        <item x="36"/>
        <item x="22"/>
        <item x="211"/>
        <item x="90"/>
        <item x="132"/>
        <item x="216"/>
        <item x="152"/>
        <item x="44"/>
        <item x="150"/>
        <item x="163"/>
        <item x="119"/>
        <item x="55"/>
        <item x="69"/>
        <item x="70"/>
        <item x="73"/>
        <item x="116"/>
        <item x="232"/>
        <item x="3"/>
        <item x="49"/>
        <item x="133"/>
        <item x="187"/>
        <item x="21"/>
        <item x="2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37">
    <i>
      <x v="11"/>
    </i>
    <i>
      <x v="213"/>
    </i>
    <i>
      <x v="43"/>
    </i>
    <i>
      <x v="126"/>
    </i>
    <i>
      <x v="227"/>
    </i>
    <i>
      <x v="231"/>
    </i>
    <i>
      <x v="138"/>
    </i>
    <i>
      <x v="45"/>
    </i>
    <i>
      <x v="83"/>
    </i>
    <i>
      <x v="122"/>
    </i>
    <i>
      <x v="207"/>
    </i>
    <i>
      <x v="127"/>
    </i>
    <i>
      <x v="19"/>
    </i>
    <i>
      <x v="40"/>
    </i>
    <i>
      <x v="87"/>
    </i>
    <i>
      <x v="13"/>
    </i>
    <i>
      <x v="95"/>
    </i>
    <i>
      <x v="16"/>
    </i>
    <i>
      <x v="226"/>
    </i>
    <i>
      <x v="46"/>
    </i>
    <i>
      <x v="23"/>
    </i>
    <i>
      <x v="98"/>
    </i>
    <i>
      <x v="175"/>
    </i>
    <i>
      <x v="17"/>
    </i>
    <i>
      <x v="189"/>
    </i>
    <i>
      <x v="67"/>
    </i>
    <i>
      <x v="156"/>
    </i>
    <i>
      <x v="69"/>
    </i>
    <i>
      <x v="181"/>
    </i>
    <i>
      <x v="70"/>
    </i>
    <i>
      <x v="205"/>
    </i>
    <i>
      <x v="73"/>
    </i>
    <i>
      <x v="224"/>
    </i>
    <i>
      <x v="123"/>
    </i>
    <i>
      <x v="173"/>
    </i>
    <i>
      <x v="76"/>
    </i>
    <i>
      <x v="178"/>
    </i>
    <i>
      <x v="15"/>
    </i>
    <i>
      <x v="182"/>
    </i>
    <i>
      <x v="129"/>
    </i>
    <i>
      <x v="198"/>
    </i>
    <i>
      <x v="130"/>
    </i>
    <i>
      <x v="89"/>
    </i>
    <i>
      <x v="132"/>
    </i>
    <i>
      <x v="220"/>
    </i>
    <i>
      <x v="6"/>
    </i>
    <i>
      <x v="97"/>
    </i>
    <i>
      <x v="154"/>
    </i>
    <i>
      <x v="228"/>
    </i>
    <i>
      <x v="104"/>
    </i>
    <i>
      <x v="105"/>
    </i>
    <i>
      <x v="112"/>
    </i>
    <i>
      <x v="177"/>
    </i>
    <i>
      <x v="39"/>
    </i>
    <i>
      <x v="80"/>
    </i>
    <i>
      <x v="9"/>
    </i>
    <i>
      <x v="94"/>
    </i>
    <i>
      <x v="7"/>
    </i>
    <i>
      <x v="33"/>
    </i>
    <i>
      <x v="235"/>
    </i>
    <i>
      <x v="38"/>
    </i>
    <i>
      <x v="116"/>
    </i>
    <i>
      <x v="8"/>
    </i>
    <i>
      <x v="118"/>
    </i>
    <i>
      <x v="99"/>
    </i>
    <i>
      <x v="120"/>
    </i>
    <i>
      <x v="179"/>
    </i>
    <i>
      <x v="48"/>
    </i>
    <i>
      <x v="190"/>
    </i>
    <i>
      <x v="49"/>
    </i>
    <i>
      <x v="201"/>
    </i>
    <i>
      <x v="51"/>
    </i>
    <i>
      <x v="208"/>
    </i>
    <i>
      <x v="55"/>
    </i>
    <i>
      <x v="216"/>
    </i>
    <i>
      <x v="61"/>
    </i>
    <i>
      <x v="223"/>
    </i>
    <i>
      <x v="62"/>
    </i>
    <i>
      <x v="42"/>
    </i>
    <i>
      <x v="63"/>
    </i>
    <i>
      <x v="29"/>
    </i>
    <i>
      <x v="133"/>
    </i>
    <i>
      <x v="74"/>
    </i>
    <i>
      <x v="134"/>
    </i>
    <i>
      <x v="75"/>
    </i>
    <i>
      <x v="65"/>
    </i>
    <i>
      <x v="77"/>
    </i>
    <i>
      <x v="139"/>
    </i>
    <i>
      <x v="194"/>
    </i>
    <i>
      <x v="143"/>
    </i>
    <i>
      <x v="200"/>
    </i>
    <i>
      <x v="150"/>
    </i>
    <i>
      <x v="202"/>
    </i>
    <i>
      <x v="24"/>
    </i>
    <i>
      <x v="84"/>
    </i>
    <i>
      <x v="27"/>
    </i>
    <i>
      <x v="210"/>
    </i>
    <i>
      <x v="157"/>
    </i>
    <i>
      <x v="214"/>
    </i>
    <i>
      <x v="159"/>
    </i>
    <i>
      <x v="217"/>
    </i>
    <i>
      <x v="163"/>
    </i>
    <i>
      <x v="222"/>
    </i>
    <i>
      <x v="164"/>
    </i>
    <i>
      <x v="91"/>
    </i>
    <i>
      <x v="165"/>
    </i>
    <i>
      <x v="41"/>
    </i>
    <i>
      <x v="166"/>
    </i>
    <i>
      <x v="18"/>
    </i>
    <i>
      <x v="171"/>
    </i>
    <i>
      <x v="28"/>
    </i>
    <i>
      <x v="117"/>
    </i>
    <i>
      <x v="82"/>
    </i>
    <i>
      <x v="96"/>
    </i>
    <i>
      <x v="191"/>
    </i>
    <i>
      <x v="113"/>
    </i>
    <i>
      <x v="54"/>
    </i>
    <i>
      <x v="114"/>
    </i>
    <i>
      <x v="183"/>
    </i>
    <i>
      <x v="115"/>
    </i>
    <i>
      <x v="199"/>
    </i>
    <i>
      <x v="56"/>
    </i>
    <i>
      <x v="215"/>
    </i>
    <i>
      <x/>
    </i>
    <i>
      <x v="110"/>
    </i>
    <i>
      <x v="57"/>
    </i>
    <i>
      <x v="85"/>
    </i>
    <i>
      <x v="119"/>
    </i>
    <i>
      <x v="187"/>
    </i>
    <i>
      <x v="58"/>
    </i>
    <i>
      <x v="195"/>
    </i>
    <i>
      <x v="121"/>
    </i>
    <i>
      <x v="203"/>
    </i>
    <i>
      <x v="59"/>
    </i>
    <i>
      <x v="211"/>
    </i>
    <i>
      <x v="60"/>
    </i>
    <i>
      <x v="219"/>
    </i>
    <i>
      <x v="124"/>
    </i>
    <i>
      <x v="108"/>
    </i>
    <i>
      <x v="125"/>
    </i>
    <i>
      <x v="111"/>
    </i>
    <i>
      <x v="30"/>
    </i>
    <i>
      <x v="12"/>
    </i>
    <i>
      <x v="31"/>
    </i>
    <i>
      <x v="86"/>
    </i>
    <i>
      <x v="128"/>
    </i>
    <i>
      <x v="185"/>
    </i>
    <i>
      <x v="32"/>
    </i>
    <i>
      <x v="88"/>
    </i>
    <i>
      <x v="64"/>
    </i>
    <i>
      <x v="193"/>
    </i>
    <i>
      <x v="131"/>
    </i>
    <i>
      <x v="197"/>
    </i>
    <i>
      <x v="4"/>
    </i>
    <i>
      <x v="93"/>
    </i>
    <i>
      <x v="66"/>
    </i>
    <i>
      <x v="14"/>
    </i>
    <i>
      <x v="34"/>
    </i>
    <i>
      <x v="209"/>
    </i>
    <i>
      <x v="135"/>
    </i>
    <i>
      <x v="52"/>
    </i>
    <i>
      <x v="136"/>
    </i>
    <i>
      <x v="102"/>
    </i>
    <i>
      <x v="137"/>
    </i>
    <i>
      <x v="221"/>
    </i>
    <i>
      <x v="68"/>
    </i>
    <i>
      <x v="225"/>
    </i>
    <i>
      <x v="35"/>
    </i>
    <i>
      <x v="229"/>
    </i>
    <i>
      <x v="140"/>
    </i>
    <i>
      <x v="233"/>
    </i>
    <i>
      <x v="141"/>
    </i>
    <i>
      <x v="174"/>
    </i>
    <i>
      <x v="142"/>
    </i>
    <i>
      <x v="176"/>
    </i>
    <i>
      <x v="36"/>
    </i>
    <i>
      <x v="44"/>
    </i>
    <i>
      <x v="144"/>
    </i>
    <i>
      <x v="180"/>
    </i>
    <i>
      <x v="145"/>
    </i>
    <i>
      <x v="1"/>
    </i>
    <i>
      <x v="146"/>
    </i>
    <i>
      <x v="184"/>
    </i>
    <i>
      <x v="147"/>
    </i>
    <i>
      <x v="186"/>
    </i>
    <i>
      <x v="148"/>
    </i>
    <i>
      <x v="188"/>
    </i>
    <i>
      <x v="149"/>
    </i>
    <i>
      <x v="25"/>
    </i>
    <i>
      <x v="71"/>
    </i>
    <i>
      <x v="192"/>
    </i>
    <i>
      <x v="151"/>
    </i>
    <i>
      <x v="90"/>
    </i>
    <i>
      <x v="152"/>
    </i>
    <i>
      <x v="196"/>
    </i>
    <i>
      <x v="153"/>
    </i>
    <i>
      <x v="47"/>
    </i>
    <i>
      <x v="72"/>
    </i>
    <i>
      <x v="92"/>
    </i>
    <i>
      <x v="155"/>
    </i>
    <i>
      <x v="26"/>
    </i>
    <i>
      <x v="37"/>
    </i>
    <i>
      <x v="204"/>
    </i>
    <i>
      <x v="10"/>
    </i>
    <i>
      <x v="206"/>
    </i>
    <i>
      <x v="158"/>
    </i>
    <i>
      <x v="50"/>
    </i>
    <i>
      <x v="5"/>
    </i>
    <i>
      <x v="2"/>
    </i>
    <i>
      <x v="160"/>
    </i>
    <i>
      <x v="212"/>
    </i>
    <i>
      <x v="161"/>
    </i>
    <i>
      <x v="100"/>
    </i>
    <i>
      <x v="162"/>
    </i>
    <i>
      <x v="101"/>
    </i>
    <i>
      <x v="20"/>
    </i>
    <i>
      <x v="218"/>
    </i>
    <i>
      <x v="21"/>
    </i>
    <i>
      <x v="103"/>
    </i>
    <i>
      <x v="78"/>
    </i>
    <i>
      <x v="53"/>
    </i>
    <i>
      <x v="79"/>
    </i>
    <i>
      <x v="106"/>
    </i>
    <i>
      <x v="167"/>
    </i>
    <i>
      <x v="107"/>
    </i>
    <i>
      <x v="168"/>
    </i>
    <i>
      <x v="109"/>
    </i>
    <i>
      <x v="169"/>
    </i>
    <i>
      <x v="230"/>
    </i>
    <i>
      <x v="170"/>
    </i>
    <i>
      <x v="232"/>
    </i>
    <i>
      <x v="22"/>
    </i>
    <i>
      <x v="234"/>
    </i>
    <i>
      <x v="172"/>
    </i>
    <i>
      <x v="3"/>
    </i>
    <i>
      <x v="81"/>
    </i>
    <i t="grand">
      <x/>
    </i>
  </rowItems>
  <colItems count="1">
    <i/>
  </colItems>
  <dataFields count="1">
    <dataField name="Количество по полю Имя" fld="1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B4D0F-577F-4AEC-A123-5BD19123AEF5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Поставщик">
  <location ref="A3:B82" firstHeaderRow="1" firstDataRow="1" firstDataCol="1"/>
  <pivotFields count="21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showAll="0"/>
    <pivotField numFmtId="165" showAll="0"/>
    <pivotField numFmtId="9" showAll="0"/>
    <pivotField axis="axisRow" showAll="0" sortType="descending">
      <items count="79">
        <item x="72"/>
        <item x="2"/>
        <item x="33"/>
        <item x="13"/>
        <item x="18"/>
        <item x="43"/>
        <item x="39"/>
        <item x="73"/>
        <item x="24"/>
        <item x="50"/>
        <item x="5"/>
        <item x="65"/>
        <item x="67"/>
        <item x="48"/>
        <item x="47"/>
        <item x="37"/>
        <item x="11"/>
        <item x="64"/>
        <item x="70"/>
        <item x="75"/>
        <item x="26"/>
        <item x="69"/>
        <item x="32"/>
        <item x="12"/>
        <item x="54"/>
        <item x="57"/>
        <item x="45"/>
        <item x="58"/>
        <item x="27"/>
        <item x="9"/>
        <item x="29"/>
        <item x="23"/>
        <item x="0"/>
        <item x="46"/>
        <item x="16"/>
        <item x="40"/>
        <item x="25"/>
        <item x="61"/>
        <item x="34"/>
        <item x="15"/>
        <item x="71"/>
        <item x="6"/>
        <item x="19"/>
        <item x="66"/>
        <item x="31"/>
        <item x="17"/>
        <item x="51"/>
        <item x="1"/>
        <item x="4"/>
        <item x="42"/>
        <item x="41"/>
        <item x="28"/>
        <item x="38"/>
        <item x="56"/>
        <item x="74"/>
        <item x="3"/>
        <item x="20"/>
        <item x="36"/>
        <item x="53"/>
        <item x="60"/>
        <item x="35"/>
        <item x="52"/>
        <item x="55"/>
        <item x="68"/>
        <item x="10"/>
        <item x="30"/>
        <item x="77"/>
        <item x="49"/>
        <item x="22"/>
        <item x="21"/>
        <item x="59"/>
        <item x="14"/>
        <item x="44"/>
        <item x="7"/>
        <item x="62"/>
        <item x="8"/>
        <item x="76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  <pivotField numFmtId="9" showAll="0"/>
    <pivotField numFmtId="167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9">
    <i>
      <x v="34"/>
    </i>
    <i>
      <x v="10"/>
    </i>
    <i>
      <x v="14"/>
    </i>
    <i>
      <x v="75"/>
    </i>
    <i>
      <x v="60"/>
    </i>
    <i>
      <x v="55"/>
    </i>
    <i>
      <x v="50"/>
    </i>
    <i>
      <x v="68"/>
    </i>
    <i>
      <x v="56"/>
    </i>
    <i>
      <x v="28"/>
    </i>
    <i>
      <x v="73"/>
    </i>
    <i>
      <x v="36"/>
    </i>
    <i>
      <x v="41"/>
    </i>
    <i>
      <x v="15"/>
    </i>
    <i>
      <x v="32"/>
    </i>
    <i>
      <x v="29"/>
    </i>
    <i>
      <x v="71"/>
    </i>
    <i>
      <x v="26"/>
    </i>
    <i>
      <x v="8"/>
    </i>
    <i>
      <x v="39"/>
    </i>
    <i>
      <x v="2"/>
    </i>
    <i>
      <x v="47"/>
    </i>
    <i>
      <x v="25"/>
    </i>
    <i>
      <x v="57"/>
    </i>
    <i>
      <x v="69"/>
    </i>
    <i>
      <x v="16"/>
    </i>
    <i>
      <x v="3"/>
    </i>
    <i>
      <x v="58"/>
    </i>
    <i>
      <x v="4"/>
    </i>
    <i>
      <x v="21"/>
    </i>
    <i>
      <x v="31"/>
    </i>
    <i>
      <x v="11"/>
    </i>
    <i>
      <x v="46"/>
    </i>
    <i>
      <x v="38"/>
    </i>
    <i>
      <x v="23"/>
    </i>
    <i>
      <x v="33"/>
    </i>
    <i>
      <x v="64"/>
    </i>
    <i>
      <x v="44"/>
    </i>
    <i>
      <x v="35"/>
    </i>
    <i>
      <x v="42"/>
    </i>
    <i>
      <x v="77"/>
    </i>
    <i>
      <x v="17"/>
    </i>
    <i>
      <x v="51"/>
    </i>
    <i>
      <x v="49"/>
    </i>
    <i>
      <x v="27"/>
    </i>
    <i>
      <x v="72"/>
    </i>
    <i>
      <x v="5"/>
    </i>
    <i>
      <x v="12"/>
    </i>
    <i>
      <x v="22"/>
    </i>
    <i>
      <x/>
    </i>
    <i>
      <x v="30"/>
    </i>
    <i>
      <x v="1"/>
    </i>
    <i>
      <x v="59"/>
    </i>
    <i>
      <x v="53"/>
    </i>
    <i>
      <x v="6"/>
    </i>
    <i>
      <x v="19"/>
    </i>
    <i>
      <x v="70"/>
    </i>
    <i>
      <x v="62"/>
    </i>
    <i>
      <x v="45"/>
    </i>
    <i>
      <x v="76"/>
    </i>
    <i>
      <x v="43"/>
    </i>
    <i>
      <x v="52"/>
    </i>
    <i>
      <x v="61"/>
    </i>
    <i>
      <x v="65"/>
    </i>
    <i>
      <x v="9"/>
    </i>
    <i>
      <x v="20"/>
    </i>
    <i>
      <x v="18"/>
    </i>
    <i>
      <x v="37"/>
    </i>
    <i>
      <x v="63"/>
    </i>
    <i>
      <x v="67"/>
    </i>
    <i>
      <x v="24"/>
    </i>
    <i>
      <x v="7"/>
    </i>
    <i>
      <x v="13"/>
    </i>
    <i>
      <x v="48"/>
    </i>
    <i>
      <x v="74"/>
    </i>
    <i>
      <x v="66"/>
    </i>
    <i>
      <x v="54"/>
    </i>
    <i>
      <x v="40"/>
    </i>
    <i t="grand">
      <x/>
    </i>
  </rowItems>
  <colItems count="1">
    <i/>
  </colItems>
  <dataFields count="1">
    <dataField name="Сумма по полю сумма чека" fld="4" baseField="11" baseItem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6D7BD-21A0-44C0-9A04-5969BB46E75C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21">
    <pivotField showAll="0"/>
    <pivotField showAll="0"/>
    <pivotField showAll="0"/>
    <pivotField dataField="1" showAll="0"/>
    <pivotField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9" showAll="0"/>
    <pivotField numFmtId="9" showAll="0"/>
    <pivotField numFmtId="167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 v="6"/>
    </i>
    <i>
      <x v="10"/>
    </i>
    <i>
      <x v="8"/>
    </i>
    <i>
      <x v="12"/>
    </i>
    <i>
      <x v="11"/>
    </i>
    <i>
      <x v="7"/>
    </i>
    <i>
      <x v="17"/>
    </i>
    <i>
      <x v="14"/>
    </i>
    <i>
      <x v="9"/>
    </i>
    <i>
      <x v="19"/>
    </i>
    <i>
      <x v="3"/>
    </i>
    <i>
      <x v="2"/>
    </i>
    <i>
      <x v="13"/>
    </i>
    <i>
      <x v="16"/>
    </i>
    <i>
      <x v="5"/>
    </i>
    <i>
      <x v="18"/>
    </i>
    <i>
      <x v="1"/>
    </i>
    <i>
      <x/>
    </i>
    <i>
      <x v="4"/>
    </i>
    <i>
      <x v="15"/>
    </i>
    <i t="grand">
      <x/>
    </i>
  </rowItems>
  <colItems count="1">
    <i/>
  </colItems>
  <dataFields count="1">
    <dataField name="Среднее по полю кол-во штук в чеке" fld="3" subtotal="average" baseField="8" baseItem="0"/>
  </dataFields>
  <formats count="1">
    <format dxfId="18">
      <pivotArea collapsedLevelsAreSubtotals="1" fieldPosition="0">
        <references count="1">
          <reference field="8" count="0"/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BD67F-86B5-4E6F-A503-1C0DB428BD27}" name="Сводная таблица5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21">
    <pivotField showAll="0"/>
    <pivotField showAll="0"/>
    <pivotField showAll="0"/>
    <pivotField showAll="0"/>
    <pivotField dataField="1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9" showAll="0"/>
    <pivotField numFmtId="9" showAll="0"/>
    <pivotField numFmtId="167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 v="5"/>
    </i>
    <i>
      <x v="2"/>
    </i>
    <i>
      <x v="7"/>
    </i>
    <i>
      <x v="13"/>
    </i>
    <i>
      <x v="19"/>
    </i>
    <i>
      <x v="14"/>
    </i>
    <i>
      <x v="15"/>
    </i>
    <i>
      <x v="12"/>
    </i>
    <i>
      <x v="18"/>
    </i>
    <i>
      <x v="17"/>
    </i>
    <i>
      <x v="6"/>
    </i>
    <i>
      <x/>
    </i>
    <i>
      <x v="9"/>
    </i>
    <i>
      <x v="16"/>
    </i>
    <i>
      <x v="11"/>
    </i>
    <i>
      <x v="8"/>
    </i>
    <i>
      <x v="3"/>
    </i>
    <i>
      <x v="4"/>
    </i>
    <i>
      <x v="10"/>
    </i>
    <i>
      <x v="1"/>
    </i>
    <i t="grand">
      <x/>
    </i>
  </rowItems>
  <colItems count="1">
    <i/>
  </colItems>
  <dataFields count="1">
    <dataField name="Сумма по полю сумма чека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2602-9C6D-4473-A5B0-4964E3EDE03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7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6" baseItem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D636F-4C30-481F-BF0C-2F528CA5A298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3:B22" firstHeaderRow="1" firstDataRow="1" firstDataCol="1" rowPageCount="1" colPageCount="1"/>
  <pivotFields count="21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Page"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/>
    <pivotField numFmtId="165" showAll="0"/>
    <pivotField numFmtId="9" showAll="0"/>
    <pivotField showAll="0"/>
    <pivotField numFmtId="9" showAll="0"/>
    <pivotField numFmtId="9" showAll="0"/>
    <pivotField numFmtId="167" showAll="0"/>
    <pivotField numFmtId="1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0"/>
    <field x="18"/>
  </rowFields>
  <rowItems count="1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6" item="13" hier="-1"/>
  </pageFields>
  <dataFields count="1">
    <dataField name="Сумма по полю сумма чека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EB8-8F25-4BA7-B93D-465F0FBF293C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9">
  <location ref="A3:B23" firstHeaderRow="1" firstDataRow="1" firstDataCol="1"/>
  <pivotFields count="21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9" showAll="0"/>
    <pivotField showAll="0"/>
    <pivotField numFmtId="9" showAll="0"/>
    <pivotField numFmtId="9" showAll="0"/>
    <pivotField numFmtId="167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а" fld="10" subtotal="average" baseField="6" baseItem="0" numFmtId="9"/>
  </dataFields>
  <formats count="1">
    <format dxfId="5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37A5-8BFC-4BEA-924C-68AFFA382297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Продуктовая сеть">
  <location ref="A3:B24" firstHeaderRow="1" firstDataRow="1" firstDataCol="1"/>
  <pivotFields count="21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numFmtId="164" showAll="0" defaultSubtotal="0">
      <items count="436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</items>
    </pivotField>
    <pivotField axis="axisRow" showAll="0" sortType="descending" defaultSubtotal="0">
      <items count="20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165" showAll="0" defaultSubtotal="0"/>
    <pivotField numFmtId="9" showAll="0" defaultSubtotal="0"/>
    <pivotField showAll="0" defaultSubtotal="0"/>
    <pivotField numFmtId="9" subtotalTop="0" showAll="0" defaultSubtotal="0"/>
    <pivotField numFmtId="9" subtotalTop="0" showAll="0" defaultSubtotal="0"/>
    <pivotField numFmtId="167" showAll="0" defaultSubtotal="0"/>
    <pivotField numFmtId="14" subtotalTop="0"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0" baseItem="0"/>
  </dataFields>
  <formats count="2">
    <format dxfId="4">
      <pivotArea collapsedLevelsAreSubtotals="1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9455-E2D2-4ED9-9D49-2DFE839BE563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4">
  <location ref="A3:B8" firstHeaderRow="1" firstDataRow="1" firstDataCol="1"/>
  <pivotFields count="21">
    <pivotField subtotalTop="0" showAll="0"/>
    <pivotField subtotalTop="0" showAll="0"/>
    <pivotField subtotalTop="0" showAll="0"/>
    <pivotField subtotalTop="0" showAll="0"/>
    <pivotField dataField="1" subtotalTop="0" showAll="0"/>
    <pivotField numFmtId="164" subtotalTop="0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ubtotalTop="0" showAll="0"/>
    <pivotField subtotalTop="0" showAll="0"/>
    <pivotField subtotalTop="0" showAll="0"/>
    <pivotField numFmtId="165" subtotalTop="0" showAll="0"/>
    <pivotField numFmtId="9" subtotalTop="0" showAll="0"/>
    <pivotField subtotalTop="0" showAll="0"/>
    <pivotField numFmtId="9" subtotalTop="0" showAll="0"/>
    <pivotField numFmtId="9" subtotalTop="0" showAll="0"/>
    <pivotField numFmtId="167" subtotalTop="0" showAll="0"/>
    <pivotField numFmtId="14" subtotalTop="0" showAll="0"/>
    <pivotField subtotalTop="0" showAll="0"/>
    <pivotField axis="axisRow" subtotalTop="0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5">
    <i>
      <x v="1"/>
    </i>
    <i>
      <x v="3"/>
    </i>
    <i>
      <x v="4"/>
    </i>
    <i>
      <x v="2"/>
    </i>
    <i>
      <x/>
    </i>
  </rowItems>
  <colItems count="1">
    <i/>
  </colItems>
  <dataFields count="1">
    <dataField name="Сумма по полю сумма чека" fld="4" baseField="15" baseItem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0AE543-BED8-4F78-841A-0672D5179C41}" name="Таблица1" displayName="Таблица1" ref="A1:B435" totalsRowShown="0">
  <autoFilter ref="A1:B435" xr:uid="{3E0AE543-BED8-4F78-841A-0672D5179C41}"/>
  <tableColumns count="2">
    <tableColumn id="1" xr3:uid="{C15E7FAA-5A9A-430D-AB81-5D2A0BE3BF76}" name="ФИО" dataDxfId="29"/>
    <tableColumn id="2" xr3:uid="{EA8F3EAD-E41D-4CDD-82CC-F8DFC927E085}" name="Имя">
      <calculatedColumnFormula>IF(OR(RIGHT(MID(A2,SEARCH(" ",A2,SEARCH(" ",A2)+1)+1,99),3)="вич",RIGHT(MID(A2,SEARCH(" ",A2,SEARCH(" ",A2)+1)+1,99),3)="вна",RIGHT(MID(A2,SEARCH(" ",A2,SEARCH(" ",A2)+1)+1,99),2)="ич",RIGHT(MID(A2,SEARCH(" ",A2,SEARCH(" ",A2)+1)+1,99),4)="ична"),
MID(A2,SEARCH(" ",A2)+1,SEARCH(" ",A2,SEARCH(" ",A2)+1)-SEARCH(" ",A2)-1),
MID(A2,1,SEARCH(" ",A2)-1))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8CD39-CD09-4F25-9585-D8AE41EAA036}" name="Таблица3" displayName="Таблица3" ref="A1:K435" totalsRowShown="0" headerRowDxfId="28" headerRowBorderDxfId="27" tableBorderDxfId="26">
  <autoFilter ref="A1:K435" xr:uid="{8F38CD39-CD09-4F25-9585-D8AE41EAA036}"/>
  <sortState xmlns:xlrd2="http://schemas.microsoft.com/office/spreadsheetml/2017/richdata2" ref="A2:J435">
    <sortCondition ref="J2:J435"/>
  </sortState>
  <tableColumns count="11">
    <tableColumn id="1" xr3:uid="{624B282B-EC01-467F-B216-F521E9153515}" name="id клиента"/>
    <tableColumn id="2" xr3:uid="{856944AE-4E8C-4257-A07F-77485B6489A1}" name="номер телефона клиента"/>
    <tableColumn id="3" xr3:uid="{5F6B047B-3580-4473-88D7-722E1B312CEC}" name="ФИО"/>
    <tableColumn id="4" xr3:uid="{235B155C-84C5-440A-B582-C2A57B4D626F}" name="Программа лояльности клиента"/>
    <tableColumn id="5" xr3:uid="{E1AB03B6-12C1-4B4A-9D4C-22491A5ADEF2}" name="Дата регистрации клиента" dataDxfId="25"/>
    <tableColumn id="7" xr3:uid="{629EDB83-9266-4E02-A599-F3668245666B}" name="Коды стран" dataDxfId="24"/>
    <tableColumn id="11" xr3:uid="{0611D496-A0FE-4888-A292-5469D0059812}" name="Страна клиента" dataDxfId="23">
      <calculatedColumnFormula>INDEX('коды стран'!$A$2:$A$6, MATCH(F2, 'коды стран'!$B$2:$B$6, 0))</calculatedColumnFormula>
    </tableColumn>
    <tableColumn id="6" xr3:uid="{65368876-E2B8-483F-9D70-3ED520F72DAF}" name="Текущая дата" dataDxfId="22">
      <calculatedColumnFormula>TODAY()</calculatedColumnFormula>
    </tableColumn>
    <tableColumn id="8" xr3:uid="{0C21E833-41AD-477E-8102-0DAA958DA07F}" name="Дни" dataDxfId="21">
      <calculatedColumnFormula>Таблица3[[#This Row],[Текущая дата]]-Продажи[[#This Row],[Дата регистрации клиента]]</calculatedColumnFormula>
    </tableColumn>
    <tableColumn id="9" xr3:uid="{5B8132A1-4DCC-46B4-BDBD-5C5EB25CB103}" name="Лайфтайм (мес)" dataDxfId="20">
      <calculatedColumnFormula>ROUND((Таблица3[[#This Row],[Текущая дата]] - Продажи[[#This Row],[Дата регистрации клиента]]) / 30, 0)</calculatedColumnFormula>
    </tableColumn>
    <tableColumn id="12" xr3:uid="{E87ECBA7-FF01-4BA3-A7FB-57D8EA442575}" name="Имя" dataDxfId="19">
      <calculatedColumnFormula>LEFT(C2,#REF!- 1)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A671B-ED3F-4BEE-A1B6-3FDE5DB97282}" name="Продажи" displayName="Продажи" ref="A1:Q1001" totalsRowShown="0" headerRowDxfId="17" headerRowBorderDxfId="16" tableBorderDxfId="15">
  <autoFilter ref="A1:Q1001" xr:uid="{E90A671B-ED3F-4BEE-A1B6-3FDE5DB97282}"/>
  <tableColumns count="17">
    <tableColumn id="1" xr3:uid="{D14889AB-1D19-4902-A116-8597501C1BCD}" name="id чека"/>
    <tableColumn id="2" xr3:uid="{00961FD5-E43D-4768-8593-B4700399A6E5}" name="id товара"/>
    <tableColumn id="3" xr3:uid="{8774C484-90F0-47A3-81C7-49BD3F9A3CAC}" name="цена за шт в рублях"/>
    <tableColumn id="4" xr3:uid="{58390B5D-A90A-4D5A-871D-903B5B9393E1}" name="кол-во штук в чеке"/>
    <tableColumn id="5" xr3:uid="{F24C434F-FDA4-4F03-BB98-82D06183152C}" name="сумма чека"/>
    <tableColumn id="6" xr3:uid="{8F11F8A6-8B73-4B89-83E5-0B9AB523455B}" name="дата создания чека" dataDxfId="14"/>
    <tableColumn id="7" xr3:uid="{81145E2A-527E-4AFA-80B2-7D4216B12B45}" name="магазин покупки"/>
    <tableColumn id="8" xr3:uid="{61EAEFF6-0524-458A-AC85-160C4B8750A2}" name="id клиента"/>
    <tableColumn id="9" xr3:uid="{5DA15F19-7246-4B49-A431-6994D51EB1D2}" name="Категория товара" dataDxfId="13">
      <calculatedColumnFormula>VLOOKUP(B2,товар!$A$1:$C$433,2,FALSE)</calculatedColumnFormula>
    </tableColumn>
    <tableColumn id="12" xr3:uid="{9DF6B05A-1D8A-4EB6-BD85-822AF6021629}" name="Средняя цена в категории за шт" dataDxfId="12">
      <calculatedColumnFormula>AVERAGEIF($I$2:$I$1001,I2,$C$2:$C$1001)</calculatedColumnFormula>
    </tableColumn>
    <tableColumn id="11" xr3:uid="{C35D4F35-1AEE-4FBF-B88D-A002E01135BD}" name="Выгода для клиента" dataCellStyle="Процентный">
      <calculatedColumnFormula>C2/J2-1</calculatedColumnFormula>
    </tableColumn>
    <tableColumn id="10" xr3:uid="{4C36CC23-3E3D-4FE1-97FC-0C5508F4EB94}" name="Поставщик товара" dataDxfId="11">
      <calculatedColumnFormula>VLOOKUP(B2,товар!$A$1:$C$433,3,FALSE)</calculatedColumnFormula>
    </tableColumn>
    <tableColumn id="17" xr3:uid="{32BDA991-ABF2-4DC3-8B93-D127DADC4813}" name="Выгода для магазина" dataDxfId="10">
      <calculatedColumnFormula>C2/N2-1</calculatedColumnFormula>
    </tableColumn>
    <tableColumn id="13" xr3:uid="{AFA00723-A462-42C7-95E6-AD6FD061EA62}" name="Средняя стоимость в категории по поставщику" dataDxfId="9" dataCellStyle="Финансовый">
      <calculatedColumnFormula>AVERAGEIFS($C$2:$C$1001,$I$2:$I$1001,I2,$L$2:$L$1001,L2)</calculatedColumnFormula>
    </tableColumn>
    <tableColumn id="14" xr3:uid="{ADA44907-E13B-44A2-8499-4A06CCE0A780}" name="Дата регистрации клиента" dataDxfId="8">
      <calculatedColumnFormula>VLOOKUP(H2,клиенты!$A$2:$G$435,5,FALSE)</calculatedColumnFormula>
    </tableColumn>
    <tableColumn id="15" xr3:uid="{03FA2F67-8AFC-431A-94B3-D493867577A0}" name="количество дней с момента регистрации" dataDxfId="7">
      <calculatedColumnFormula>Продажи[[#This Row],[дата создания чека]]-Продажи[[#This Row],[Дата регистрации клиента]]</calculatedColumnFormula>
    </tableColumn>
    <tableColumn id="16" xr3:uid="{DE6B74AD-7900-4843-BB56-2207C9086835}" name="Страны" dataDxfId="6">
      <calculatedColumnFormula>VLOOKUP(H2,Таблица3[],7,FALSE)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49C6B-1B4D-487D-9203-A2CE4A73EB39}" name="Таблица2" displayName="Таблица2" ref="A1:C433" totalsRowShown="0" headerRowDxfId="2" headerRowBorderDxfId="1" tableBorderDxfId="0">
  <autoFilter ref="A1:C433" xr:uid="{E7549C6B-1B4D-487D-9203-A2CE4A73EB39}"/>
  <tableColumns count="3">
    <tableColumn id="1" xr3:uid="{32D7A258-D780-4DD9-9627-8D2EB465E8CA}" name="id товара"/>
    <tableColumn id="2" xr3:uid="{0F1ABE45-AA6F-40EF-84DC-6F691B4D6AE0}" name="категория товара"/>
    <tableColumn id="3" xr3:uid="{80E906EA-6FAE-481F-8A42-04ABE95C10E1}" name="поставщи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F9B-FBD5-4648-932F-65C6D3263094}">
  <dimension ref="C2:N31"/>
  <sheetViews>
    <sheetView showGridLines="0" topLeftCell="D7" workbookViewId="0">
      <selection activeCell="F9" sqref="F9"/>
    </sheetView>
  </sheetViews>
  <sheetFormatPr defaultColWidth="10.77734375" defaultRowHeight="15.6" x14ac:dyDescent="0.3"/>
  <cols>
    <col min="1" max="1" width="10.77734375" style="2"/>
    <col min="2" max="2" width="5.33203125" style="2" customWidth="1"/>
    <col min="3" max="3" width="70.88671875" style="2" bestFit="1" customWidth="1"/>
    <col min="4" max="4" width="3.33203125" style="2" bestFit="1" customWidth="1"/>
    <col min="5" max="5" width="56.33203125" style="2" bestFit="1" customWidth="1"/>
    <col min="6" max="6" width="87.33203125" style="2" customWidth="1"/>
    <col min="7" max="7" width="13.44140625" style="2" bestFit="1" customWidth="1"/>
    <col min="8" max="8" width="57.33203125" style="2" bestFit="1" customWidth="1"/>
    <col min="9" max="9" width="54.6640625" style="2" customWidth="1"/>
    <col min="10" max="10" width="46.109375" style="2" bestFit="1" customWidth="1"/>
    <col min="11" max="12" width="10.77734375" style="2"/>
    <col min="13" max="13" width="56.6640625" style="2" bestFit="1" customWidth="1"/>
    <col min="14" max="14" width="35.44140625" style="2" bestFit="1" customWidth="1"/>
    <col min="15" max="17" width="10.77734375" style="2"/>
    <col min="18" max="18" width="25.6640625" style="2" bestFit="1" customWidth="1"/>
    <col min="19" max="16384" width="10.77734375" style="2"/>
  </cols>
  <sheetData>
    <row r="2" spans="3:13" ht="16.2" thickBot="1" x14ac:dyDescent="0.35"/>
    <row r="3" spans="3:13" ht="21.6" thickBot="1" x14ac:dyDescent="0.45">
      <c r="C3" s="13" t="s">
        <v>1042</v>
      </c>
    </row>
    <row r="4" spans="3:13" ht="18" x14ac:dyDescent="0.35">
      <c r="C4" s="14" t="s">
        <v>1041</v>
      </c>
    </row>
    <row r="5" spans="3:13" ht="16.2" thickBot="1" x14ac:dyDescent="0.35"/>
    <row r="6" spans="3:13" x14ac:dyDescent="0.3">
      <c r="C6" s="10" t="s">
        <v>1031</v>
      </c>
      <c r="D6" s="10" t="s">
        <v>1040</v>
      </c>
      <c r="E6" s="10" t="s">
        <v>1032</v>
      </c>
      <c r="F6" s="12" t="s">
        <v>1037</v>
      </c>
      <c r="G6" s="4"/>
      <c r="I6" s="4"/>
      <c r="J6" s="4"/>
    </row>
    <row r="7" spans="3:13" ht="78" x14ac:dyDescent="0.3">
      <c r="C7" s="11" t="s">
        <v>1013</v>
      </c>
      <c r="D7" s="34">
        <v>1</v>
      </c>
      <c r="E7" s="34" t="s">
        <v>1014</v>
      </c>
      <c r="F7" s="33" t="s">
        <v>1082</v>
      </c>
      <c r="G7" s="7"/>
    </row>
    <row r="8" spans="3:13" ht="31.2" x14ac:dyDescent="0.3">
      <c r="C8" s="8"/>
      <c r="D8" s="35">
        <v>2</v>
      </c>
      <c r="E8" s="35" t="s">
        <v>1033</v>
      </c>
      <c r="F8" s="33" t="s">
        <v>1081</v>
      </c>
      <c r="G8" s="7"/>
    </row>
    <row r="9" spans="3:13" x14ac:dyDescent="0.3">
      <c r="C9" s="9"/>
      <c r="D9" s="36">
        <v>3</v>
      </c>
      <c r="E9" s="36" t="s">
        <v>1038</v>
      </c>
      <c r="F9" s="33" t="s">
        <v>1083</v>
      </c>
      <c r="G9" s="7"/>
    </row>
    <row r="10" spans="3:13" x14ac:dyDescent="0.3">
      <c r="C10" s="11" t="s">
        <v>1017</v>
      </c>
      <c r="D10" s="34">
        <v>4</v>
      </c>
      <c r="E10" s="34" t="s">
        <v>1034</v>
      </c>
      <c r="F10" s="33"/>
      <c r="G10" s="7"/>
    </row>
    <row r="11" spans="3:13" x14ac:dyDescent="0.3">
      <c r="C11" s="9"/>
      <c r="D11" s="36">
        <v>5</v>
      </c>
      <c r="E11" s="36" t="s">
        <v>1030</v>
      </c>
      <c r="F11" s="33" t="s">
        <v>1084</v>
      </c>
      <c r="G11" s="7"/>
      <c r="J11" s="4"/>
    </row>
    <row r="12" spans="3:13" x14ac:dyDescent="0.3">
      <c r="C12" s="11" t="s">
        <v>1015</v>
      </c>
      <c r="D12" s="34">
        <v>6</v>
      </c>
      <c r="E12" s="34" t="s">
        <v>1039</v>
      </c>
      <c r="F12" s="33" t="s">
        <v>1086</v>
      </c>
      <c r="G12" s="7"/>
      <c r="J12" s="4"/>
    </row>
    <row r="13" spans="3:13" ht="31.2" x14ac:dyDescent="0.3">
      <c r="C13" s="9"/>
      <c r="D13" s="36">
        <v>7</v>
      </c>
      <c r="E13" s="36" t="s">
        <v>1087</v>
      </c>
      <c r="F13" s="33" t="s">
        <v>1088</v>
      </c>
      <c r="G13" s="7"/>
      <c r="J13" s="4"/>
    </row>
    <row r="14" spans="3:13" x14ac:dyDescent="0.3">
      <c r="C14" s="8" t="s">
        <v>1016</v>
      </c>
      <c r="D14" s="35">
        <v>8</v>
      </c>
      <c r="E14" s="35" t="s">
        <v>1022</v>
      </c>
      <c r="F14" s="33" t="s">
        <v>1078</v>
      </c>
      <c r="G14" s="7"/>
      <c r="J14" s="4"/>
      <c r="M14" s="4"/>
    </row>
    <row r="15" spans="3:13" ht="31.2" x14ac:dyDescent="0.3">
      <c r="C15" s="8"/>
      <c r="D15" s="35">
        <v>9</v>
      </c>
      <c r="E15" s="35" t="s">
        <v>1035</v>
      </c>
      <c r="F15" s="33" t="s">
        <v>1079</v>
      </c>
      <c r="G15" s="7"/>
      <c r="H15" s="4"/>
      <c r="J15" s="4"/>
      <c r="M15" s="4"/>
    </row>
    <row r="16" spans="3:13" ht="31.2" x14ac:dyDescent="0.3">
      <c r="C16" s="8"/>
      <c r="D16" s="35">
        <v>10</v>
      </c>
      <c r="E16" s="35" t="s">
        <v>1036</v>
      </c>
      <c r="F16" s="33" t="s">
        <v>1090</v>
      </c>
      <c r="G16" s="7"/>
      <c r="H16" s="4"/>
      <c r="J16" s="4"/>
      <c r="M16" s="4"/>
    </row>
    <row r="17" spans="3:14" x14ac:dyDescent="0.3">
      <c r="C17" s="8"/>
      <c r="D17" s="35">
        <v>11</v>
      </c>
      <c r="E17" s="35" t="s">
        <v>1028</v>
      </c>
      <c r="F17" s="33" t="s">
        <v>1328</v>
      </c>
      <c r="G17" s="7"/>
      <c r="H17" s="4"/>
      <c r="J17" s="4"/>
      <c r="M17" s="4"/>
    </row>
    <row r="18" spans="3:14" ht="31.2" x14ac:dyDescent="0.3">
      <c r="C18" s="9"/>
      <c r="D18" s="36">
        <v>12</v>
      </c>
      <c r="E18" s="36" t="s">
        <v>1029</v>
      </c>
      <c r="F18" s="33" t="s">
        <v>1080</v>
      </c>
      <c r="G18" s="7"/>
      <c r="H18" s="4"/>
      <c r="J18" s="4"/>
      <c r="M18" s="4"/>
    </row>
    <row r="19" spans="3:14" ht="16.2" thickBot="1" x14ac:dyDescent="0.35">
      <c r="G19" s="7"/>
      <c r="H19" s="4"/>
    </row>
    <row r="20" spans="3:14" x14ac:dyDescent="0.3">
      <c r="C20" s="3" t="s">
        <v>1018</v>
      </c>
      <c r="D20" s="4"/>
      <c r="J20" s="4"/>
    </row>
    <row r="21" spans="3:14" x14ac:dyDescent="0.3">
      <c r="C21" s="5" t="s">
        <v>1019</v>
      </c>
      <c r="J21" s="4"/>
    </row>
    <row r="22" spans="3:14" x14ac:dyDescent="0.3">
      <c r="C22" s="5" t="s">
        <v>1020</v>
      </c>
      <c r="J22" s="4"/>
      <c r="M22" s="4"/>
      <c r="N22" s="4"/>
    </row>
    <row r="23" spans="3:14" x14ac:dyDescent="0.3">
      <c r="C23" s="5" t="s">
        <v>1021</v>
      </c>
    </row>
    <row r="24" spans="3:14" x14ac:dyDescent="0.3">
      <c r="C24" s="5" t="s">
        <v>1023</v>
      </c>
      <c r="M24" s="4"/>
      <c r="N24" s="4"/>
    </row>
    <row r="25" spans="3:14" x14ac:dyDescent="0.3">
      <c r="C25" s="5" t="s">
        <v>1024</v>
      </c>
    </row>
    <row r="26" spans="3:14" x14ac:dyDescent="0.3">
      <c r="C26" s="5" t="s">
        <v>1025</v>
      </c>
      <c r="M26" s="41"/>
      <c r="N26" s="41"/>
    </row>
    <row r="27" spans="3:14" x14ac:dyDescent="0.3">
      <c r="C27" s="5" t="s">
        <v>1026</v>
      </c>
      <c r="N27" s="4"/>
    </row>
    <row r="28" spans="3:14" ht="16.2" thickBot="1" x14ac:dyDescent="0.35">
      <c r="C28" s="6" t="s">
        <v>1027</v>
      </c>
      <c r="N28" s="4"/>
    </row>
    <row r="29" spans="3:14" x14ac:dyDescent="0.3">
      <c r="N29" s="4"/>
    </row>
    <row r="31" spans="3:14" x14ac:dyDescent="0.3">
      <c r="N31" s="4"/>
    </row>
  </sheetData>
  <mergeCells count="1">
    <mergeCell ref="M26:N2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5DE9-C600-4A59-936F-F1ED19DBA9C6}">
  <dimension ref="A1"/>
  <sheetViews>
    <sheetView tabSelected="1" topLeftCell="A14" workbookViewId="0">
      <selection activeCell="V52" sqref="V5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4370-BA0A-481D-BCEC-5CBD4DC2D9E1}">
  <dimension ref="A3:B240"/>
  <sheetViews>
    <sheetView workbookViewId="0">
      <selection activeCell="A4" sqref="A4:A6"/>
    </sheetView>
  </sheetViews>
  <sheetFormatPr defaultRowHeight="14.4" x14ac:dyDescent="0.3"/>
  <cols>
    <col min="1" max="1" width="17" bestFit="1" customWidth="1"/>
    <col min="2" max="2" width="23.5546875" bestFit="1" customWidth="1"/>
  </cols>
  <sheetData>
    <row r="3" spans="1:2" x14ac:dyDescent="0.3">
      <c r="A3" s="16" t="s">
        <v>1043</v>
      </c>
      <c r="B3" t="s">
        <v>1327</v>
      </c>
    </row>
    <row r="4" spans="1:2" x14ac:dyDescent="0.3">
      <c r="A4" s="17" t="s">
        <v>1102</v>
      </c>
      <c r="B4">
        <v>6</v>
      </c>
    </row>
    <row r="5" spans="1:2" x14ac:dyDescent="0.3">
      <c r="A5" s="17" t="s">
        <v>1304</v>
      </c>
      <c r="B5">
        <v>6</v>
      </c>
    </row>
    <row r="6" spans="1:2" x14ac:dyDescent="0.3">
      <c r="A6" s="17" t="s">
        <v>1134</v>
      </c>
      <c r="B6">
        <v>6</v>
      </c>
    </row>
    <row r="7" spans="1:2" x14ac:dyDescent="0.3">
      <c r="A7" s="17" t="s">
        <v>1217</v>
      </c>
      <c r="B7">
        <v>5</v>
      </c>
    </row>
    <row r="8" spans="1:2" x14ac:dyDescent="0.3">
      <c r="A8" s="17" t="s">
        <v>1318</v>
      </c>
      <c r="B8">
        <v>5</v>
      </c>
    </row>
    <row r="9" spans="1:2" x14ac:dyDescent="0.3">
      <c r="A9" s="17" t="s">
        <v>1322</v>
      </c>
      <c r="B9">
        <v>5</v>
      </c>
    </row>
    <row r="10" spans="1:2" x14ac:dyDescent="0.3">
      <c r="A10" s="17" t="s">
        <v>1229</v>
      </c>
      <c r="B10">
        <v>5</v>
      </c>
    </row>
    <row r="11" spans="1:2" x14ac:dyDescent="0.3">
      <c r="A11" s="17" t="s">
        <v>1136</v>
      </c>
      <c r="B11">
        <v>5</v>
      </c>
    </row>
    <row r="12" spans="1:2" x14ac:dyDescent="0.3">
      <c r="A12" s="17" t="s">
        <v>1174</v>
      </c>
      <c r="B12">
        <v>5</v>
      </c>
    </row>
    <row r="13" spans="1:2" x14ac:dyDescent="0.3">
      <c r="A13" s="17" t="s">
        <v>1213</v>
      </c>
      <c r="B13">
        <v>4</v>
      </c>
    </row>
    <row r="14" spans="1:2" x14ac:dyDescent="0.3">
      <c r="A14" s="17" t="s">
        <v>1298</v>
      </c>
      <c r="B14">
        <v>4</v>
      </c>
    </row>
    <row r="15" spans="1:2" x14ac:dyDescent="0.3">
      <c r="A15" s="17" t="s">
        <v>1218</v>
      </c>
      <c r="B15">
        <v>4</v>
      </c>
    </row>
    <row r="16" spans="1:2" x14ac:dyDescent="0.3">
      <c r="A16" s="17" t="s">
        <v>1110</v>
      </c>
      <c r="B16">
        <v>4</v>
      </c>
    </row>
    <row r="17" spans="1:2" x14ac:dyDescent="0.3">
      <c r="A17" s="17" t="s">
        <v>1131</v>
      </c>
      <c r="B17">
        <v>4</v>
      </c>
    </row>
    <row r="18" spans="1:2" x14ac:dyDescent="0.3">
      <c r="A18" s="17" t="s">
        <v>1178</v>
      </c>
      <c r="B18">
        <v>4</v>
      </c>
    </row>
    <row r="19" spans="1:2" x14ac:dyDescent="0.3">
      <c r="A19" s="17" t="s">
        <v>1104</v>
      </c>
      <c r="B19">
        <v>4</v>
      </c>
    </row>
    <row r="20" spans="1:2" x14ac:dyDescent="0.3">
      <c r="A20" s="17" t="s">
        <v>1186</v>
      </c>
      <c r="B20">
        <v>4</v>
      </c>
    </row>
    <row r="21" spans="1:2" x14ac:dyDescent="0.3">
      <c r="A21" s="17" t="s">
        <v>1107</v>
      </c>
      <c r="B21">
        <v>4</v>
      </c>
    </row>
    <row r="22" spans="1:2" x14ac:dyDescent="0.3">
      <c r="A22" s="17" t="s">
        <v>1317</v>
      </c>
      <c r="B22">
        <v>4</v>
      </c>
    </row>
    <row r="23" spans="1:2" x14ac:dyDescent="0.3">
      <c r="A23" s="17" t="s">
        <v>1137</v>
      </c>
      <c r="B23">
        <v>4</v>
      </c>
    </row>
    <row r="24" spans="1:2" x14ac:dyDescent="0.3">
      <c r="A24" s="17" t="s">
        <v>1114</v>
      </c>
      <c r="B24">
        <v>4</v>
      </c>
    </row>
    <row r="25" spans="1:2" x14ac:dyDescent="0.3">
      <c r="A25" s="17" t="s">
        <v>1189</v>
      </c>
      <c r="B25">
        <v>4</v>
      </c>
    </row>
    <row r="26" spans="1:2" x14ac:dyDescent="0.3">
      <c r="A26" s="17" t="s">
        <v>1266</v>
      </c>
      <c r="B26">
        <v>3</v>
      </c>
    </row>
    <row r="27" spans="1:2" x14ac:dyDescent="0.3">
      <c r="A27" s="17" t="s">
        <v>1108</v>
      </c>
      <c r="B27">
        <v>3</v>
      </c>
    </row>
    <row r="28" spans="1:2" x14ac:dyDescent="0.3">
      <c r="A28" s="17" t="s">
        <v>1280</v>
      </c>
      <c r="B28">
        <v>3</v>
      </c>
    </row>
    <row r="29" spans="1:2" x14ac:dyDescent="0.3">
      <c r="A29" s="17" t="s">
        <v>1158</v>
      </c>
      <c r="B29">
        <v>3</v>
      </c>
    </row>
    <row r="30" spans="1:2" x14ac:dyDescent="0.3">
      <c r="A30" s="17" t="s">
        <v>1247</v>
      </c>
      <c r="B30">
        <v>3</v>
      </c>
    </row>
    <row r="31" spans="1:2" x14ac:dyDescent="0.3">
      <c r="A31" s="17" t="s">
        <v>1160</v>
      </c>
      <c r="B31">
        <v>3</v>
      </c>
    </row>
    <row r="32" spans="1:2" x14ac:dyDescent="0.3">
      <c r="A32" s="17" t="s">
        <v>1272</v>
      </c>
      <c r="B32">
        <v>3</v>
      </c>
    </row>
    <row r="33" spans="1:2" x14ac:dyDescent="0.3">
      <c r="A33" s="17" t="s">
        <v>1161</v>
      </c>
      <c r="B33">
        <v>3</v>
      </c>
    </row>
    <row r="34" spans="1:2" x14ac:dyDescent="0.3">
      <c r="A34" s="17" t="s">
        <v>1296</v>
      </c>
      <c r="B34">
        <v>3</v>
      </c>
    </row>
    <row r="35" spans="1:2" x14ac:dyDescent="0.3">
      <c r="A35" s="17" t="s">
        <v>1164</v>
      </c>
      <c r="B35">
        <v>3</v>
      </c>
    </row>
    <row r="36" spans="1:2" x14ac:dyDescent="0.3">
      <c r="A36" s="17" t="s">
        <v>1315</v>
      </c>
      <c r="B36">
        <v>3</v>
      </c>
    </row>
    <row r="37" spans="1:2" x14ac:dyDescent="0.3">
      <c r="A37" s="17" t="s">
        <v>1214</v>
      </c>
      <c r="B37">
        <v>3</v>
      </c>
    </row>
    <row r="38" spans="1:2" x14ac:dyDescent="0.3">
      <c r="A38" s="17" t="s">
        <v>1264</v>
      </c>
      <c r="B38">
        <v>3</v>
      </c>
    </row>
    <row r="39" spans="1:2" x14ac:dyDescent="0.3">
      <c r="A39" s="17" t="s">
        <v>1167</v>
      </c>
      <c r="B39">
        <v>3</v>
      </c>
    </row>
    <row r="40" spans="1:2" x14ac:dyDescent="0.3">
      <c r="A40" s="17" t="s">
        <v>1269</v>
      </c>
      <c r="B40">
        <v>3</v>
      </c>
    </row>
    <row r="41" spans="1:2" x14ac:dyDescent="0.3">
      <c r="A41" s="17" t="s">
        <v>1106</v>
      </c>
      <c r="B41">
        <v>3</v>
      </c>
    </row>
    <row r="42" spans="1:2" x14ac:dyDescent="0.3">
      <c r="A42" s="17" t="s">
        <v>1273</v>
      </c>
      <c r="B42">
        <v>3</v>
      </c>
    </row>
    <row r="43" spans="1:2" x14ac:dyDescent="0.3">
      <c r="A43" s="17" t="s">
        <v>1220</v>
      </c>
      <c r="B43">
        <v>3</v>
      </c>
    </row>
    <row r="44" spans="1:2" x14ac:dyDescent="0.3">
      <c r="A44" s="17" t="s">
        <v>1289</v>
      </c>
      <c r="B44">
        <v>3</v>
      </c>
    </row>
    <row r="45" spans="1:2" x14ac:dyDescent="0.3">
      <c r="A45" s="17" t="s">
        <v>1221</v>
      </c>
      <c r="B45">
        <v>3</v>
      </c>
    </row>
    <row r="46" spans="1:2" x14ac:dyDescent="0.3">
      <c r="A46" s="17" t="s">
        <v>1180</v>
      </c>
      <c r="B46">
        <v>3</v>
      </c>
    </row>
    <row r="47" spans="1:2" x14ac:dyDescent="0.3">
      <c r="A47" s="17" t="s">
        <v>1223</v>
      </c>
      <c r="B47">
        <v>3</v>
      </c>
    </row>
    <row r="48" spans="1:2" x14ac:dyDescent="0.3">
      <c r="A48" s="17" t="s">
        <v>1311</v>
      </c>
      <c r="B48">
        <v>3</v>
      </c>
    </row>
    <row r="49" spans="1:2" x14ac:dyDescent="0.3">
      <c r="A49" s="17" t="s">
        <v>1097</v>
      </c>
      <c r="B49">
        <v>3</v>
      </c>
    </row>
    <row r="50" spans="1:2" x14ac:dyDescent="0.3">
      <c r="A50" s="17" t="s">
        <v>1188</v>
      </c>
      <c r="B50">
        <v>3</v>
      </c>
    </row>
    <row r="51" spans="1:2" x14ac:dyDescent="0.3">
      <c r="A51" s="17" t="s">
        <v>1245</v>
      </c>
      <c r="B51">
        <v>3</v>
      </c>
    </row>
    <row r="52" spans="1:2" x14ac:dyDescent="0.3">
      <c r="A52" s="17" t="s">
        <v>1319</v>
      </c>
      <c r="B52">
        <v>3</v>
      </c>
    </row>
    <row r="53" spans="1:2" x14ac:dyDescent="0.3">
      <c r="A53" s="17" t="s">
        <v>1195</v>
      </c>
      <c r="B53">
        <v>3</v>
      </c>
    </row>
    <row r="54" spans="1:2" x14ac:dyDescent="0.3">
      <c r="A54" s="17" t="s">
        <v>1196</v>
      </c>
      <c r="B54">
        <v>3</v>
      </c>
    </row>
    <row r="55" spans="1:2" x14ac:dyDescent="0.3">
      <c r="A55" s="17" t="s">
        <v>1203</v>
      </c>
      <c r="B55">
        <v>3</v>
      </c>
    </row>
    <row r="56" spans="1:2" x14ac:dyDescent="0.3">
      <c r="A56" s="17" t="s">
        <v>1268</v>
      </c>
      <c r="B56">
        <v>2</v>
      </c>
    </row>
    <row r="57" spans="1:2" x14ac:dyDescent="0.3">
      <c r="A57" s="17" t="s">
        <v>1130</v>
      </c>
      <c r="B57">
        <v>2</v>
      </c>
    </row>
    <row r="58" spans="1:2" x14ac:dyDescent="0.3">
      <c r="A58" s="17" t="s">
        <v>1171</v>
      </c>
      <c r="B58">
        <v>2</v>
      </c>
    </row>
    <row r="59" spans="1:2" x14ac:dyDescent="0.3">
      <c r="A59" s="17" t="s">
        <v>1100</v>
      </c>
      <c r="B59">
        <v>2</v>
      </c>
    </row>
    <row r="60" spans="1:2" x14ac:dyDescent="0.3">
      <c r="A60" s="17" t="s">
        <v>1185</v>
      </c>
      <c r="B60">
        <v>2</v>
      </c>
    </row>
    <row r="61" spans="1:2" x14ac:dyDescent="0.3">
      <c r="A61" s="17" t="s">
        <v>1098</v>
      </c>
      <c r="B61">
        <v>2</v>
      </c>
    </row>
    <row r="62" spans="1:2" x14ac:dyDescent="0.3">
      <c r="A62" s="17" t="s">
        <v>1124</v>
      </c>
      <c r="B62">
        <v>2</v>
      </c>
    </row>
    <row r="63" spans="1:2" x14ac:dyDescent="0.3">
      <c r="A63" s="17" t="s">
        <v>1326</v>
      </c>
      <c r="B63">
        <v>2</v>
      </c>
    </row>
    <row r="64" spans="1:2" x14ac:dyDescent="0.3">
      <c r="A64" s="17" t="s">
        <v>1129</v>
      </c>
      <c r="B64">
        <v>2</v>
      </c>
    </row>
    <row r="65" spans="1:2" x14ac:dyDescent="0.3">
      <c r="A65" s="17" t="s">
        <v>1207</v>
      </c>
      <c r="B65">
        <v>2</v>
      </c>
    </row>
    <row r="66" spans="1:2" x14ac:dyDescent="0.3">
      <c r="A66" s="17" t="s">
        <v>1099</v>
      </c>
      <c r="B66">
        <v>2</v>
      </c>
    </row>
    <row r="67" spans="1:2" x14ac:dyDescent="0.3">
      <c r="A67" s="17" t="s">
        <v>1209</v>
      </c>
      <c r="B67">
        <v>2</v>
      </c>
    </row>
    <row r="68" spans="1:2" x14ac:dyDescent="0.3">
      <c r="A68" s="17" t="s">
        <v>1190</v>
      </c>
      <c r="B68">
        <v>2</v>
      </c>
    </row>
    <row r="69" spans="1:2" x14ac:dyDescent="0.3">
      <c r="A69" s="17" t="s">
        <v>1211</v>
      </c>
      <c r="B69">
        <v>2</v>
      </c>
    </row>
    <row r="70" spans="1:2" x14ac:dyDescent="0.3">
      <c r="A70" s="17" t="s">
        <v>1270</v>
      </c>
      <c r="B70">
        <v>2</v>
      </c>
    </row>
    <row r="71" spans="1:2" x14ac:dyDescent="0.3">
      <c r="A71" s="17" t="s">
        <v>1139</v>
      </c>
      <c r="B71">
        <v>2</v>
      </c>
    </row>
    <row r="72" spans="1:2" x14ac:dyDescent="0.3">
      <c r="A72" s="17" t="s">
        <v>1281</v>
      </c>
      <c r="B72">
        <v>2</v>
      </c>
    </row>
    <row r="73" spans="1:2" x14ac:dyDescent="0.3">
      <c r="A73" s="17" t="s">
        <v>1140</v>
      </c>
      <c r="B73">
        <v>2</v>
      </c>
    </row>
    <row r="74" spans="1:2" x14ac:dyDescent="0.3">
      <c r="A74" s="17" t="s">
        <v>1292</v>
      </c>
      <c r="B74">
        <v>2</v>
      </c>
    </row>
    <row r="75" spans="1:2" x14ac:dyDescent="0.3">
      <c r="A75" s="17" t="s">
        <v>1142</v>
      </c>
      <c r="B75">
        <v>2</v>
      </c>
    </row>
    <row r="76" spans="1:2" x14ac:dyDescent="0.3">
      <c r="A76" s="17" t="s">
        <v>1299</v>
      </c>
      <c r="B76">
        <v>2</v>
      </c>
    </row>
    <row r="77" spans="1:2" x14ac:dyDescent="0.3">
      <c r="A77" s="17" t="s">
        <v>1146</v>
      </c>
      <c r="B77">
        <v>2</v>
      </c>
    </row>
    <row r="78" spans="1:2" x14ac:dyDescent="0.3">
      <c r="A78" s="17" t="s">
        <v>1307</v>
      </c>
      <c r="B78">
        <v>2</v>
      </c>
    </row>
    <row r="79" spans="1:2" x14ac:dyDescent="0.3">
      <c r="A79" s="17" t="s">
        <v>1152</v>
      </c>
      <c r="B79">
        <v>2</v>
      </c>
    </row>
    <row r="80" spans="1:2" x14ac:dyDescent="0.3">
      <c r="A80" s="17" t="s">
        <v>1314</v>
      </c>
      <c r="B80">
        <v>2</v>
      </c>
    </row>
    <row r="81" spans="1:2" x14ac:dyDescent="0.3">
      <c r="A81" s="17" t="s">
        <v>1153</v>
      </c>
      <c r="B81">
        <v>2</v>
      </c>
    </row>
    <row r="82" spans="1:2" x14ac:dyDescent="0.3">
      <c r="A82" s="17" t="s">
        <v>1133</v>
      </c>
      <c r="B82">
        <v>2</v>
      </c>
    </row>
    <row r="83" spans="1:2" x14ac:dyDescent="0.3">
      <c r="A83" s="17" t="s">
        <v>1154</v>
      </c>
      <c r="B83">
        <v>2</v>
      </c>
    </row>
    <row r="84" spans="1:2" x14ac:dyDescent="0.3">
      <c r="A84" s="17" t="s">
        <v>1120</v>
      </c>
      <c r="B84">
        <v>2</v>
      </c>
    </row>
    <row r="85" spans="1:2" x14ac:dyDescent="0.3">
      <c r="A85" s="17" t="s">
        <v>1224</v>
      </c>
      <c r="B85">
        <v>2</v>
      </c>
    </row>
    <row r="86" spans="1:2" x14ac:dyDescent="0.3">
      <c r="A86" s="17" t="s">
        <v>1165</v>
      </c>
      <c r="B86">
        <v>2</v>
      </c>
    </row>
    <row r="87" spans="1:2" x14ac:dyDescent="0.3">
      <c r="A87" s="17" t="s">
        <v>1225</v>
      </c>
      <c r="B87">
        <v>2</v>
      </c>
    </row>
    <row r="88" spans="1:2" x14ac:dyDescent="0.3">
      <c r="A88" s="17" t="s">
        <v>1166</v>
      </c>
      <c r="B88">
        <v>2</v>
      </c>
    </row>
    <row r="89" spans="1:2" x14ac:dyDescent="0.3">
      <c r="A89" s="17" t="s">
        <v>1156</v>
      </c>
      <c r="B89">
        <v>2</v>
      </c>
    </row>
    <row r="90" spans="1:2" x14ac:dyDescent="0.3">
      <c r="A90" s="17" t="s">
        <v>1168</v>
      </c>
      <c r="B90">
        <v>2</v>
      </c>
    </row>
    <row r="91" spans="1:2" x14ac:dyDescent="0.3">
      <c r="A91" s="17" t="s">
        <v>1230</v>
      </c>
      <c r="B91">
        <v>2</v>
      </c>
    </row>
    <row r="92" spans="1:2" x14ac:dyDescent="0.3">
      <c r="A92" s="17" t="s">
        <v>1285</v>
      </c>
      <c r="B92">
        <v>2</v>
      </c>
    </row>
    <row r="93" spans="1:2" x14ac:dyDescent="0.3">
      <c r="A93" s="17" t="s">
        <v>1234</v>
      </c>
      <c r="B93">
        <v>2</v>
      </c>
    </row>
    <row r="94" spans="1:2" x14ac:dyDescent="0.3">
      <c r="A94" s="17" t="s">
        <v>1291</v>
      </c>
      <c r="B94">
        <v>2</v>
      </c>
    </row>
    <row r="95" spans="1:2" x14ac:dyDescent="0.3">
      <c r="A95" s="17" t="s">
        <v>1241</v>
      </c>
      <c r="B95">
        <v>2</v>
      </c>
    </row>
    <row r="96" spans="1:2" x14ac:dyDescent="0.3">
      <c r="A96" s="17" t="s">
        <v>1293</v>
      </c>
      <c r="B96">
        <v>2</v>
      </c>
    </row>
    <row r="97" spans="1:2" x14ac:dyDescent="0.3">
      <c r="A97" s="17" t="s">
        <v>1115</v>
      </c>
      <c r="B97">
        <v>2</v>
      </c>
    </row>
    <row r="98" spans="1:2" x14ac:dyDescent="0.3">
      <c r="A98" s="17" t="s">
        <v>1175</v>
      </c>
      <c r="B98">
        <v>2</v>
      </c>
    </row>
    <row r="99" spans="1:2" x14ac:dyDescent="0.3">
      <c r="A99" s="17" t="s">
        <v>1118</v>
      </c>
      <c r="B99">
        <v>2</v>
      </c>
    </row>
    <row r="100" spans="1:2" x14ac:dyDescent="0.3">
      <c r="A100" s="17" t="s">
        <v>1301</v>
      </c>
      <c r="B100">
        <v>2</v>
      </c>
    </row>
    <row r="101" spans="1:2" x14ac:dyDescent="0.3">
      <c r="A101" s="17" t="s">
        <v>1248</v>
      </c>
      <c r="B101">
        <v>2</v>
      </c>
    </row>
    <row r="102" spans="1:2" x14ac:dyDescent="0.3">
      <c r="A102" s="17" t="s">
        <v>1305</v>
      </c>
      <c r="B102">
        <v>2</v>
      </c>
    </row>
    <row r="103" spans="1:2" x14ac:dyDescent="0.3">
      <c r="A103" s="17" t="s">
        <v>1250</v>
      </c>
      <c r="B103">
        <v>2</v>
      </c>
    </row>
    <row r="104" spans="1:2" x14ac:dyDescent="0.3">
      <c r="A104" s="17" t="s">
        <v>1308</v>
      </c>
      <c r="B104">
        <v>2</v>
      </c>
    </row>
    <row r="105" spans="1:2" x14ac:dyDescent="0.3">
      <c r="A105" s="17" t="s">
        <v>1254</v>
      </c>
      <c r="B105">
        <v>2</v>
      </c>
    </row>
    <row r="106" spans="1:2" x14ac:dyDescent="0.3">
      <c r="A106" s="17" t="s">
        <v>1313</v>
      </c>
      <c r="B106">
        <v>2</v>
      </c>
    </row>
    <row r="107" spans="1:2" x14ac:dyDescent="0.3">
      <c r="A107" s="17" t="s">
        <v>1255</v>
      </c>
      <c r="B107">
        <v>2</v>
      </c>
    </row>
    <row r="108" spans="1:2" x14ac:dyDescent="0.3">
      <c r="A108" s="17" t="s">
        <v>1182</v>
      </c>
      <c r="B108">
        <v>2</v>
      </c>
    </row>
    <row r="109" spans="1:2" x14ac:dyDescent="0.3">
      <c r="A109" s="17" t="s">
        <v>1256</v>
      </c>
      <c r="B109">
        <v>2</v>
      </c>
    </row>
    <row r="110" spans="1:2" x14ac:dyDescent="0.3">
      <c r="A110" s="17" t="s">
        <v>1132</v>
      </c>
      <c r="B110">
        <v>2</v>
      </c>
    </row>
    <row r="111" spans="1:2" x14ac:dyDescent="0.3">
      <c r="A111" s="17" t="s">
        <v>1257</v>
      </c>
      <c r="B111">
        <v>2</v>
      </c>
    </row>
    <row r="112" spans="1:2" x14ac:dyDescent="0.3">
      <c r="A112" s="17" t="s">
        <v>1109</v>
      </c>
      <c r="B112">
        <v>2</v>
      </c>
    </row>
    <row r="113" spans="1:2" x14ac:dyDescent="0.3">
      <c r="A113" s="17" t="s">
        <v>1262</v>
      </c>
      <c r="B113">
        <v>2</v>
      </c>
    </row>
    <row r="114" spans="1:2" x14ac:dyDescent="0.3">
      <c r="A114" s="17" t="s">
        <v>1119</v>
      </c>
      <c r="B114">
        <v>2</v>
      </c>
    </row>
    <row r="115" spans="1:2" x14ac:dyDescent="0.3">
      <c r="A115" s="17" t="s">
        <v>1208</v>
      </c>
      <c r="B115">
        <v>2</v>
      </c>
    </row>
    <row r="116" spans="1:2" x14ac:dyDescent="0.3">
      <c r="A116" s="17" t="s">
        <v>1173</v>
      </c>
      <c r="B116">
        <v>1</v>
      </c>
    </row>
    <row r="117" spans="1:2" x14ac:dyDescent="0.3">
      <c r="A117" s="17" t="s">
        <v>1187</v>
      </c>
      <c r="B117">
        <v>1</v>
      </c>
    </row>
    <row r="118" spans="1:2" x14ac:dyDescent="0.3">
      <c r="A118" s="17" t="s">
        <v>1282</v>
      </c>
      <c r="B118">
        <v>1</v>
      </c>
    </row>
    <row r="119" spans="1:2" x14ac:dyDescent="0.3">
      <c r="A119" s="17" t="s">
        <v>1204</v>
      </c>
      <c r="B119">
        <v>1</v>
      </c>
    </row>
    <row r="120" spans="1:2" x14ac:dyDescent="0.3">
      <c r="A120" s="17" t="s">
        <v>1145</v>
      </c>
      <c r="B120">
        <v>1</v>
      </c>
    </row>
    <row r="121" spans="1:2" x14ac:dyDescent="0.3">
      <c r="A121" s="17" t="s">
        <v>1205</v>
      </c>
      <c r="B121">
        <v>1</v>
      </c>
    </row>
    <row r="122" spans="1:2" x14ac:dyDescent="0.3">
      <c r="A122" s="17" t="s">
        <v>1274</v>
      </c>
      <c r="B122">
        <v>1</v>
      </c>
    </row>
    <row r="123" spans="1:2" x14ac:dyDescent="0.3">
      <c r="A123" s="17" t="s">
        <v>1206</v>
      </c>
      <c r="B123">
        <v>1</v>
      </c>
    </row>
    <row r="124" spans="1:2" x14ac:dyDescent="0.3">
      <c r="A124" s="17" t="s">
        <v>1290</v>
      </c>
      <c r="B124">
        <v>1</v>
      </c>
    </row>
    <row r="125" spans="1:2" x14ac:dyDescent="0.3">
      <c r="A125" s="17" t="s">
        <v>1147</v>
      </c>
      <c r="B125">
        <v>1</v>
      </c>
    </row>
    <row r="126" spans="1:2" x14ac:dyDescent="0.3">
      <c r="A126" s="17" t="s">
        <v>1306</v>
      </c>
      <c r="B126">
        <v>1</v>
      </c>
    </row>
    <row r="127" spans="1:2" x14ac:dyDescent="0.3">
      <c r="A127" s="17" t="s">
        <v>1091</v>
      </c>
      <c r="B127">
        <v>1</v>
      </c>
    </row>
    <row r="128" spans="1:2" x14ac:dyDescent="0.3">
      <c r="A128" s="17" t="s">
        <v>1201</v>
      </c>
      <c r="B128">
        <v>1</v>
      </c>
    </row>
    <row r="129" spans="1:2" x14ac:dyDescent="0.3">
      <c r="A129" s="17" t="s">
        <v>1148</v>
      </c>
      <c r="B129">
        <v>1</v>
      </c>
    </row>
    <row r="130" spans="1:2" x14ac:dyDescent="0.3">
      <c r="A130" s="17" t="s">
        <v>1176</v>
      </c>
      <c r="B130">
        <v>1</v>
      </c>
    </row>
    <row r="131" spans="1:2" x14ac:dyDescent="0.3">
      <c r="A131" s="17" t="s">
        <v>1210</v>
      </c>
      <c r="B131">
        <v>1</v>
      </c>
    </row>
    <row r="132" spans="1:2" x14ac:dyDescent="0.3">
      <c r="A132" s="17" t="s">
        <v>1278</v>
      </c>
      <c r="B132">
        <v>1</v>
      </c>
    </row>
    <row r="133" spans="1:2" x14ac:dyDescent="0.3">
      <c r="A133" s="17" t="s">
        <v>1149</v>
      </c>
      <c r="B133">
        <v>1</v>
      </c>
    </row>
    <row r="134" spans="1:2" x14ac:dyDescent="0.3">
      <c r="A134" s="17" t="s">
        <v>1286</v>
      </c>
      <c r="B134">
        <v>1</v>
      </c>
    </row>
    <row r="135" spans="1:2" x14ac:dyDescent="0.3">
      <c r="A135" s="17" t="s">
        <v>1212</v>
      </c>
      <c r="B135">
        <v>1</v>
      </c>
    </row>
    <row r="136" spans="1:2" x14ac:dyDescent="0.3">
      <c r="A136" s="17" t="s">
        <v>1294</v>
      </c>
      <c r="B136">
        <v>1</v>
      </c>
    </row>
    <row r="137" spans="1:2" x14ac:dyDescent="0.3">
      <c r="A137" s="17" t="s">
        <v>1150</v>
      </c>
      <c r="B137">
        <v>1</v>
      </c>
    </row>
    <row r="138" spans="1:2" x14ac:dyDescent="0.3">
      <c r="A138" s="17" t="s">
        <v>1302</v>
      </c>
      <c r="B138">
        <v>1</v>
      </c>
    </row>
    <row r="139" spans="1:2" x14ac:dyDescent="0.3">
      <c r="A139" s="17" t="s">
        <v>1151</v>
      </c>
      <c r="B139">
        <v>1</v>
      </c>
    </row>
    <row r="140" spans="1:2" x14ac:dyDescent="0.3">
      <c r="A140" s="17" t="s">
        <v>1310</v>
      </c>
      <c r="B140">
        <v>1</v>
      </c>
    </row>
    <row r="141" spans="1:2" x14ac:dyDescent="0.3">
      <c r="A141" s="17" t="s">
        <v>1215</v>
      </c>
      <c r="B141">
        <v>1</v>
      </c>
    </row>
    <row r="142" spans="1:2" x14ac:dyDescent="0.3">
      <c r="A142" s="17" t="s">
        <v>1199</v>
      </c>
      <c r="B142">
        <v>1</v>
      </c>
    </row>
    <row r="143" spans="1:2" x14ac:dyDescent="0.3">
      <c r="A143" s="17" t="s">
        <v>1216</v>
      </c>
      <c r="B143">
        <v>1</v>
      </c>
    </row>
    <row r="144" spans="1:2" x14ac:dyDescent="0.3">
      <c r="A144" s="17" t="s">
        <v>1202</v>
      </c>
      <c r="B144">
        <v>1</v>
      </c>
    </row>
    <row r="145" spans="1:2" x14ac:dyDescent="0.3">
      <c r="A145" s="17" t="s">
        <v>1121</v>
      </c>
      <c r="B145">
        <v>1</v>
      </c>
    </row>
    <row r="146" spans="1:2" x14ac:dyDescent="0.3">
      <c r="A146" s="17" t="s">
        <v>1103</v>
      </c>
      <c r="B146">
        <v>1</v>
      </c>
    </row>
    <row r="147" spans="1:2" x14ac:dyDescent="0.3">
      <c r="A147" s="17" t="s">
        <v>1122</v>
      </c>
      <c r="B147">
        <v>1</v>
      </c>
    </row>
    <row r="148" spans="1:2" x14ac:dyDescent="0.3">
      <c r="A148" s="17" t="s">
        <v>1177</v>
      </c>
      <c r="B148">
        <v>1</v>
      </c>
    </row>
    <row r="149" spans="1:2" x14ac:dyDescent="0.3">
      <c r="A149" s="17" t="s">
        <v>1219</v>
      </c>
      <c r="B149">
        <v>1</v>
      </c>
    </row>
    <row r="150" spans="1:2" x14ac:dyDescent="0.3">
      <c r="A150" s="17" t="s">
        <v>1276</v>
      </c>
      <c r="B150">
        <v>1</v>
      </c>
    </row>
    <row r="151" spans="1:2" x14ac:dyDescent="0.3">
      <c r="A151" s="17" t="s">
        <v>1123</v>
      </c>
      <c r="B151">
        <v>1</v>
      </c>
    </row>
    <row r="152" spans="1:2" x14ac:dyDescent="0.3">
      <c r="A152" s="17" t="s">
        <v>1179</v>
      </c>
      <c r="B152">
        <v>1</v>
      </c>
    </row>
    <row r="153" spans="1:2" x14ac:dyDescent="0.3">
      <c r="A153" s="17" t="s">
        <v>1155</v>
      </c>
      <c r="B153">
        <v>1</v>
      </c>
    </row>
    <row r="154" spans="1:2" x14ac:dyDescent="0.3">
      <c r="A154" s="17" t="s">
        <v>1284</v>
      </c>
      <c r="B154">
        <v>1</v>
      </c>
    </row>
    <row r="155" spans="1:2" x14ac:dyDescent="0.3">
      <c r="A155" s="17" t="s">
        <v>1222</v>
      </c>
      <c r="B155">
        <v>1</v>
      </c>
    </row>
    <row r="156" spans="1:2" x14ac:dyDescent="0.3">
      <c r="A156" s="17" t="s">
        <v>1288</v>
      </c>
      <c r="B156">
        <v>1</v>
      </c>
    </row>
    <row r="157" spans="1:2" x14ac:dyDescent="0.3">
      <c r="A157" s="17" t="s">
        <v>1095</v>
      </c>
      <c r="B157">
        <v>1</v>
      </c>
    </row>
    <row r="158" spans="1:2" x14ac:dyDescent="0.3">
      <c r="A158" s="17" t="s">
        <v>1184</v>
      </c>
      <c r="B158">
        <v>1</v>
      </c>
    </row>
    <row r="159" spans="1:2" x14ac:dyDescent="0.3">
      <c r="A159" s="17" t="s">
        <v>1157</v>
      </c>
      <c r="B159">
        <v>1</v>
      </c>
    </row>
    <row r="160" spans="1:2" x14ac:dyDescent="0.3">
      <c r="A160" s="17" t="s">
        <v>1105</v>
      </c>
      <c r="B160">
        <v>1</v>
      </c>
    </row>
    <row r="161" spans="1:2" x14ac:dyDescent="0.3">
      <c r="A161" s="17" t="s">
        <v>1125</v>
      </c>
      <c r="B161">
        <v>1</v>
      </c>
    </row>
    <row r="162" spans="1:2" x14ac:dyDescent="0.3">
      <c r="A162" s="17" t="s">
        <v>1300</v>
      </c>
      <c r="B162">
        <v>1</v>
      </c>
    </row>
    <row r="163" spans="1:2" x14ac:dyDescent="0.3">
      <c r="A163" s="17" t="s">
        <v>1226</v>
      </c>
      <c r="B163">
        <v>1</v>
      </c>
    </row>
    <row r="164" spans="1:2" x14ac:dyDescent="0.3">
      <c r="A164" s="17" t="s">
        <v>1143</v>
      </c>
      <c r="B164">
        <v>1</v>
      </c>
    </row>
    <row r="165" spans="1:2" x14ac:dyDescent="0.3">
      <c r="A165" s="17" t="s">
        <v>1227</v>
      </c>
      <c r="B165">
        <v>1</v>
      </c>
    </row>
    <row r="166" spans="1:2" x14ac:dyDescent="0.3">
      <c r="A166" s="17" t="s">
        <v>1193</v>
      </c>
      <c r="B166">
        <v>1</v>
      </c>
    </row>
    <row r="167" spans="1:2" x14ac:dyDescent="0.3">
      <c r="A167" s="17" t="s">
        <v>1228</v>
      </c>
      <c r="B167">
        <v>1</v>
      </c>
    </row>
    <row r="168" spans="1:2" x14ac:dyDescent="0.3">
      <c r="A168" s="17" t="s">
        <v>1312</v>
      </c>
      <c r="B168">
        <v>1</v>
      </c>
    </row>
    <row r="169" spans="1:2" x14ac:dyDescent="0.3">
      <c r="A169" s="17" t="s">
        <v>1159</v>
      </c>
      <c r="B169">
        <v>1</v>
      </c>
    </row>
    <row r="170" spans="1:2" x14ac:dyDescent="0.3">
      <c r="A170" s="17" t="s">
        <v>1316</v>
      </c>
      <c r="B170">
        <v>1</v>
      </c>
    </row>
    <row r="171" spans="1:2" x14ac:dyDescent="0.3">
      <c r="A171" s="17" t="s">
        <v>1126</v>
      </c>
      <c r="B171">
        <v>1</v>
      </c>
    </row>
    <row r="172" spans="1:2" x14ac:dyDescent="0.3">
      <c r="A172" s="17" t="s">
        <v>1320</v>
      </c>
      <c r="B172">
        <v>1</v>
      </c>
    </row>
    <row r="173" spans="1:2" x14ac:dyDescent="0.3">
      <c r="A173" s="17" t="s">
        <v>1231</v>
      </c>
      <c r="B173">
        <v>1</v>
      </c>
    </row>
    <row r="174" spans="1:2" x14ac:dyDescent="0.3">
      <c r="A174" s="17" t="s">
        <v>1324</v>
      </c>
      <c r="B174">
        <v>1</v>
      </c>
    </row>
    <row r="175" spans="1:2" x14ac:dyDescent="0.3">
      <c r="A175" s="17" t="s">
        <v>1232</v>
      </c>
      <c r="B175">
        <v>1</v>
      </c>
    </row>
    <row r="176" spans="1:2" x14ac:dyDescent="0.3">
      <c r="A176" s="17" t="s">
        <v>1265</v>
      </c>
      <c r="B176">
        <v>1</v>
      </c>
    </row>
    <row r="177" spans="1:2" x14ac:dyDescent="0.3">
      <c r="A177" s="17" t="s">
        <v>1233</v>
      </c>
      <c r="B177">
        <v>1</v>
      </c>
    </row>
    <row r="178" spans="1:2" x14ac:dyDescent="0.3">
      <c r="A178" s="17" t="s">
        <v>1267</v>
      </c>
      <c r="B178">
        <v>1</v>
      </c>
    </row>
    <row r="179" spans="1:2" x14ac:dyDescent="0.3">
      <c r="A179" s="17" t="s">
        <v>1127</v>
      </c>
      <c r="B179">
        <v>1</v>
      </c>
    </row>
    <row r="180" spans="1:2" x14ac:dyDescent="0.3">
      <c r="A180" s="17" t="s">
        <v>1135</v>
      </c>
      <c r="B180">
        <v>1</v>
      </c>
    </row>
    <row r="181" spans="1:2" x14ac:dyDescent="0.3">
      <c r="A181" s="17" t="s">
        <v>1235</v>
      </c>
      <c r="B181">
        <v>1</v>
      </c>
    </row>
    <row r="182" spans="1:2" x14ac:dyDescent="0.3">
      <c r="A182" s="17" t="s">
        <v>1271</v>
      </c>
      <c r="B182">
        <v>1</v>
      </c>
    </row>
    <row r="183" spans="1:2" x14ac:dyDescent="0.3">
      <c r="A183" s="17" t="s">
        <v>1236</v>
      </c>
      <c r="B183">
        <v>1</v>
      </c>
    </row>
    <row r="184" spans="1:2" x14ac:dyDescent="0.3">
      <c r="A184" s="17" t="s">
        <v>1092</v>
      </c>
      <c r="B184">
        <v>1</v>
      </c>
    </row>
    <row r="185" spans="1:2" x14ac:dyDescent="0.3">
      <c r="A185" s="17" t="s">
        <v>1237</v>
      </c>
      <c r="B185">
        <v>1</v>
      </c>
    </row>
    <row r="186" spans="1:2" x14ac:dyDescent="0.3">
      <c r="A186" s="17" t="s">
        <v>1275</v>
      </c>
      <c r="B186">
        <v>1</v>
      </c>
    </row>
    <row r="187" spans="1:2" x14ac:dyDescent="0.3">
      <c r="A187" s="17" t="s">
        <v>1238</v>
      </c>
      <c r="B187">
        <v>1</v>
      </c>
    </row>
    <row r="188" spans="1:2" x14ac:dyDescent="0.3">
      <c r="A188" s="17" t="s">
        <v>1277</v>
      </c>
      <c r="B188">
        <v>1</v>
      </c>
    </row>
    <row r="189" spans="1:2" x14ac:dyDescent="0.3">
      <c r="A189" s="17" t="s">
        <v>1239</v>
      </c>
      <c r="B189">
        <v>1</v>
      </c>
    </row>
    <row r="190" spans="1:2" x14ac:dyDescent="0.3">
      <c r="A190" s="17" t="s">
        <v>1279</v>
      </c>
      <c r="B190">
        <v>1</v>
      </c>
    </row>
    <row r="191" spans="1:2" x14ac:dyDescent="0.3">
      <c r="A191" s="17" t="s">
        <v>1240</v>
      </c>
      <c r="B191">
        <v>1</v>
      </c>
    </row>
    <row r="192" spans="1:2" x14ac:dyDescent="0.3">
      <c r="A192" s="17" t="s">
        <v>1116</v>
      </c>
      <c r="B192">
        <v>1</v>
      </c>
    </row>
    <row r="193" spans="1:2" x14ac:dyDescent="0.3">
      <c r="A193" s="17" t="s">
        <v>1162</v>
      </c>
      <c r="B193">
        <v>1</v>
      </c>
    </row>
    <row r="194" spans="1:2" x14ac:dyDescent="0.3">
      <c r="A194" s="17" t="s">
        <v>1283</v>
      </c>
      <c r="B194">
        <v>1</v>
      </c>
    </row>
    <row r="195" spans="1:2" x14ac:dyDescent="0.3">
      <c r="A195" s="17" t="s">
        <v>1242</v>
      </c>
      <c r="B195">
        <v>1</v>
      </c>
    </row>
    <row r="196" spans="1:2" x14ac:dyDescent="0.3">
      <c r="A196" s="17" t="s">
        <v>1181</v>
      </c>
      <c r="B196">
        <v>1</v>
      </c>
    </row>
    <row r="197" spans="1:2" x14ac:dyDescent="0.3">
      <c r="A197" s="17" t="s">
        <v>1243</v>
      </c>
      <c r="B197">
        <v>1</v>
      </c>
    </row>
    <row r="198" spans="1:2" x14ac:dyDescent="0.3">
      <c r="A198" s="17" t="s">
        <v>1287</v>
      </c>
      <c r="B198">
        <v>1</v>
      </c>
    </row>
    <row r="199" spans="1:2" x14ac:dyDescent="0.3">
      <c r="A199" s="17" t="s">
        <v>1244</v>
      </c>
      <c r="B199">
        <v>1</v>
      </c>
    </row>
    <row r="200" spans="1:2" x14ac:dyDescent="0.3">
      <c r="A200" s="17" t="s">
        <v>1138</v>
      </c>
      <c r="B200">
        <v>1</v>
      </c>
    </row>
    <row r="201" spans="1:2" x14ac:dyDescent="0.3">
      <c r="A201" s="17" t="s">
        <v>1163</v>
      </c>
      <c r="B201">
        <v>1</v>
      </c>
    </row>
    <row r="202" spans="1:2" x14ac:dyDescent="0.3">
      <c r="A202" s="17" t="s">
        <v>1183</v>
      </c>
      <c r="B202">
        <v>1</v>
      </c>
    </row>
    <row r="203" spans="1:2" x14ac:dyDescent="0.3">
      <c r="A203" s="17" t="s">
        <v>1246</v>
      </c>
      <c r="B203">
        <v>1</v>
      </c>
    </row>
    <row r="204" spans="1:2" x14ac:dyDescent="0.3">
      <c r="A204" s="17" t="s">
        <v>1117</v>
      </c>
      <c r="B204">
        <v>1</v>
      </c>
    </row>
    <row r="205" spans="1:2" x14ac:dyDescent="0.3">
      <c r="A205" s="17" t="s">
        <v>1128</v>
      </c>
      <c r="B205">
        <v>1</v>
      </c>
    </row>
    <row r="206" spans="1:2" x14ac:dyDescent="0.3">
      <c r="A206" s="17" t="s">
        <v>1295</v>
      </c>
      <c r="B206">
        <v>1</v>
      </c>
    </row>
    <row r="207" spans="1:2" x14ac:dyDescent="0.3">
      <c r="A207" s="17" t="s">
        <v>1101</v>
      </c>
      <c r="B207">
        <v>1</v>
      </c>
    </row>
    <row r="208" spans="1:2" x14ac:dyDescent="0.3">
      <c r="A208" s="17" t="s">
        <v>1297</v>
      </c>
      <c r="B208">
        <v>1</v>
      </c>
    </row>
    <row r="209" spans="1:2" x14ac:dyDescent="0.3">
      <c r="A209" s="17" t="s">
        <v>1249</v>
      </c>
      <c r="B209">
        <v>1</v>
      </c>
    </row>
    <row r="210" spans="1:2" x14ac:dyDescent="0.3">
      <c r="A210" s="17" t="s">
        <v>1141</v>
      </c>
      <c r="B210">
        <v>1</v>
      </c>
    </row>
    <row r="211" spans="1:2" x14ac:dyDescent="0.3">
      <c r="A211" s="17" t="s">
        <v>1096</v>
      </c>
      <c r="B211">
        <v>1</v>
      </c>
    </row>
    <row r="212" spans="1:2" x14ac:dyDescent="0.3">
      <c r="A212" s="17" t="s">
        <v>1093</v>
      </c>
      <c r="B212">
        <v>1</v>
      </c>
    </row>
    <row r="213" spans="1:2" x14ac:dyDescent="0.3">
      <c r="A213" s="17" t="s">
        <v>1251</v>
      </c>
      <c r="B213">
        <v>1</v>
      </c>
    </row>
    <row r="214" spans="1:2" x14ac:dyDescent="0.3">
      <c r="A214" s="17" t="s">
        <v>1303</v>
      </c>
      <c r="B214">
        <v>1</v>
      </c>
    </row>
    <row r="215" spans="1:2" x14ac:dyDescent="0.3">
      <c r="A215" s="17" t="s">
        <v>1252</v>
      </c>
      <c r="B215">
        <v>1</v>
      </c>
    </row>
    <row r="216" spans="1:2" x14ac:dyDescent="0.3">
      <c r="A216" s="17" t="s">
        <v>1191</v>
      </c>
      <c r="B216">
        <v>1</v>
      </c>
    </row>
    <row r="217" spans="1:2" x14ac:dyDescent="0.3">
      <c r="A217" s="17" t="s">
        <v>1253</v>
      </c>
      <c r="B217">
        <v>1</v>
      </c>
    </row>
    <row r="218" spans="1:2" x14ac:dyDescent="0.3">
      <c r="A218" s="17" t="s">
        <v>1192</v>
      </c>
      <c r="B218">
        <v>1</v>
      </c>
    </row>
    <row r="219" spans="1:2" x14ac:dyDescent="0.3">
      <c r="A219" s="17" t="s">
        <v>1111</v>
      </c>
      <c r="B219">
        <v>1</v>
      </c>
    </row>
    <row r="220" spans="1:2" x14ac:dyDescent="0.3">
      <c r="A220" s="17" t="s">
        <v>1309</v>
      </c>
      <c r="B220">
        <v>1</v>
      </c>
    </row>
    <row r="221" spans="1:2" x14ac:dyDescent="0.3">
      <c r="A221" s="17" t="s">
        <v>1112</v>
      </c>
      <c r="B221">
        <v>1</v>
      </c>
    </row>
    <row r="222" spans="1:2" x14ac:dyDescent="0.3">
      <c r="A222" s="17" t="s">
        <v>1194</v>
      </c>
      <c r="B222">
        <v>1</v>
      </c>
    </row>
    <row r="223" spans="1:2" x14ac:dyDescent="0.3">
      <c r="A223" s="17" t="s">
        <v>1169</v>
      </c>
      <c r="B223">
        <v>1</v>
      </c>
    </row>
    <row r="224" spans="1:2" x14ac:dyDescent="0.3">
      <c r="A224" s="17" t="s">
        <v>1144</v>
      </c>
      <c r="B224">
        <v>1</v>
      </c>
    </row>
    <row r="225" spans="1:2" x14ac:dyDescent="0.3">
      <c r="A225" s="17" t="s">
        <v>1170</v>
      </c>
      <c r="B225">
        <v>1</v>
      </c>
    </row>
    <row r="226" spans="1:2" x14ac:dyDescent="0.3">
      <c r="A226" s="17" t="s">
        <v>1197</v>
      </c>
      <c r="B226">
        <v>1</v>
      </c>
    </row>
    <row r="227" spans="1:2" x14ac:dyDescent="0.3">
      <c r="A227" s="17" t="s">
        <v>1258</v>
      </c>
      <c r="B227">
        <v>1</v>
      </c>
    </row>
    <row r="228" spans="1:2" x14ac:dyDescent="0.3">
      <c r="A228" s="17" t="s">
        <v>1198</v>
      </c>
      <c r="B228">
        <v>1</v>
      </c>
    </row>
    <row r="229" spans="1:2" x14ac:dyDescent="0.3">
      <c r="A229" s="17" t="s">
        <v>1259</v>
      </c>
      <c r="B229">
        <v>1</v>
      </c>
    </row>
    <row r="230" spans="1:2" x14ac:dyDescent="0.3">
      <c r="A230" s="17" t="s">
        <v>1200</v>
      </c>
      <c r="B230">
        <v>1</v>
      </c>
    </row>
    <row r="231" spans="1:2" x14ac:dyDescent="0.3">
      <c r="A231" s="17" t="s">
        <v>1260</v>
      </c>
      <c r="B231">
        <v>1</v>
      </c>
    </row>
    <row r="232" spans="1:2" x14ac:dyDescent="0.3">
      <c r="A232" s="17" t="s">
        <v>1321</v>
      </c>
      <c r="B232">
        <v>1</v>
      </c>
    </row>
    <row r="233" spans="1:2" x14ac:dyDescent="0.3">
      <c r="A233" s="17" t="s">
        <v>1261</v>
      </c>
      <c r="B233">
        <v>1</v>
      </c>
    </row>
    <row r="234" spans="1:2" x14ac:dyDescent="0.3">
      <c r="A234" s="17" t="s">
        <v>1323</v>
      </c>
      <c r="B234">
        <v>1</v>
      </c>
    </row>
    <row r="235" spans="1:2" x14ac:dyDescent="0.3">
      <c r="A235" s="17" t="s">
        <v>1113</v>
      </c>
      <c r="B235">
        <v>1</v>
      </c>
    </row>
    <row r="236" spans="1:2" x14ac:dyDescent="0.3">
      <c r="A236" s="17" t="s">
        <v>1325</v>
      </c>
      <c r="B236">
        <v>1</v>
      </c>
    </row>
    <row r="237" spans="1:2" x14ac:dyDescent="0.3">
      <c r="A237" s="17" t="s">
        <v>1263</v>
      </c>
      <c r="B237">
        <v>1</v>
      </c>
    </row>
    <row r="238" spans="1:2" x14ac:dyDescent="0.3">
      <c r="A238" s="17" t="s">
        <v>1094</v>
      </c>
      <c r="B238">
        <v>1</v>
      </c>
    </row>
    <row r="239" spans="1:2" x14ac:dyDescent="0.3">
      <c r="A239" s="17" t="s">
        <v>1172</v>
      </c>
      <c r="B239">
        <v>1</v>
      </c>
    </row>
    <row r="240" spans="1:2" x14ac:dyDescent="0.3">
      <c r="A240" s="17" t="s">
        <v>1044</v>
      </c>
      <c r="B240">
        <v>434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802C-400F-4C2A-9B98-6122A54662D7}">
  <dimension ref="A1:B435"/>
  <sheetViews>
    <sheetView topLeftCell="A2" workbookViewId="0">
      <selection sqref="A1:B435"/>
    </sheetView>
  </sheetViews>
  <sheetFormatPr defaultRowHeight="14.4" x14ac:dyDescent="0.3"/>
  <cols>
    <col min="1" max="1" width="40.21875" bestFit="1" customWidth="1"/>
    <col min="2" max="2" width="12.77734375" bestFit="1" customWidth="1"/>
  </cols>
  <sheetData>
    <row r="1" spans="1:2" x14ac:dyDescent="0.3">
      <c r="A1" s="37" t="s">
        <v>1011</v>
      </c>
      <c r="B1" t="s">
        <v>1076</v>
      </c>
    </row>
    <row r="2" spans="1:2" x14ac:dyDescent="0.3">
      <c r="A2" s="38" t="s">
        <v>931</v>
      </c>
      <c r="B2" t="str">
        <f>IF(OR(RIGHT(MID(A2,SEARCH(" ",A2,SEARCH(" ",A2)+1)+1,99),3)="вич",RIGHT(MID(A2,SEARCH(" ",A2,SEARCH(" ",A2)+1)+1,99),3)="вна",RIGHT(MID(A2,SEARCH(" ",A2,SEARCH(" ",A2)+1)+1,99),2)="ич",RIGHT(MID(A2,SEARCH(" ",A2,SEARCH(" ",A2)+1)+1,99),4)="ична"),
MID(A2,SEARCH(" ",A2)+1,SEARCH(" ",A2,SEARCH(" ",A2)+1)-SEARCH(" ",A2)-1),
MID(A2,1,SEARCH(" ",A2)-1))</f>
        <v>Сила</v>
      </c>
    </row>
    <row r="3" spans="1:2" x14ac:dyDescent="0.3">
      <c r="A3" s="39" t="s">
        <v>929</v>
      </c>
      <c r="B3" t="str">
        <f t="shared" ref="B3:B66" si="0">IF(OR(RIGHT(MID(A3,SEARCH(" ",A3,SEARCH(" ",A3)+1)+1,99),3)="вич",RIGHT(MID(A3,SEARCH(" ",A3,SEARCH(" ",A3)+1)+1,99),3)="вна",RIGHT(MID(A3,SEARCH(" ",A3,SEARCH(" ",A3)+1)+1,99),2)="ич",RIGHT(MID(A3,SEARCH(" ",A3,SEARCH(" ",A3)+1)+1,99),4)="ична"),
MID(A3,SEARCH(" ",A3)+1,SEARCH(" ",A3,SEARCH(" ",A3)+1)-SEARCH(" ",A3)-1),
MID(A3,1,SEARCH(" ",A3)-1))</f>
        <v>Лора</v>
      </c>
    </row>
    <row r="4" spans="1:2" x14ac:dyDescent="0.3">
      <c r="A4" s="38" t="s">
        <v>851</v>
      </c>
      <c r="B4" t="str">
        <f t="shared" si="0"/>
        <v>Зоя</v>
      </c>
    </row>
    <row r="5" spans="1:2" x14ac:dyDescent="0.3">
      <c r="A5" s="39" t="s">
        <v>745</v>
      </c>
      <c r="B5" t="str">
        <f t="shared" si="0"/>
        <v>Эрнест</v>
      </c>
    </row>
    <row r="6" spans="1:2" x14ac:dyDescent="0.3">
      <c r="A6" s="38" t="s">
        <v>685</v>
      </c>
      <c r="B6" t="str">
        <f t="shared" si="0"/>
        <v>Аверкий</v>
      </c>
    </row>
    <row r="7" spans="1:2" x14ac:dyDescent="0.3">
      <c r="A7" s="39" t="s">
        <v>665</v>
      </c>
      <c r="B7" t="str">
        <f t="shared" si="0"/>
        <v>Анжелика</v>
      </c>
    </row>
    <row r="8" spans="1:2" x14ac:dyDescent="0.3">
      <c r="A8" s="38" t="s">
        <v>589</v>
      </c>
      <c r="B8" t="str">
        <f t="shared" si="0"/>
        <v>Никита</v>
      </c>
    </row>
    <row r="9" spans="1:2" x14ac:dyDescent="0.3">
      <c r="A9" s="39" t="s">
        <v>567</v>
      </c>
      <c r="B9" t="str">
        <f t="shared" si="0"/>
        <v>Аполлинарий</v>
      </c>
    </row>
    <row r="10" spans="1:2" x14ac:dyDescent="0.3">
      <c r="A10" s="38" t="s">
        <v>559</v>
      </c>
      <c r="B10" t="str">
        <f t="shared" si="0"/>
        <v>Людмила</v>
      </c>
    </row>
    <row r="11" spans="1:2" x14ac:dyDescent="0.3">
      <c r="A11" s="39" t="s">
        <v>443</v>
      </c>
      <c r="B11" t="str">
        <f t="shared" si="0"/>
        <v>Демид</v>
      </c>
    </row>
    <row r="12" spans="1:2" x14ac:dyDescent="0.3">
      <c r="A12" s="38" t="s">
        <v>351</v>
      </c>
      <c r="B12" t="str">
        <f t="shared" si="0"/>
        <v>Антонина</v>
      </c>
    </row>
    <row r="13" spans="1:2" x14ac:dyDescent="0.3">
      <c r="A13" s="39" t="s">
        <v>279</v>
      </c>
      <c r="B13" t="str">
        <f t="shared" si="0"/>
        <v>Елизар</v>
      </c>
    </row>
    <row r="14" spans="1:2" x14ac:dyDescent="0.3">
      <c r="A14" s="38" t="s">
        <v>243</v>
      </c>
      <c r="B14" t="str">
        <f t="shared" si="0"/>
        <v>Майя</v>
      </c>
    </row>
    <row r="15" spans="1:2" x14ac:dyDescent="0.3">
      <c r="A15" s="39" t="s">
        <v>229</v>
      </c>
      <c r="B15" t="str">
        <f t="shared" si="0"/>
        <v>Зоя</v>
      </c>
    </row>
    <row r="16" spans="1:2" x14ac:dyDescent="0.3">
      <c r="A16" s="38" t="s">
        <v>223</v>
      </c>
      <c r="B16" t="str">
        <f t="shared" si="0"/>
        <v>Марина</v>
      </c>
    </row>
    <row r="17" spans="1:2" x14ac:dyDescent="0.3">
      <c r="A17" s="39" t="s">
        <v>221</v>
      </c>
      <c r="B17" t="str">
        <f t="shared" si="0"/>
        <v>Светлана</v>
      </c>
    </row>
    <row r="18" spans="1:2" x14ac:dyDescent="0.3">
      <c r="A18" s="38" t="s">
        <v>193</v>
      </c>
      <c r="B18" t="str">
        <f t="shared" si="0"/>
        <v>Алла</v>
      </c>
    </row>
    <row r="19" spans="1:2" x14ac:dyDescent="0.3">
      <c r="A19" s="39" t="s">
        <v>973</v>
      </c>
      <c r="B19" t="str">
        <f t="shared" si="0"/>
        <v>Вероника</v>
      </c>
    </row>
    <row r="20" spans="1:2" x14ac:dyDescent="0.3">
      <c r="A20" s="38" t="s">
        <v>935</v>
      </c>
      <c r="B20" t="str">
        <f t="shared" si="0"/>
        <v>Боян</v>
      </c>
    </row>
    <row r="21" spans="1:2" x14ac:dyDescent="0.3">
      <c r="A21" s="39" t="s">
        <v>927</v>
      </c>
      <c r="B21" t="str">
        <f t="shared" si="0"/>
        <v>Радислав</v>
      </c>
    </row>
    <row r="22" spans="1:2" x14ac:dyDescent="0.3">
      <c r="A22" s="38" t="s">
        <v>915</v>
      </c>
      <c r="B22" t="str">
        <f t="shared" si="0"/>
        <v>Майя</v>
      </c>
    </row>
    <row r="23" spans="1:2" x14ac:dyDescent="0.3">
      <c r="A23" s="39" t="s">
        <v>877</v>
      </c>
      <c r="B23" t="str">
        <f t="shared" si="0"/>
        <v>Галина</v>
      </c>
    </row>
    <row r="24" spans="1:2" x14ac:dyDescent="0.3">
      <c r="A24" s="38" t="s">
        <v>863</v>
      </c>
      <c r="B24" t="str">
        <f t="shared" si="0"/>
        <v>Владилен</v>
      </c>
    </row>
    <row r="25" spans="1:2" x14ac:dyDescent="0.3">
      <c r="A25" s="39" t="s">
        <v>815</v>
      </c>
      <c r="B25" t="str">
        <f t="shared" si="0"/>
        <v>Януарий</v>
      </c>
    </row>
    <row r="26" spans="1:2" x14ac:dyDescent="0.3">
      <c r="A26" s="38" t="s">
        <v>777</v>
      </c>
      <c r="B26" t="str">
        <f t="shared" si="0"/>
        <v>Фёкла</v>
      </c>
    </row>
    <row r="27" spans="1:2" x14ac:dyDescent="0.3">
      <c r="A27" s="39" t="s">
        <v>767</v>
      </c>
      <c r="B27" t="str">
        <f t="shared" si="0"/>
        <v>Валерьян</v>
      </c>
    </row>
    <row r="28" spans="1:2" x14ac:dyDescent="0.3">
      <c r="A28" s="38" t="s">
        <v>757</v>
      </c>
      <c r="B28" t="str">
        <f t="shared" si="0"/>
        <v>Арсений</v>
      </c>
    </row>
    <row r="29" spans="1:2" x14ac:dyDescent="0.3">
      <c r="A29" s="39" t="s">
        <v>743</v>
      </c>
      <c r="B29" t="str">
        <f t="shared" si="0"/>
        <v>Таисия</v>
      </c>
    </row>
    <row r="30" spans="1:2" x14ac:dyDescent="0.3">
      <c r="A30" s="38" t="s">
        <v>731</v>
      </c>
      <c r="B30" t="str">
        <f t="shared" si="0"/>
        <v>Савельев</v>
      </c>
    </row>
    <row r="31" spans="1:2" x14ac:dyDescent="0.3">
      <c r="A31" s="39" t="s">
        <v>701</v>
      </c>
      <c r="B31" t="str">
        <f t="shared" si="0"/>
        <v>Гостомысл</v>
      </c>
    </row>
    <row r="32" spans="1:2" x14ac:dyDescent="0.3">
      <c r="A32" s="38" t="s">
        <v>663</v>
      </c>
      <c r="B32" t="str">
        <f t="shared" si="0"/>
        <v>Виктория</v>
      </c>
    </row>
    <row r="33" spans="1:2" x14ac:dyDescent="0.3">
      <c r="A33" s="39" t="s">
        <v>649</v>
      </c>
      <c r="B33" t="str">
        <f t="shared" si="0"/>
        <v>Маргарита</v>
      </c>
    </row>
    <row r="34" spans="1:2" x14ac:dyDescent="0.3">
      <c r="A34" s="38" t="s">
        <v>635</v>
      </c>
      <c r="B34" t="str">
        <f t="shared" si="0"/>
        <v>Агафья</v>
      </c>
    </row>
    <row r="35" spans="1:2" x14ac:dyDescent="0.3">
      <c r="A35" s="39" t="s">
        <v>599</v>
      </c>
      <c r="B35" t="str">
        <f t="shared" si="0"/>
        <v>Евграф</v>
      </c>
    </row>
    <row r="36" spans="1:2" x14ac:dyDescent="0.3">
      <c r="A36" s="38" t="s">
        <v>575</v>
      </c>
      <c r="B36" t="str">
        <f t="shared" si="0"/>
        <v>Николай</v>
      </c>
    </row>
    <row r="37" spans="1:2" x14ac:dyDescent="0.3">
      <c r="A37" s="39" t="s">
        <v>527</v>
      </c>
      <c r="B37" t="str">
        <f t="shared" si="0"/>
        <v>Фёкла</v>
      </c>
    </row>
    <row r="38" spans="1:2" x14ac:dyDescent="0.3">
      <c r="A38" s="38" t="s">
        <v>523</v>
      </c>
      <c r="B38" t="str">
        <f t="shared" si="0"/>
        <v>Клавдия</v>
      </c>
    </row>
    <row r="39" spans="1:2" x14ac:dyDescent="0.3">
      <c r="A39" s="39" t="s">
        <v>481</v>
      </c>
      <c r="B39" t="str">
        <f t="shared" si="0"/>
        <v>Лариса</v>
      </c>
    </row>
    <row r="40" spans="1:2" x14ac:dyDescent="0.3">
      <c r="A40" s="38" t="s">
        <v>449</v>
      </c>
      <c r="B40" t="str">
        <f t="shared" si="0"/>
        <v>Мария</v>
      </c>
    </row>
    <row r="41" spans="1:2" x14ac:dyDescent="0.3">
      <c r="A41" s="39" t="s">
        <v>441</v>
      </c>
      <c r="B41" t="str">
        <f t="shared" si="0"/>
        <v>Феврония</v>
      </c>
    </row>
    <row r="42" spans="1:2" x14ac:dyDescent="0.3">
      <c r="A42" s="38" t="s">
        <v>397</v>
      </c>
      <c r="B42" t="str">
        <f t="shared" si="0"/>
        <v>Орест</v>
      </c>
    </row>
    <row r="43" spans="1:2" x14ac:dyDescent="0.3">
      <c r="A43" s="39" t="s">
        <v>377</v>
      </c>
      <c r="B43" t="str">
        <f t="shared" si="0"/>
        <v>Рубен</v>
      </c>
    </row>
    <row r="44" spans="1:2" x14ac:dyDescent="0.3">
      <c r="A44" s="38" t="s">
        <v>343</v>
      </c>
      <c r="B44" t="str">
        <f t="shared" si="0"/>
        <v>Степан</v>
      </c>
    </row>
    <row r="45" spans="1:2" x14ac:dyDescent="0.3">
      <c r="A45" s="39" t="s">
        <v>337</v>
      </c>
      <c r="B45" t="str">
        <f t="shared" si="0"/>
        <v>Мартьян</v>
      </c>
    </row>
    <row r="46" spans="1:2" x14ac:dyDescent="0.3">
      <c r="A46" s="38" t="s">
        <v>291</v>
      </c>
      <c r="B46" t="str">
        <f t="shared" si="0"/>
        <v>Елизавета</v>
      </c>
    </row>
    <row r="47" spans="1:2" x14ac:dyDescent="0.3">
      <c r="A47" s="39" t="s">
        <v>285</v>
      </c>
      <c r="B47" t="str">
        <f t="shared" si="0"/>
        <v>Гостомысл</v>
      </c>
    </row>
    <row r="48" spans="1:2" x14ac:dyDescent="0.3">
      <c r="A48" s="38" t="s">
        <v>251</v>
      </c>
      <c r="B48" t="str">
        <f t="shared" si="0"/>
        <v>Всеслав</v>
      </c>
    </row>
    <row r="49" spans="1:2" x14ac:dyDescent="0.3">
      <c r="A49" s="39" t="s">
        <v>247</v>
      </c>
      <c r="B49" t="str">
        <f t="shared" si="0"/>
        <v>Алевтина</v>
      </c>
    </row>
    <row r="50" spans="1:2" x14ac:dyDescent="0.3">
      <c r="A50" s="38" t="s">
        <v>245</v>
      </c>
      <c r="B50" t="str">
        <f t="shared" si="0"/>
        <v>Фома</v>
      </c>
    </row>
    <row r="51" spans="1:2" x14ac:dyDescent="0.3">
      <c r="A51" s="39" t="s">
        <v>237</v>
      </c>
      <c r="B51" t="str">
        <f t="shared" si="0"/>
        <v>Фома</v>
      </c>
    </row>
    <row r="52" spans="1:2" x14ac:dyDescent="0.3">
      <c r="A52" s="38" t="s">
        <v>213</v>
      </c>
      <c r="B52" t="str">
        <f t="shared" si="0"/>
        <v>Галина</v>
      </c>
    </row>
    <row r="53" spans="1:2" x14ac:dyDescent="0.3">
      <c r="A53" s="39" t="s">
        <v>195</v>
      </c>
      <c r="B53" t="str">
        <f t="shared" si="0"/>
        <v>Никодим</v>
      </c>
    </row>
    <row r="54" spans="1:2" x14ac:dyDescent="0.3">
      <c r="A54" s="38" t="s">
        <v>153</v>
      </c>
      <c r="B54" t="str">
        <f t="shared" si="0"/>
        <v>Лариса</v>
      </c>
    </row>
    <row r="55" spans="1:2" x14ac:dyDescent="0.3">
      <c r="A55" s="39" t="s">
        <v>140</v>
      </c>
      <c r="B55" t="str">
        <f t="shared" si="0"/>
        <v>Лидия</v>
      </c>
    </row>
    <row r="56" spans="1:2" x14ac:dyDescent="0.3">
      <c r="A56" s="38" t="s">
        <v>983</v>
      </c>
      <c r="B56" t="str">
        <f t="shared" si="0"/>
        <v>Агата</v>
      </c>
    </row>
    <row r="57" spans="1:2" x14ac:dyDescent="0.3">
      <c r="A57" s="39" t="s">
        <v>971</v>
      </c>
      <c r="B57" t="str">
        <f t="shared" si="0"/>
        <v>Еремей</v>
      </c>
    </row>
    <row r="58" spans="1:2" x14ac:dyDescent="0.3">
      <c r="A58" s="38" t="s">
        <v>945</v>
      </c>
      <c r="B58" t="str">
        <f t="shared" si="0"/>
        <v>Юлия</v>
      </c>
    </row>
    <row r="59" spans="1:2" x14ac:dyDescent="0.3">
      <c r="A59" s="39" t="s">
        <v>911</v>
      </c>
      <c r="B59" t="str">
        <f t="shared" si="0"/>
        <v>Геннадий</v>
      </c>
    </row>
    <row r="60" spans="1:2" x14ac:dyDescent="0.3">
      <c r="A60" s="38" t="s">
        <v>903</v>
      </c>
      <c r="B60" t="str">
        <f t="shared" si="0"/>
        <v>Валентина</v>
      </c>
    </row>
    <row r="61" spans="1:2" x14ac:dyDescent="0.3">
      <c r="A61" s="39" t="s">
        <v>893</v>
      </c>
      <c r="B61" t="str">
        <f t="shared" si="0"/>
        <v>Евгения</v>
      </c>
    </row>
    <row r="62" spans="1:2" x14ac:dyDescent="0.3">
      <c r="A62" s="38" t="s">
        <v>883</v>
      </c>
      <c r="B62" t="str">
        <f t="shared" si="0"/>
        <v>Иванна</v>
      </c>
    </row>
    <row r="63" spans="1:2" x14ac:dyDescent="0.3">
      <c r="A63" s="39" t="s">
        <v>847</v>
      </c>
      <c r="B63" t="str">
        <f t="shared" si="0"/>
        <v>Ратибор</v>
      </c>
    </row>
    <row r="64" spans="1:2" x14ac:dyDescent="0.3">
      <c r="A64" s="38" t="s">
        <v>837</v>
      </c>
      <c r="B64" t="str">
        <f t="shared" si="0"/>
        <v>Чеслав</v>
      </c>
    </row>
    <row r="65" spans="1:2" x14ac:dyDescent="0.3">
      <c r="A65" s="39" t="s">
        <v>787</v>
      </c>
      <c r="B65" t="str">
        <f t="shared" si="0"/>
        <v>Евсей</v>
      </c>
    </row>
    <row r="66" spans="1:2" x14ac:dyDescent="0.3">
      <c r="A66" s="38" t="s">
        <v>775</v>
      </c>
      <c r="B66" t="str">
        <f t="shared" si="0"/>
        <v>Арефий</v>
      </c>
    </row>
    <row r="67" spans="1:2" x14ac:dyDescent="0.3">
      <c r="A67" s="39" t="s">
        <v>735</v>
      </c>
      <c r="B67" t="str">
        <f t="shared" ref="B67:B130" si="1">IF(OR(RIGHT(MID(A67,SEARCH(" ",A67,SEARCH(" ",A67)+1)+1,99),3)="вич",RIGHT(MID(A67,SEARCH(" ",A67,SEARCH(" ",A67)+1)+1,99),3)="вна",RIGHT(MID(A67,SEARCH(" ",A67,SEARCH(" ",A67)+1)+1,99),2)="ич",RIGHT(MID(A67,SEARCH(" ",A67,SEARCH(" ",A67)+1)+1,99),4)="ична"),
MID(A67,SEARCH(" ",A67)+1,SEARCH(" ",A67,SEARCH(" ",A67)+1)-SEARCH(" ",A67)-1),
MID(A67,1,SEARCH(" ",A67)-1))</f>
        <v>Копылов</v>
      </c>
    </row>
    <row r="68" spans="1:2" x14ac:dyDescent="0.3">
      <c r="A68" s="38" t="s">
        <v>729</v>
      </c>
      <c r="B68" t="str">
        <f t="shared" si="1"/>
        <v>Ипполит</v>
      </c>
    </row>
    <row r="69" spans="1:2" x14ac:dyDescent="0.3">
      <c r="A69" s="39" t="s">
        <v>725</v>
      </c>
      <c r="B69" t="str">
        <f t="shared" si="1"/>
        <v>Евфросиния</v>
      </c>
    </row>
    <row r="70" spans="1:2" x14ac:dyDescent="0.3">
      <c r="A70" s="38" t="s">
        <v>695</v>
      </c>
      <c r="B70" t="str">
        <f t="shared" si="1"/>
        <v>Марк</v>
      </c>
    </row>
    <row r="71" spans="1:2" x14ac:dyDescent="0.3">
      <c r="A71" s="39" t="s">
        <v>647</v>
      </c>
      <c r="B71" t="str">
        <f t="shared" si="1"/>
        <v>Андрон</v>
      </c>
    </row>
    <row r="72" spans="1:2" x14ac:dyDescent="0.3">
      <c r="A72" s="38" t="s">
        <v>633</v>
      </c>
      <c r="B72" t="str">
        <f t="shared" si="1"/>
        <v>Климент</v>
      </c>
    </row>
    <row r="73" spans="1:2" x14ac:dyDescent="0.3">
      <c r="A73" s="39" t="s">
        <v>595</v>
      </c>
      <c r="B73" t="str">
        <f t="shared" si="1"/>
        <v>Герман</v>
      </c>
    </row>
    <row r="74" spans="1:2" x14ac:dyDescent="0.3">
      <c r="A74" s="38" t="s">
        <v>551</v>
      </c>
      <c r="B74" t="str">
        <f t="shared" si="1"/>
        <v>Матвей</v>
      </c>
    </row>
    <row r="75" spans="1:2" x14ac:dyDescent="0.3">
      <c r="A75" s="39" t="s">
        <v>531</v>
      </c>
      <c r="B75" t="str">
        <f t="shared" si="1"/>
        <v>Елизавета</v>
      </c>
    </row>
    <row r="76" spans="1:2" x14ac:dyDescent="0.3">
      <c r="A76" s="38" t="s">
        <v>515</v>
      </c>
      <c r="B76" t="str">
        <f t="shared" si="1"/>
        <v>Василиса</v>
      </c>
    </row>
    <row r="77" spans="1:2" x14ac:dyDescent="0.3">
      <c r="A77" s="39" t="s">
        <v>493</v>
      </c>
      <c r="B77" t="str">
        <f t="shared" si="1"/>
        <v>Ираида</v>
      </c>
    </row>
    <row r="78" spans="1:2" x14ac:dyDescent="0.3">
      <c r="A78" s="38" t="s">
        <v>467</v>
      </c>
      <c r="B78" t="str">
        <f t="shared" si="1"/>
        <v>Прасковья</v>
      </c>
    </row>
    <row r="79" spans="1:2" x14ac:dyDescent="0.3">
      <c r="A79" s="39" t="s">
        <v>455</v>
      </c>
      <c r="B79" t="str">
        <f t="shared" si="1"/>
        <v>Елизар</v>
      </c>
    </row>
    <row r="80" spans="1:2" x14ac:dyDescent="0.3">
      <c r="A80" s="38" t="s">
        <v>447</v>
      </c>
      <c r="B80" t="str">
        <f t="shared" si="1"/>
        <v>Эдуард</v>
      </c>
    </row>
    <row r="81" spans="1:2" x14ac:dyDescent="0.3">
      <c r="A81" s="39" t="s">
        <v>437</v>
      </c>
      <c r="B81" t="str">
        <f t="shared" si="1"/>
        <v>Элеонора</v>
      </c>
    </row>
    <row r="82" spans="1:2" x14ac:dyDescent="0.3">
      <c r="A82" s="38" t="s">
        <v>429</v>
      </c>
      <c r="B82" t="str">
        <f t="shared" si="1"/>
        <v>Любомир</v>
      </c>
    </row>
    <row r="83" spans="1:2" x14ac:dyDescent="0.3">
      <c r="A83" s="39" t="s">
        <v>415</v>
      </c>
      <c r="B83" t="str">
        <f t="shared" si="1"/>
        <v>Ксения</v>
      </c>
    </row>
    <row r="84" spans="1:2" x14ac:dyDescent="0.3">
      <c r="A84" s="38" t="s">
        <v>395</v>
      </c>
      <c r="B84" t="str">
        <f t="shared" si="1"/>
        <v>Никита</v>
      </c>
    </row>
    <row r="85" spans="1:2" x14ac:dyDescent="0.3">
      <c r="A85" s="39" t="s">
        <v>387</v>
      </c>
      <c r="B85" t="str">
        <f t="shared" si="1"/>
        <v>Прасковья</v>
      </c>
    </row>
    <row r="86" spans="1:2" x14ac:dyDescent="0.3">
      <c r="A86" s="38" t="s">
        <v>361</v>
      </c>
      <c r="B86" t="str">
        <f t="shared" si="1"/>
        <v>Эмилия</v>
      </c>
    </row>
    <row r="87" spans="1:2" x14ac:dyDescent="0.3">
      <c r="A87" s="39" t="s">
        <v>349</v>
      </c>
      <c r="B87" t="str">
        <f t="shared" si="1"/>
        <v>Захар</v>
      </c>
    </row>
    <row r="88" spans="1:2" x14ac:dyDescent="0.3">
      <c r="A88" s="38" t="s">
        <v>339</v>
      </c>
      <c r="B88" t="str">
        <f t="shared" si="1"/>
        <v>Марфа</v>
      </c>
    </row>
    <row r="89" spans="1:2" x14ac:dyDescent="0.3">
      <c r="A89" s="39" t="s">
        <v>317</v>
      </c>
      <c r="B89" t="str">
        <f t="shared" si="1"/>
        <v>Феврония</v>
      </c>
    </row>
    <row r="90" spans="1:2" x14ac:dyDescent="0.3">
      <c r="A90" s="38" t="s">
        <v>313</v>
      </c>
      <c r="B90" t="str">
        <f t="shared" si="1"/>
        <v>Максим</v>
      </c>
    </row>
    <row r="91" spans="1:2" x14ac:dyDescent="0.3">
      <c r="A91" s="39" t="s">
        <v>249</v>
      </c>
      <c r="B91" t="str">
        <f t="shared" si="1"/>
        <v>Гордей</v>
      </c>
    </row>
    <row r="92" spans="1:2" x14ac:dyDescent="0.3">
      <c r="A92" s="38" t="s">
        <v>233</v>
      </c>
      <c r="B92" t="str">
        <f t="shared" si="1"/>
        <v>Клавдия</v>
      </c>
    </row>
    <row r="93" spans="1:2" x14ac:dyDescent="0.3">
      <c r="A93" s="39" t="s">
        <v>201</v>
      </c>
      <c r="B93" t="str">
        <f t="shared" si="1"/>
        <v>Амвросий</v>
      </c>
    </row>
    <row r="94" spans="1:2" x14ac:dyDescent="0.3">
      <c r="A94" s="38" t="s">
        <v>143</v>
      </c>
      <c r="B94" t="str">
        <f t="shared" si="1"/>
        <v>Евдокия</v>
      </c>
    </row>
    <row r="95" spans="1:2" x14ac:dyDescent="0.3">
      <c r="A95" s="39" t="s">
        <v>1003</v>
      </c>
      <c r="B95" t="str">
        <f t="shared" si="1"/>
        <v>Никодим</v>
      </c>
    </row>
    <row r="96" spans="1:2" x14ac:dyDescent="0.3">
      <c r="A96" s="38" t="s">
        <v>979</v>
      </c>
      <c r="B96" t="str">
        <f t="shared" si="1"/>
        <v>Лонгин</v>
      </c>
    </row>
    <row r="97" spans="1:2" x14ac:dyDescent="0.3">
      <c r="A97" s="39" t="s">
        <v>939</v>
      </c>
      <c r="B97" t="str">
        <f t="shared" si="1"/>
        <v>Тамара</v>
      </c>
    </row>
    <row r="98" spans="1:2" x14ac:dyDescent="0.3">
      <c r="A98" s="38" t="s">
        <v>919</v>
      </c>
      <c r="B98" t="str">
        <f t="shared" si="1"/>
        <v>Дементий</v>
      </c>
    </row>
    <row r="99" spans="1:2" x14ac:dyDescent="0.3">
      <c r="A99" s="39" t="s">
        <v>889</v>
      </c>
      <c r="B99" t="str">
        <f t="shared" si="1"/>
        <v>Регина</v>
      </c>
    </row>
    <row r="100" spans="1:2" x14ac:dyDescent="0.3">
      <c r="A100" s="38" t="s">
        <v>871</v>
      </c>
      <c r="B100" t="str">
        <f t="shared" si="1"/>
        <v>Измаил</v>
      </c>
    </row>
    <row r="101" spans="1:2" x14ac:dyDescent="0.3">
      <c r="A101" s="39" t="s">
        <v>849</v>
      </c>
      <c r="B101" t="str">
        <f t="shared" si="1"/>
        <v>Виктор</v>
      </c>
    </row>
    <row r="102" spans="1:2" x14ac:dyDescent="0.3">
      <c r="A102" s="38" t="s">
        <v>835</v>
      </c>
      <c r="B102" t="str">
        <f t="shared" si="1"/>
        <v>Епифан</v>
      </c>
    </row>
    <row r="103" spans="1:2" x14ac:dyDescent="0.3">
      <c r="A103" s="39" t="s">
        <v>829</v>
      </c>
      <c r="B103" t="str">
        <f t="shared" si="1"/>
        <v>Ангелина</v>
      </c>
    </row>
    <row r="104" spans="1:2" x14ac:dyDescent="0.3">
      <c r="A104" s="38" t="s">
        <v>827</v>
      </c>
      <c r="B104" t="str">
        <f t="shared" si="1"/>
        <v>Зинаида</v>
      </c>
    </row>
    <row r="105" spans="1:2" x14ac:dyDescent="0.3">
      <c r="A105" s="39" t="s">
        <v>803</v>
      </c>
      <c r="B105" t="str">
        <f t="shared" si="1"/>
        <v>Василиса</v>
      </c>
    </row>
    <row r="106" spans="1:2" x14ac:dyDescent="0.3">
      <c r="A106" s="38" t="s">
        <v>789</v>
      </c>
      <c r="B106" t="str">
        <f t="shared" si="1"/>
        <v>Лука</v>
      </c>
    </row>
    <row r="107" spans="1:2" x14ac:dyDescent="0.3">
      <c r="A107" s="39" t="s">
        <v>785</v>
      </c>
      <c r="B107" t="str">
        <f t="shared" si="1"/>
        <v>Феофан</v>
      </c>
    </row>
    <row r="108" spans="1:2" x14ac:dyDescent="0.3">
      <c r="A108" s="38" t="s">
        <v>763</v>
      </c>
      <c r="B108" t="str">
        <f t="shared" si="1"/>
        <v>Мария</v>
      </c>
    </row>
    <row r="109" spans="1:2" x14ac:dyDescent="0.3">
      <c r="A109" s="39" t="s">
        <v>727</v>
      </c>
      <c r="B109" t="str">
        <f t="shared" si="1"/>
        <v>Спиридон</v>
      </c>
    </row>
    <row r="110" spans="1:2" x14ac:dyDescent="0.3">
      <c r="A110" s="38" t="s">
        <v>715</v>
      </c>
      <c r="B110" t="str">
        <f t="shared" si="1"/>
        <v>Лев</v>
      </c>
    </row>
    <row r="111" spans="1:2" x14ac:dyDescent="0.3">
      <c r="A111" s="39" t="s">
        <v>707</v>
      </c>
      <c r="B111" t="str">
        <f t="shared" si="1"/>
        <v>Жанна</v>
      </c>
    </row>
    <row r="112" spans="1:2" x14ac:dyDescent="0.3">
      <c r="A112" s="38" t="s">
        <v>681</v>
      </c>
      <c r="B112" t="str">
        <f t="shared" si="1"/>
        <v>Феврония</v>
      </c>
    </row>
    <row r="113" spans="1:2" x14ac:dyDescent="0.3">
      <c r="A113" s="39" t="s">
        <v>671</v>
      </c>
      <c r="B113" t="str">
        <f t="shared" si="1"/>
        <v>Анжела</v>
      </c>
    </row>
    <row r="114" spans="1:2" x14ac:dyDescent="0.3">
      <c r="A114" s="38" t="s">
        <v>659</v>
      </c>
      <c r="B114" t="str">
        <f t="shared" si="1"/>
        <v>Алла</v>
      </c>
    </row>
    <row r="115" spans="1:2" x14ac:dyDescent="0.3">
      <c r="A115" s="39" t="s">
        <v>553</v>
      </c>
      <c r="B115" t="str">
        <f t="shared" si="1"/>
        <v>Валерьян</v>
      </c>
    </row>
    <row r="116" spans="1:2" x14ac:dyDescent="0.3">
      <c r="A116" s="38" t="s">
        <v>533</v>
      </c>
      <c r="B116" t="str">
        <f t="shared" si="1"/>
        <v>Любомир</v>
      </c>
    </row>
    <row r="117" spans="1:2" x14ac:dyDescent="0.3">
      <c r="A117" s="39" t="s">
        <v>525</v>
      </c>
      <c r="B117" t="str">
        <f t="shared" si="1"/>
        <v>Иванна</v>
      </c>
    </row>
    <row r="118" spans="1:2" x14ac:dyDescent="0.3">
      <c r="A118" s="38" t="s">
        <v>463</v>
      </c>
      <c r="B118" t="str">
        <f t="shared" si="1"/>
        <v>София</v>
      </c>
    </row>
    <row r="119" spans="1:2" x14ac:dyDescent="0.3">
      <c r="A119" s="39" t="s">
        <v>431</v>
      </c>
      <c r="B119" t="str">
        <f t="shared" si="1"/>
        <v>Прасковья</v>
      </c>
    </row>
    <row r="120" spans="1:2" x14ac:dyDescent="0.3">
      <c r="A120" s="38" t="s">
        <v>363</v>
      </c>
      <c r="B120" t="str">
        <f t="shared" si="1"/>
        <v>Алла</v>
      </c>
    </row>
    <row r="121" spans="1:2" x14ac:dyDescent="0.3">
      <c r="A121" s="39" t="s">
        <v>319</v>
      </c>
      <c r="B121" t="str">
        <f t="shared" si="1"/>
        <v>Амвросий</v>
      </c>
    </row>
    <row r="122" spans="1:2" x14ac:dyDescent="0.3">
      <c r="A122" s="38" t="s">
        <v>301</v>
      </c>
      <c r="B122" t="str">
        <f t="shared" si="1"/>
        <v>Творимир</v>
      </c>
    </row>
    <row r="123" spans="1:2" x14ac:dyDescent="0.3">
      <c r="A123" s="39" t="s">
        <v>271</v>
      </c>
      <c r="B123" t="str">
        <f t="shared" si="1"/>
        <v>Ираида</v>
      </c>
    </row>
    <row r="124" spans="1:2" x14ac:dyDescent="0.3">
      <c r="A124" s="38" t="s">
        <v>267</v>
      </c>
      <c r="B124" t="str">
        <f t="shared" si="1"/>
        <v>Раиса</v>
      </c>
    </row>
    <row r="125" spans="1:2" x14ac:dyDescent="0.3">
      <c r="A125" s="39" t="s">
        <v>241</v>
      </c>
      <c r="B125" t="str">
        <f t="shared" si="1"/>
        <v>Анна</v>
      </c>
    </row>
    <row r="126" spans="1:2" x14ac:dyDescent="0.3">
      <c r="A126" s="38" t="s">
        <v>217</v>
      </c>
      <c r="B126" t="str">
        <f t="shared" si="1"/>
        <v>Воробьева</v>
      </c>
    </row>
    <row r="127" spans="1:2" x14ac:dyDescent="0.3">
      <c r="A127" s="39" t="s">
        <v>183</v>
      </c>
      <c r="B127" t="str">
        <f t="shared" si="1"/>
        <v>Вера</v>
      </c>
    </row>
    <row r="128" spans="1:2" x14ac:dyDescent="0.3">
      <c r="A128" s="38" t="s">
        <v>147</v>
      </c>
      <c r="B128" t="str">
        <f t="shared" si="1"/>
        <v>Жанна</v>
      </c>
    </row>
    <row r="129" spans="1:2" x14ac:dyDescent="0.3">
      <c r="A129" s="39" t="s">
        <v>981</v>
      </c>
      <c r="B129" t="str">
        <f t="shared" si="1"/>
        <v>Юлия</v>
      </c>
    </row>
    <row r="130" spans="1:2" x14ac:dyDescent="0.3">
      <c r="A130" s="38" t="s">
        <v>957</v>
      </c>
      <c r="B130" t="str">
        <f t="shared" si="1"/>
        <v>Карл</v>
      </c>
    </row>
    <row r="131" spans="1:2" x14ac:dyDescent="0.3">
      <c r="A131" s="39" t="s">
        <v>941</v>
      </c>
      <c r="B131" t="str">
        <f t="shared" ref="B131:B194" si="2">IF(OR(RIGHT(MID(A131,SEARCH(" ",A131,SEARCH(" ",A131)+1)+1,99),3)="вич",RIGHT(MID(A131,SEARCH(" ",A131,SEARCH(" ",A131)+1)+1,99),3)="вна",RIGHT(MID(A131,SEARCH(" ",A131,SEARCH(" ",A131)+1)+1,99),2)="ич",RIGHT(MID(A131,SEARCH(" ",A131,SEARCH(" ",A131)+1)+1,99),4)="ична"),
MID(A131,SEARCH(" ",A131)+1,SEARCH(" ",A131,SEARCH(" ",A131)+1)-SEARCH(" ",A131)-1),
MID(A131,1,SEARCH(" ",A131)-1))</f>
        <v>Феофан</v>
      </c>
    </row>
    <row r="132" spans="1:2" x14ac:dyDescent="0.3">
      <c r="A132" s="38" t="s">
        <v>897</v>
      </c>
      <c r="B132" t="str">
        <f t="shared" si="2"/>
        <v>Алина</v>
      </c>
    </row>
    <row r="133" spans="1:2" x14ac:dyDescent="0.3">
      <c r="A133" s="39" t="s">
        <v>869</v>
      </c>
      <c r="B133" t="str">
        <f t="shared" si="2"/>
        <v>Милица</v>
      </c>
    </row>
    <row r="134" spans="1:2" x14ac:dyDescent="0.3">
      <c r="A134" s="38" t="s">
        <v>821</v>
      </c>
      <c r="B134" t="str">
        <f t="shared" si="2"/>
        <v>Эмилия</v>
      </c>
    </row>
    <row r="135" spans="1:2" x14ac:dyDescent="0.3">
      <c r="A135" s="39" t="s">
        <v>805</v>
      </c>
      <c r="B135" t="str">
        <f t="shared" si="2"/>
        <v>Никодим</v>
      </c>
    </row>
    <row r="136" spans="1:2" x14ac:dyDescent="0.3">
      <c r="A136" s="38" t="s">
        <v>799</v>
      </c>
      <c r="B136" t="str">
        <f t="shared" si="2"/>
        <v>Натан</v>
      </c>
    </row>
    <row r="137" spans="1:2" x14ac:dyDescent="0.3">
      <c r="A137" s="39" t="s">
        <v>719</v>
      </c>
      <c r="B137" t="str">
        <f t="shared" si="2"/>
        <v>Анна</v>
      </c>
    </row>
    <row r="138" spans="1:2" x14ac:dyDescent="0.3">
      <c r="A138" s="38" t="s">
        <v>691</v>
      </c>
      <c r="B138" t="str">
        <f t="shared" si="2"/>
        <v>Жанна</v>
      </c>
    </row>
    <row r="139" spans="1:2" x14ac:dyDescent="0.3">
      <c r="A139" s="39" t="s">
        <v>651</v>
      </c>
      <c r="B139" t="str">
        <f t="shared" si="2"/>
        <v>Симон</v>
      </c>
    </row>
    <row r="140" spans="1:2" x14ac:dyDescent="0.3">
      <c r="A140" s="38" t="s">
        <v>625</v>
      </c>
      <c r="B140" t="str">
        <f t="shared" si="2"/>
        <v>Борислав</v>
      </c>
    </row>
    <row r="141" spans="1:2" x14ac:dyDescent="0.3">
      <c r="A141" s="39" t="s">
        <v>623</v>
      </c>
      <c r="B141" t="str">
        <f t="shared" si="2"/>
        <v>Светлана</v>
      </c>
    </row>
    <row r="142" spans="1:2" x14ac:dyDescent="0.3">
      <c r="A142" s="38" t="s">
        <v>613</v>
      </c>
      <c r="B142" t="str">
        <f t="shared" si="2"/>
        <v>Антип</v>
      </c>
    </row>
    <row r="143" spans="1:2" x14ac:dyDescent="0.3">
      <c r="A143" s="39" t="s">
        <v>593</v>
      </c>
      <c r="B143" t="str">
        <f t="shared" si="2"/>
        <v>Юлия</v>
      </c>
    </row>
    <row r="144" spans="1:2" x14ac:dyDescent="0.3">
      <c r="A144" s="38" t="s">
        <v>585</v>
      </c>
      <c r="B144" t="str">
        <f t="shared" si="2"/>
        <v>Алевтина</v>
      </c>
    </row>
    <row r="145" spans="1:2" x14ac:dyDescent="0.3">
      <c r="A145" s="39" t="s">
        <v>583</v>
      </c>
      <c r="B145" t="str">
        <f t="shared" si="2"/>
        <v>Вероника</v>
      </c>
    </row>
    <row r="146" spans="1:2" x14ac:dyDescent="0.3">
      <c r="A146" s="38" t="s">
        <v>545</v>
      </c>
      <c r="B146" t="str">
        <f t="shared" si="2"/>
        <v>Мирон</v>
      </c>
    </row>
    <row r="147" spans="1:2" x14ac:dyDescent="0.3">
      <c r="A147" s="39" t="s">
        <v>501</v>
      </c>
      <c r="B147" t="str">
        <f t="shared" si="2"/>
        <v>Пелагея</v>
      </c>
    </row>
    <row r="148" spans="1:2" x14ac:dyDescent="0.3">
      <c r="A148" s="38" t="s">
        <v>499</v>
      </c>
      <c r="B148" t="str">
        <f t="shared" si="2"/>
        <v>Амос</v>
      </c>
    </row>
    <row r="149" spans="1:2" x14ac:dyDescent="0.3">
      <c r="A149" s="39" t="s">
        <v>445</v>
      </c>
      <c r="B149" t="str">
        <f t="shared" si="2"/>
        <v>Анастасия</v>
      </c>
    </row>
    <row r="150" spans="1:2" x14ac:dyDescent="0.3">
      <c r="A150" s="38" t="s">
        <v>369</v>
      </c>
      <c r="B150" t="str">
        <f t="shared" si="2"/>
        <v>Николай</v>
      </c>
    </row>
    <row r="151" spans="1:2" x14ac:dyDescent="0.3">
      <c r="A151" s="39" t="s">
        <v>347</v>
      </c>
      <c r="B151" t="str">
        <f t="shared" si="2"/>
        <v>Станислав</v>
      </c>
    </row>
    <row r="152" spans="1:2" x14ac:dyDescent="0.3">
      <c r="A152" s="38" t="s">
        <v>303</v>
      </c>
      <c r="B152" t="str">
        <f t="shared" si="2"/>
        <v>Матвей</v>
      </c>
    </row>
    <row r="153" spans="1:2" x14ac:dyDescent="0.3">
      <c r="A153" s="39" t="s">
        <v>299</v>
      </c>
      <c r="B153" t="str">
        <f t="shared" si="2"/>
        <v>Екатерина</v>
      </c>
    </row>
    <row r="154" spans="1:2" x14ac:dyDescent="0.3">
      <c r="A154" s="38" t="s">
        <v>293</v>
      </c>
      <c r="B154" t="str">
        <f t="shared" si="2"/>
        <v>Евстафий</v>
      </c>
    </row>
    <row r="155" spans="1:2" x14ac:dyDescent="0.3">
      <c r="A155" s="39" t="s">
        <v>289</v>
      </c>
      <c r="B155" t="str">
        <f t="shared" si="2"/>
        <v>Фаина</v>
      </c>
    </row>
    <row r="156" spans="1:2" x14ac:dyDescent="0.3">
      <c r="A156" s="38" t="s">
        <v>273</v>
      </c>
      <c r="B156" t="str">
        <f t="shared" si="2"/>
        <v>Эммануил</v>
      </c>
    </row>
    <row r="157" spans="1:2" x14ac:dyDescent="0.3">
      <c r="A157" s="39" t="s">
        <v>227</v>
      </c>
      <c r="B157" t="str">
        <f t="shared" si="2"/>
        <v>Ксения</v>
      </c>
    </row>
    <row r="158" spans="1:2" x14ac:dyDescent="0.3">
      <c r="A158" s="38" t="s">
        <v>219</v>
      </c>
      <c r="B158" t="str">
        <f t="shared" si="2"/>
        <v>Ираида</v>
      </c>
    </row>
    <row r="159" spans="1:2" x14ac:dyDescent="0.3">
      <c r="A159" s="39" t="s">
        <v>165</v>
      </c>
      <c r="B159" t="str">
        <f t="shared" si="2"/>
        <v>Милован</v>
      </c>
    </row>
    <row r="160" spans="1:2" x14ac:dyDescent="0.3">
      <c r="A160" s="38" t="s">
        <v>149</v>
      </c>
      <c r="B160" t="str">
        <f t="shared" si="2"/>
        <v>Анжела</v>
      </c>
    </row>
    <row r="161" spans="1:2" x14ac:dyDescent="0.3">
      <c r="A161" s="39" t="s">
        <v>969</v>
      </c>
      <c r="B161" t="str">
        <f t="shared" si="2"/>
        <v>Лидия</v>
      </c>
    </row>
    <row r="162" spans="1:2" x14ac:dyDescent="0.3">
      <c r="A162" s="38" t="s">
        <v>943</v>
      </c>
      <c r="B162" t="str">
        <f t="shared" si="2"/>
        <v>Касьян</v>
      </c>
    </row>
    <row r="163" spans="1:2" x14ac:dyDescent="0.3">
      <c r="A163" s="39" t="s">
        <v>933</v>
      </c>
      <c r="B163" t="str">
        <f t="shared" si="2"/>
        <v>Христофор</v>
      </c>
    </row>
    <row r="164" spans="1:2" x14ac:dyDescent="0.3">
      <c r="A164" s="38" t="s">
        <v>913</v>
      </c>
      <c r="B164" t="str">
        <f t="shared" si="2"/>
        <v>Татьяна</v>
      </c>
    </row>
    <row r="165" spans="1:2" x14ac:dyDescent="0.3">
      <c r="A165" s="39" t="s">
        <v>909</v>
      </c>
      <c r="B165" t="str">
        <f t="shared" si="2"/>
        <v>Карп</v>
      </c>
    </row>
    <row r="166" spans="1:2" x14ac:dyDescent="0.3">
      <c r="A166" s="38" t="s">
        <v>907</v>
      </c>
      <c r="B166" t="str">
        <f t="shared" si="2"/>
        <v>Валентина</v>
      </c>
    </row>
    <row r="167" spans="1:2" x14ac:dyDescent="0.3">
      <c r="A167" s="39" t="s">
        <v>885</v>
      </c>
      <c r="B167" t="str">
        <f t="shared" si="2"/>
        <v>Бажен</v>
      </c>
    </row>
    <row r="168" spans="1:2" x14ac:dyDescent="0.3">
      <c r="A168" s="38" t="s">
        <v>861</v>
      </c>
      <c r="B168" t="str">
        <f t="shared" si="2"/>
        <v>Ладимир</v>
      </c>
    </row>
    <row r="169" spans="1:2" x14ac:dyDescent="0.3">
      <c r="A169" s="39" t="s">
        <v>859</v>
      </c>
      <c r="B169" t="str">
        <f t="shared" si="2"/>
        <v>Эммануил</v>
      </c>
    </row>
    <row r="170" spans="1:2" x14ac:dyDescent="0.3">
      <c r="A170" s="38" t="s">
        <v>845</v>
      </c>
      <c r="B170" t="str">
        <f t="shared" si="2"/>
        <v>Никифор</v>
      </c>
    </row>
    <row r="171" spans="1:2" x14ac:dyDescent="0.3">
      <c r="A171" s="39" t="s">
        <v>825</v>
      </c>
      <c r="B171" t="str">
        <f t="shared" si="2"/>
        <v>Тимур</v>
      </c>
    </row>
    <row r="172" spans="1:2" x14ac:dyDescent="0.3">
      <c r="A172" s="38" t="s">
        <v>819</v>
      </c>
      <c r="B172" t="str">
        <f t="shared" si="2"/>
        <v>Копылова</v>
      </c>
    </row>
    <row r="173" spans="1:2" x14ac:dyDescent="0.3">
      <c r="A173" s="39" t="s">
        <v>817</v>
      </c>
      <c r="B173" t="str">
        <f t="shared" si="2"/>
        <v>Акулина</v>
      </c>
    </row>
    <row r="174" spans="1:2" x14ac:dyDescent="0.3">
      <c r="A174" s="38" t="s">
        <v>813</v>
      </c>
      <c r="B174" t="str">
        <f t="shared" si="2"/>
        <v>Родион</v>
      </c>
    </row>
    <row r="175" spans="1:2" x14ac:dyDescent="0.3">
      <c r="A175" s="39" t="s">
        <v>781</v>
      </c>
      <c r="B175" t="str">
        <f t="shared" si="2"/>
        <v>Прокл</v>
      </c>
    </row>
    <row r="176" spans="1:2" x14ac:dyDescent="0.3">
      <c r="A176" s="38" t="s">
        <v>765</v>
      </c>
      <c r="B176" t="str">
        <f t="shared" si="2"/>
        <v>Анастасия</v>
      </c>
    </row>
    <row r="177" spans="1:2" x14ac:dyDescent="0.3">
      <c r="A177" s="39" t="s">
        <v>733</v>
      </c>
      <c r="B177" t="str">
        <f t="shared" si="2"/>
        <v>Сократ</v>
      </c>
    </row>
    <row r="178" spans="1:2" x14ac:dyDescent="0.3">
      <c r="A178" s="38" t="s">
        <v>723</v>
      </c>
      <c r="B178" t="str">
        <f t="shared" si="2"/>
        <v>Оксана</v>
      </c>
    </row>
    <row r="179" spans="1:2" x14ac:dyDescent="0.3">
      <c r="A179" s="39" t="s">
        <v>687</v>
      </c>
      <c r="B179" t="str">
        <f t="shared" si="2"/>
        <v>Филимон</v>
      </c>
    </row>
    <row r="180" spans="1:2" x14ac:dyDescent="0.3">
      <c r="A180" s="38" t="s">
        <v>675</v>
      </c>
      <c r="B180" t="str">
        <f t="shared" si="2"/>
        <v>Алевтина</v>
      </c>
    </row>
    <row r="181" spans="1:2" x14ac:dyDescent="0.3">
      <c r="A181" s="39" t="s">
        <v>657</v>
      </c>
      <c r="B181" t="str">
        <f t="shared" si="2"/>
        <v>Юрий</v>
      </c>
    </row>
    <row r="182" spans="1:2" x14ac:dyDescent="0.3">
      <c r="A182" s="38" t="s">
        <v>641</v>
      </c>
      <c r="B182" t="str">
        <f t="shared" si="2"/>
        <v>Екатерина</v>
      </c>
    </row>
    <row r="183" spans="1:2" x14ac:dyDescent="0.3">
      <c r="A183" s="39" t="s">
        <v>621</v>
      </c>
      <c r="B183" t="str">
        <f t="shared" si="2"/>
        <v>Ия</v>
      </c>
    </row>
    <row r="184" spans="1:2" x14ac:dyDescent="0.3">
      <c r="A184" s="38" t="s">
        <v>611</v>
      </c>
      <c r="B184" t="str">
        <f t="shared" si="2"/>
        <v>Жанна</v>
      </c>
    </row>
    <row r="185" spans="1:2" x14ac:dyDescent="0.3">
      <c r="A185" s="39" t="s">
        <v>609</v>
      </c>
      <c r="B185" t="str">
        <f t="shared" si="2"/>
        <v>Милан</v>
      </c>
    </row>
    <row r="186" spans="1:2" x14ac:dyDescent="0.3">
      <c r="A186" s="38" t="s">
        <v>605</v>
      </c>
      <c r="B186" t="str">
        <f t="shared" si="2"/>
        <v>Давыд</v>
      </c>
    </row>
    <row r="187" spans="1:2" x14ac:dyDescent="0.3">
      <c r="A187" s="39" t="s">
        <v>587</v>
      </c>
      <c r="B187" t="str">
        <f t="shared" si="2"/>
        <v>Александра</v>
      </c>
    </row>
    <row r="188" spans="1:2" x14ac:dyDescent="0.3">
      <c r="A188" s="38" t="s">
        <v>565</v>
      </c>
      <c r="B188" t="str">
        <f t="shared" si="2"/>
        <v>Потап</v>
      </c>
    </row>
    <row r="189" spans="1:2" x14ac:dyDescent="0.3">
      <c r="A189" s="39" t="s">
        <v>529</v>
      </c>
      <c r="B189" t="str">
        <f t="shared" si="2"/>
        <v>Людмила</v>
      </c>
    </row>
    <row r="190" spans="1:2" x14ac:dyDescent="0.3">
      <c r="A190" s="38" t="s">
        <v>509</v>
      </c>
      <c r="B190" t="str">
        <f t="shared" si="2"/>
        <v>Елена</v>
      </c>
    </row>
    <row r="191" spans="1:2" x14ac:dyDescent="0.3">
      <c r="A191" s="39" t="s">
        <v>505</v>
      </c>
      <c r="B191" t="str">
        <f t="shared" si="2"/>
        <v>Евпраксия</v>
      </c>
    </row>
    <row r="192" spans="1:2" x14ac:dyDescent="0.3">
      <c r="A192" s="38" t="s">
        <v>457</v>
      </c>
      <c r="B192" t="str">
        <f t="shared" si="2"/>
        <v>Синклитикия</v>
      </c>
    </row>
    <row r="193" spans="1:2" x14ac:dyDescent="0.3">
      <c r="A193" s="39" t="s">
        <v>419</v>
      </c>
      <c r="B193" t="str">
        <f t="shared" si="2"/>
        <v>Эмилия</v>
      </c>
    </row>
    <row r="194" spans="1:2" x14ac:dyDescent="0.3">
      <c r="A194" s="38" t="s">
        <v>375</v>
      </c>
      <c r="B194" t="str">
        <f t="shared" si="2"/>
        <v>Валентина</v>
      </c>
    </row>
    <row r="195" spans="1:2" x14ac:dyDescent="0.3">
      <c r="A195" s="39" t="s">
        <v>341</v>
      </c>
      <c r="B195" t="str">
        <f t="shared" ref="B195:B258" si="3">IF(OR(RIGHT(MID(A195,SEARCH(" ",A195,SEARCH(" ",A195)+1)+1,99),3)="вич",RIGHT(MID(A195,SEARCH(" ",A195,SEARCH(" ",A195)+1)+1,99),3)="вна",RIGHT(MID(A195,SEARCH(" ",A195,SEARCH(" ",A195)+1)+1,99),2)="ич",RIGHT(MID(A195,SEARCH(" ",A195,SEARCH(" ",A195)+1)+1,99),4)="ична"),
MID(A195,SEARCH(" ",A195)+1,SEARCH(" ",A195,SEARCH(" ",A195)+1)-SEARCH(" ",A195)-1),
MID(A195,1,SEARCH(" ",A195)-1))</f>
        <v>Анастасия</v>
      </c>
    </row>
    <row r="196" spans="1:2" x14ac:dyDescent="0.3">
      <c r="A196" s="38" t="s">
        <v>327</v>
      </c>
      <c r="B196" t="str">
        <f t="shared" si="3"/>
        <v>Андроник</v>
      </c>
    </row>
    <row r="197" spans="1:2" x14ac:dyDescent="0.3">
      <c r="A197" s="39" t="s">
        <v>315</v>
      </c>
      <c r="B197" t="str">
        <f t="shared" si="3"/>
        <v>Лора</v>
      </c>
    </row>
    <row r="198" spans="1:2" x14ac:dyDescent="0.3">
      <c r="A198" s="38" t="s">
        <v>311</v>
      </c>
      <c r="B198" t="str">
        <f t="shared" si="3"/>
        <v>Алевтина</v>
      </c>
    </row>
    <row r="199" spans="1:2" x14ac:dyDescent="0.3">
      <c r="A199" s="39" t="s">
        <v>283</v>
      </c>
      <c r="B199" t="str">
        <f t="shared" si="3"/>
        <v>Миронова</v>
      </c>
    </row>
    <row r="200" spans="1:2" x14ac:dyDescent="0.3">
      <c r="A200" s="38" t="s">
        <v>277</v>
      </c>
      <c r="B200" t="str">
        <f t="shared" si="3"/>
        <v>Октябрина</v>
      </c>
    </row>
    <row r="201" spans="1:2" x14ac:dyDescent="0.3">
      <c r="A201" s="39" t="s">
        <v>275</v>
      </c>
      <c r="B201" t="str">
        <f t="shared" si="3"/>
        <v>Анжелика</v>
      </c>
    </row>
    <row r="202" spans="1:2" x14ac:dyDescent="0.3">
      <c r="A202" s="38" t="s">
        <v>263</v>
      </c>
      <c r="B202" t="str">
        <f t="shared" si="3"/>
        <v>Зуев</v>
      </c>
    </row>
    <row r="203" spans="1:2" x14ac:dyDescent="0.3">
      <c r="A203" s="39" t="s">
        <v>187</v>
      </c>
      <c r="B203" t="str">
        <f t="shared" si="3"/>
        <v>Ипат</v>
      </c>
    </row>
    <row r="204" spans="1:2" x14ac:dyDescent="0.3">
      <c r="A204" s="38" t="s">
        <v>169</v>
      </c>
      <c r="B204" t="str">
        <f t="shared" si="3"/>
        <v>Ольга</v>
      </c>
    </row>
    <row r="205" spans="1:2" x14ac:dyDescent="0.3">
      <c r="A205" s="39" t="s">
        <v>1007</v>
      </c>
      <c r="B205" t="str">
        <f t="shared" si="3"/>
        <v>Фадей</v>
      </c>
    </row>
    <row r="206" spans="1:2" x14ac:dyDescent="0.3">
      <c r="A206" s="38" t="s">
        <v>1005</v>
      </c>
      <c r="B206" t="str">
        <f t="shared" si="3"/>
        <v>Вера</v>
      </c>
    </row>
    <row r="207" spans="1:2" x14ac:dyDescent="0.3">
      <c r="A207" s="39" t="s">
        <v>995</v>
      </c>
      <c r="B207" t="str">
        <f t="shared" si="3"/>
        <v>Зоя</v>
      </c>
    </row>
    <row r="208" spans="1:2" x14ac:dyDescent="0.3">
      <c r="A208" s="38" t="s">
        <v>965</v>
      </c>
      <c r="B208" t="str">
        <f t="shared" si="3"/>
        <v>Нинель</v>
      </c>
    </row>
    <row r="209" spans="1:2" x14ac:dyDescent="0.3">
      <c r="A209" s="39" t="s">
        <v>855</v>
      </c>
      <c r="B209" t="str">
        <f t="shared" si="3"/>
        <v>Регина</v>
      </c>
    </row>
    <row r="210" spans="1:2" x14ac:dyDescent="0.3">
      <c r="A210" s="38" t="s">
        <v>795</v>
      </c>
      <c r="B210" t="str">
        <f t="shared" si="3"/>
        <v>Фрол</v>
      </c>
    </row>
    <row r="211" spans="1:2" x14ac:dyDescent="0.3">
      <c r="A211" s="39" t="s">
        <v>747</v>
      </c>
      <c r="B211" t="str">
        <f t="shared" si="3"/>
        <v>Павел</v>
      </c>
    </row>
    <row r="212" spans="1:2" x14ac:dyDescent="0.3">
      <c r="A212" s="38" t="s">
        <v>693</v>
      </c>
      <c r="B212" t="str">
        <f t="shared" si="3"/>
        <v>Таисия</v>
      </c>
    </row>
    <row r="213" spans="1:2" x14ac:dyDescent="0.3">
      <c r="A213" s="39" t="s">
        <v>673</v>
      </c>
      <c r="B213" t="str">
        <f t="shared" si="3"/>
        <v>Евпраксия</v>
      </c>
    </row>
    <row r="214" spans="1:2" x14ac:dyDescent="0.3">
      <c r="A214" s="38" t="s">
        <v>669</v>
      </c>
      <c r="B214" t="str">
        <f t="shared" si="3"/>
        <v>Агафья</v>
      </c>
    </row>
    <row r="215" spans="1:2" x14ac:dyDescent="0.3">
      <c r="A215" s="39" t="s">
        <v>667</v>
      </c>
      <c r="B215" t="str">
        <f t="shared" si="3"/>
        <v>Флорентин</v>
      </c>
    </row>
    <row r="216" spans="1:2" x14ac:dyDescent="0.3">
      <c r="A216" s="38" t="s">
        <v>597</v>
      </c>
      <c r="B216" t="str">
        <f t="shared" si="3"/>
        <v>Ирина</v>
      </c>
    </row>
    <row r="217" spans="1:2" x14ac:dyDescent="0.3">
      <c r="A217" s="39" t="s">
        <v>563</v>
      </c>
      <c r="B217" t="str">
        <f t="shared" si="3"/>
        <v>Никита</v>
      </c>
    </row>
    <row r="218" spans="1:2" x14ac:dyDescent="0.3">
      <c r="A218" s="38" t="s">
        <v>543</v>
      </c>
      <c r="B218" t="str">
        <f t="shared" si="3"/>
        <v>Юлия</v>
      </c>
    </row>
    <row r="219" spans="1:2" x14ac:dyDescent="0.3">
      <c r="A219" s="39" t="s">
        <v>497</v>
      </c>
      <c r="B219" t="str">
        <f t="shared" si="3"/>
        <v>Аникей</v>
      </c>
    </row>
    <row r="220" spans="1:2" x14ac:dyDescent="0.3">
      <c r="A220" s="38" t="s">
        <v>491</v>
      </c>
      <c r="B220" t="str">
        <f t="shared" si="3"/>
        <v>Кира</v>
      </c>
    </row>
    <row r="221" spans="1:2" x14ac:dyDescent="0.3">
      <c r="A221" s="39" t="s">
        <v>435</v>
      </c>
      <c r="B221" t="str">
        <f t="shared" si="3"/>
        <v>Михей</v>
      </c>
    </row>
    <row r="222" spans="1:2" x14ac:dyDescent="0.3">
      <c r="A222" s="38" t="s">
        <v>423</v>
      </c>
      <c r="B222" t="str">
        <f t="shared" si="3"/>
        <v>Силантий</v>
      </c>
    </row>
    <row r="223" spans="1:2" x14ac:dyDescent="0.3">
      <c r="A223" s="39" t="s">
        <v>417</v>
      </c>
      <c r="B223" t="str">
        <f t="shared" si="3"/>
        <v>Нинель</v>
      </c>
    </row>
    <row r="224" spans="1:2" x14ac:dyDescent="0.3">
      <c r="A224" s="38" t="s">
        <v>345</v>
      </c>
      <c r="B224" t="str">
        <f t="shared" si="3"/>
        <v>Наталья</v>
      </c>
    </row>
    <row r="225" spans="1:2" x14ac:dyDescent="0.3">
      <c r="A225" s="39" t="s">
        <v>331</v>
      </c>
      <c r="B225" t="str">
        <f t="shared" si="3"/>
        <v>Захар</v>
      </c>
    </row>
    <row r="226" spans="1:2" x14ac:dyDescent="0.3">
      <c r="A226" s="38" t="s">
        <v>325</v>
      </c>
      <c r="B226" t="str">
        <f t="shared" si="3"/>
        <v>Маргарита</v>
      </c>
    </row>
    <row r="227" spans="1:2" x14ac:dyDescent="0.3">
      <c r="A227" s="39" t="s">
        <v>257</v>
      </c>
      <c r="B227" t="str">
        <f t="shared" si="3"/>
        <v>Элеонора</v>
      </c>
    </row>
    <row r="228" spans="1:2" x14ac:dyDescent="0.3">
      <c r="A228" s="38" t="s">
        <v>255</v>
      </c>
      <c r="B228" t="str">
        <f t="shared" si="3"/>
        <v>Любовь</v>
      </c>
    </row>
    <row r="229" spans="1:2" x14ac:dyDescent="0.3">
      <c r="A229" s="39" t="s">
        <v>207</v>
      </c>
      <c r="B229" t="str">
        <f t="shared" si="3"/>
        <v>Александра</v>
      </c>
    </row>
    <row r="230" spans="1:2" x14ac:dyDescent="0.3">
      <c r="A230" s="38" t="s">
        <v>191</v>
      </c>
      <c r="B230" t="str">
        <f t="shared" si="3"/>
        <v>Агата</v>
      </c>
    </row>
    <row r="231" spans="1:2" x14ac:dyDescent="0.3">
      <c r="A231" s="39" t="s">
        <v>167</v>
      </c>
      <c r="B231" t="str">
        <f t="shared" si="3"/>
        <v>Эмилия</v>
      </c>
    </row>
    <row r="232" spans="1:2" x14ac:dyDescent="0.3">
      <c r="A232" s="38" t="s">
        <v>151</v>
      </c>
      <c r="B232" t="str">
        <f t="shared" si="3"/>
        <v>Олимпий</v>
      </c>
    </row>
    <row r="233" spans="1:2" x14ac:dyDescent="0.3">
      <c r="A233" s="39" t="s">
        <v>989</v>
      </c>
      <c r="B233" t="str">
        <f t="shared" si="3"/>
        <v>Август</v>
      </c>
    </row>
    <row r="234" spans="1:2" x14ac:dyDescent="0.3">
      <c r="A234" s="38" t="s">
        <v>949</v>
      </c>
      <c r="B234" t="str">
        <f t="shared" si="3"/>
        <v>Полина</v>
      </c>
    </row>
    <row r="235" spans="1:2" x14ac:dyDescent="0.3">
      <c r="A235" s="39" t="s">
        <v>937</v>
      </c>
      <c r="B235" t="str">
        <f t="shared" si="3"/>
        <v>Ратибор</v>
      </c>
    </row>
    <row r="236" spans="1:2" x14ac:dyDescent="0.3">
      <c r="A236" s="38" t="s">
        <v>925</v>
      </c>
      <c r="B236" t="str">
        <f t="shared" si="3"/>
        <v>Харлампий</v>
      </c>
    </row>
    <row r="237" spans="1:2" x14ac:dyDescent="0.3">
      <c r="A237" s="39" t="s">
        <v>917</v>
      </c>
      <c r="B237" t="str">
        <f t="shared" si="3"/>
        <v>Ия</v>
      </c>
    </row>
    <row r="238" spans="1:2" x14ac:dyDescent="0.3">
      <c r="A238" s="38" t="s">
        <v>895</v>
      </c>
      <c r="B238" t="str">
        <f t="shared" si="3"/>
        <v>Агата</v>
      </c>
    </row>
    <row r="239" spans="1:2" x14ac:dyDescent="0.3">
      <c r="A239" s="39" t="s">
        <v>879</v>
      </c>
      <c r="B239" t="str">
        <f t="shared" si="3"/>
        <v>Капитон</v>
      </c>
    </row>
    <row r="240" spans="1:2" x14ac:dyDescent="0.3">
      <c r="A240" s="38" t="s">
        <v>867</v>
      </c>
      <c r="B240" t="str">
        <f t="shared" si="3"/>
        <v>Вера</v>
      </c>
    </row>
    <row r="241" spans="1:2" x14ac:dyDescent="0.3">
      <c r="A241" s="39" t="s">
        <v>839</v>
      </c>
      <c r="B241" t="str">
        <f t="shared" si="3"/>
        <v>Елизавета</v>
      </c>
    </row>
    <row r="242" spans="1:2" x14ac:dyDescent="0.3">
      <c r="A242" s="38" t="s">
        <v>811</v>
      </c>
      <c r="B242" t="str">
        <f t="shared" si="3"/>
        <v>Назар</v>
      </c>
    </row>
    <row r="243" spans="1:2" x14ac:dyDescent="0.3">
      <c r="A243" s="39" t="s">
        <v>773</v>
      </c>
      <c r="B243" t="str">
        <f t="shared" si="3"/>
        <v>Любомир</v>
      </c>
    </row>
    <row r="244" spans="1:2" x14ac:dyDescent="0.3">
      <c r="A244" s="38" t="s">
        <v>771</v>
      </c>
      <c r="B244" t="str">
        <f t="shared" si="3"/>
        <v>Маргарита</v>
      </c>
    </row>
    <row r="245" spans="1:2" x14ac:dyDescent="0.3">
      <c r="A245" s="39" t="s">
        <v>769</v>
      </c>
      <c r="B245" t="str">
        <f t="shared" si="3"/>
        <v>Авдей</v>
      </c>
    </row>
    <row r="246" spans="1:2" x14ac:dyDescent="0.3">
      <c r="A246" s="38" t="s">
        <v>755</v>
      </c>
      <c r="B246" t="str">
        <f t="shared" si="3"/>
        <v>Евпраксия</v>
      </c>
    </row>
    <row r="247" spans="1:2" x14ac:dyDescent="0.3">
      <c r="A247" s="39" t="s">
        <v>705</v>
      </c>
      <c r="B247" t="str">
        <f t="shared" si="3"/>
        <v>Евфросиния</v>
      </c>
    </row>
    <row r="248" spans="1:2" x14ac:dyDescent="0.3">
      <c r="A248" s="38" t="s">
        <v>679</v>
      </c>
      <c r="B248" t="str">
        <f t="shared" si="3"/>
        <v>Любовь</v>
      </c>
    </row>
    <row r="249" spans="1:2" x14ac:dyDescent="0.3">
      <c r="A249" s="39" t="s">
        <v>677</v>
      </c>
      <c r="B249" t="str">
        <f t="shared" si="3"/>
        <v>Спиридон</v>
      </c>
    </row>
    <row r="250" spans="1:2" x14ac:dyDescent="0.3">
      <c r="A250" s="38" t="s">
        <v>655</v>
      </c>
      <c r="B250" t="str">
        <f t="shared" si="3"/>
        <v>Конон</v>
      </c>
    </row>
    <row r="251" spans="1:2" x14ac:dyDescent="0.3">
      <c r="A251" s="39" t="s">
        <v>653</v>
      </c>
      <c r="B251" t="str">
        <f t="shared" si="3"/>
        <v>Елисей</v>
      </c>
    </row>
    <row r="252" spans="1:2" x14ac:dyDescent="0.3">
      <c r="A252" s="38" t="s">
        <v>607</v>
      </c>
      <c r="B252" t="str">
        <f t="shared" si="3"/>
        <v>Алла</v>
      </c>
    </row>
    <row r="253" spans="1:2" x14ac:dyDescent="0.3">
      <c r="A253" s="39" t="s">
        <v>601</v>
      </c>
      <c r="B253" t="str">
        <f t="shared" si="3"/>
        <v>Глеб</v>
      </c>
    </row>
    <row r="254" spans="1:2" x14ac:dyDescent="0.3">
      <c r="A254" s="38" t="s">
        <v>569</v>
      </c>
      <c r="B254" t="str">
        <f t="shared" si="3"/>
        <v>Велимир</v>
      </c>
    </row>
    <row r="255" spans="1:2" x14ac:dyDescent="0.3">
      <c r="A255" s="39" t="s">
        <v>507</v>
      </c>
      <c r="B255" t="str">
        <f t="shared" si="3"/>
        <v>Константин</v>
      </c>
    </row>
    <row r="256" spans="1:2" x14ac:dyDescent="0.3">
      <c r="A256" s="38" t="s">
        <v>503</v>
      </c>
      <c r="B256" t="str">
        <f t="shared" si="3"/>
        <v>Дмитрий</v>
      </c>
    </row>
    <row r="257" spans="1:2" x14ac:dyDescent="0.3">
      <c r="A257" s="39" t="s">
        <v>487</v>
      </c>
      <c r="B257" t="str">
        <f t="shared" si="3"/>
        <v>Ираида</v>
      </c>
    </row>
    <row r="258" spans="1:2" x14ac:dyDescent="0.3">
      <c r="A258" s="38" t="s">
        <v>411</v>
      </c>
      <c r="B258" t="str">
        <f t="shared" si="3"/>
        <v>Галактион</v>
      </c>
    </row>
    <row r="259" spans="1:2" x14ac:dyDescent="0.3">
      <c r="A259" s="39" t="s">
        <v>405</v>
      </c>
      <c r="B259" t="str">
        <f t="shared" ref="B259:B322" si="4">IF(OR(RIGHT(MID(A259,SEARCH(" ",A259,SEARCH(" ",A259)+1)+1,99),3)="вич",RIGHT(MID(A259,SEARCH(" ",A259,SEARCH(" ",A259)+1)+1,99),3)="вна",RIGHT(MID(A259,SEARCH(" ",A259,SEARCH(" ",A259)+1)+1,99),2)="ич",RIGHT(MID(A259,SEARCH(" ",A259,SEARCH(" ",A259)+1)+1,99),4)="ична"),
MID(A259,SEARCH(" ",A259)+1,SEARCH(" ",A259,SEARCH(" ",A259)+1)-SEARCH(" ",A259)-1),
MID(A259,1,SEARCH(" ",A259)-1))</f>
        <v>Марина</v>
      </c>
    </row>
    <row r="260" spans="1:2" x14ac:dyDescent="0.3">
      <c r="A260" s="38" t="s">
        <v>393</v>
      </c>
      <c r="B260" t="str">
        <f t="shared" si="4"/>
        <v>Зоя</v>
      </c>
    </row>
    <row r="261" spans="1:2" x14ac:dyDescent="0.3">
      <c r="A261" s="39" t="s">
        <v>379</v>
      </c>
      <c r="B261" t="str">
        <f t="shared" si="4"/>
        <v>Кира</v>
      </c>
    </row>
    <row r="262" spans="1:2" x14ac:dyDescent="0.3">
      <c r="A262" s="38" t="s">
        <v>373</v>
      </c>
      <c r="B262" t="str">
        <f t="shared" si="4"/>
        <v>Аристарх</v>
      </c>
    </row>
    <row r="263" spans="1:2" x14ac:dyDescent="0.3">
      <c r="A263" s="39" t="s">
        <v>367</v>
      </c>
      <c r="B263" t="str">
        <f t="shared" si="4"/>
        <v>Радислав</v>
      </c>
    </row>
    <row r="264" spans="1:2" x14ac:dyDescent="0.3">
      <c r="A264" s="38" t="s">
        <v>353</v>
      </c>
      <c r="B264" t="str">
        <f t="shared" si="4"/>
        <v>Аггей</v>
      </c>
    </row>
    <row r="265" spans="1:2" x14ac:dyDescent="0.3">
      <c r="A265" s="39" t="s">
        <v>307</v>
      </c>
      <c r="B265" t="str">
        <f t="shared" si="4"/>
        <v>Виктория</v>
      </c>
    </row>
    <row r="266" spans="1:2" x14ac:dyDescent="0.3">
      <c r="A266" s="38" t="s">
        <v>235</v>
      </c>
      <c r="B266" t="str">
        <f t="shared" si="4"/>
        <v>Харлампий</v>
      </c>
    </row>
    <row r="267" spans="1:2" x14ac:dyDescent="0.3">
      <c r="A267" s="39" t="s">
        <v>211</v>
      </c>
      <c r="B267" t="str">
        <f t="shared" si="4"/>
        <v>Пелагея</v>
      </c>
    </row>
    <row r="268" spans="1:2" x14ac:dyDescent="0.3">
      <c r="A268" s="38" t="s">
        <v>185</v>
      </c>
      <c r="B268" t="str">
        <f t="shared" si="4"/>
        <v>Творимир</v>
      </c>
    </row>
    <row r="269" spans="1:2" x14ac:dyDescent="0.3">
      <c r="A269" s="39" t="s">
        <v>179</v>
      </c>
      <c r="B269" t="str">
        <f t="shared" si="4"/>
        <v>Вера</v>
      </c>
    </row>
    <row r="270" spans="1:2" x14ac:dyDescent="0.3">
      <c r="A270" s="38" t="s">
        <v>177</v>
      </c>
      <c r="B270" t="str">
        <f t="shared" si="4"/>
        <v>Лора</v>
      </c>
    </row>
    <row r="271" spans="1:2" x14ac:dyDescent="0.3">
      <c r="A271" s="39" t="s">
        <v>163</v>
      </c>
      <c r="B271" t="str">
        <f t="shared" si="4"/>
        <v>Светлана</v>
      </c>
    </row>
    <row r="272" spans="1:2" x14ac:dyDescent="0.3">
      <c r="A272" s="38" t="s">
        <v>159</v>
      </c>
      <c r="B272" t="str">
        <f t="shared" si="4"/>
        <v>Амос</v>
      </c>
    </row>
    <row r="273" spans="1:2" x14ac:dyDescent="0.3">
      <c r="A273" s="39" t="s">
        <v>991</v>
      </c>
      <c r="B273" t="str">
        <f t="shared" si="4"/>
        <v>Любовь</v>
      </c>
    </row>
    <row r="274" spans="1:2" x14ac:dyDescent="0.3">
      <c r="A274" s="38" t="s">
        <v>977</v>
      </c>
      <c r="B274" t="str">
        <f t="shared" si="4"/>
        <v>Филимон</v>
      </c>
    </row>
    <row r="275" spans="1:2" x14ac:dyDescent="0.3">
      <c r="A275" s="39" t="s">
        <v>967</v>
      </c>
      <c r="B275" t="str">
        <f t="shared" si="4"/>
        <v>Феврония</v>
      </c>
    </row>
    <row r="276" spans="1:2" x14ac:dyDescent="0.3">
      <c r="A276" s="38" t="s">
        <v>959</v>
      </c>
      <c r="B276" t="str">
        <f t="shared" si="4"/>
        <v>Чеслав</v>
      </c>
    </row>
    <row r="277" spans="1:2" x14ac:dyDescent="0.3">
      <c r="A277" s="39" t="s">
        <v>899</v>
      </c>
      <c r="B277" t="str">
        <f t="shared" si="4"/>
        <v>Эмилия</v>
      </c>
    </row>
    <row r="278" spans="1:2" x14ac:dyDescent="0.3">
      <c r="A278" s="38" t="s">
        <v>891</v>
      </c>
      <c r="B278" t="str">
        <f t="shared" si="4"/>
        <v>Ипатий</v>
      </c>
    </row>
    <row r="279" spans="1:2" x14ac:dyDescent="0.3">
      <c r="A279" s="39" t="s">
        <v>841</v>
      </c>
      <c r="B279" t="str">
        <f t="shared" si="4"/>
        <v>Виктор</v>
      </c>
    </row>
    <row r="280" spans="1:2" x14ac:dyDescent="0.3">
      <c r="A280" s="38" t="s">
        <v>779</v>
      </c>
      <c r="B280" t="str">
        <f t="shared" si="4"/>
        <v>Раиса</v>
      </c>
    </row>
    <row r="281" spans="1:2" x14ac:dyDescent="0.3">
      <c r="A281" s="39" t="s">
        <v>759</v>
      </c>
      <c r="B281" t="str">
        <f t="shared" si="4"/>
        <v>Ефрем</v>
      </c>
    </row>
    <row r="282" spans="1:2" x14ac:dyDescent="0.3">
      <c r="A282" s="38" t="s">
        <v>713</v>
      </c>
      <c r="B282" t="str">
        <f t="shared" si="4"/>
        <v>Глафира</v>
      </c>
    </row>
    <row r="283" spans="1:2" x14ac:dyDescent="0.3">
      <c r="A283" s="39" t="s">
        <v>703</v>
      </c>
      <c r="B283" t="str">
        <f t="shared" si="4"/>
        <v>Кир</v>
      </c>
    </row>
    <row r="284" spans="1:2" x14ac:dyDescent="0.3">
      <c r="A284" s="38" t="s">
        <v>683</v>
      </c>
      <c r="B284" t="str">
        <f t="shared" si="4"/>
        <v>Валерия</v>
      </c>
    </row>
    <row r="285" spans="1:2" x14ac:dyDescent="0.3">
      <c r="A285" s="39" t="s">
        <v>639</v>
      </c>
      <c r="B285" t="str">
        <f t="shared" si="4"/>
        <v>Лука</v>
      </c>
    </row>
    <row r="286" spans="1:2" x14ac:dyDescent="0.3">
      <c r="A286" s="38" t="s">
        <v>619</v>
      </c>
      <c r="B286" t="str">
        <f t="shared" si="4"/>
        <v>Борис</v>
      </c>
    </row>
    <row r="287" spans="1:2" x14ac:dyDescent="0.3">
      <c r="A287" s="39" t="s">
        <v>603</v>
      </c>
      <c r="B287" t="str">
        <f t="shared" si="4"/>
        <v>Софон</v>
      </c>
    </row>
    <row r="288" spans="1:2" x14ac:dyDescent="0.3">
      <c r="A288" s="38" t="s">
        <v>579</v>
      </c>
      <c r="B288" t="str">
        <f t="shared" si="4"/>
        <v>Раиса</v>
      </c>
    </row>
    <row r="289" spans="1:2" x14ac:dyDescent="0.3">
      <c r="A289" s="39" t="s">
        <v>573</v>
      </c>
      <c r="B289" t="str">
        <f t="shared" si="4"/>
        <v>Елена</v>
      </c>
    </row>
    <row r="290" spans="1:2" x14ac:dyDescent="0.3">
      <c r="A290" s="38" t="s">
        <v>517</v>
      </c>
      <c r="B290" t="str">
        <f t="shared" si="4"/>
        <v>Анастасия</v>
      </c>
    </row>
    <row r="291" spans="1:2" x14ac:dyDescent="0.3">
      <c r="A291" s="39" t="s">
        <v>485</v>
      </c>
      <c r="B291" t="str">
        <f t="shared" si="4"/>
        <v>Орест</v>
      </c>
    </row>
    <row r="292" spans="1:2" x14ac:dyDescent="0.3">
      <c r="A292" s="38" t="s">
        <v>453</v>
      </c>
      <c r="B292" t="str">
        <f t="shared" si="4"/>
        <v>Любовь</v>
      </c>
    </row>
    <row r="293" spans="1:2" x14ac:dyDescent="0.3">
      <c r="A293" s="39" t="s">
        <v>433</v>
      </c>
      <c r="B293" t="str">
        <f t="shared" si="4"/>
        <v>Ираклий</v>
      </c>
    </row>
    <row r="294" spans="1:2" x14ac:dyDescent="0.3">
      <c r="A294" s="38" t="s">
        <v>425</v>
      </c>
      <c r="B294" t="str">
        <f t="shared" si="4"/>
        <v>Татьяна</v>
      </c>
    </row>
    <row r="295" spans="1:2" x14ac:dyDescent="0.3">
      <c r="A295" s="39" t="s">
        <v>421</v>
      </c>
      <c r="B295" t="str">
        <f t="shared" si="4"/>
        <v>Родион</v>
      </c>
    </row>
    <row r="296" spans="1:2" x14ac:dyDescent="0.3">
      <c r="A296" s="38" t="s">
        <v>409</v>
      </c>
      <c r="B296" t="str">
        <f t="shared" si="4"/>
        <v>Алевтина</v>
      </c>
    </row>
    <row r="297" spans="1:2" x14ac:dyDescent="0.3">
      <c r="A297" s="39" t="s">
        <v>391</v>
      </c>
      <c r="B297" t="str">
        <f t="shared" si="4"/>
        <v>Лука</v>
      </c>
    </row>
    <row r="298" spans="1:2" x14ac:dyDescent="0.3">
      <c r="A298" s="38" t="s">
        <v>371</v>
      </c>
      <c r="B298" t="str">
        <f t="shared" si="4"/>
        <v>Татьяна</v>
      </c>
    </row>
    <row r="299" spans="1:2" x14ac:dyDescent="0.3">
      <c r="A299" s="39" t="s">
        <v>365</v>
      </c>
      <c r="B299" t="str">
        <f t="shared" si="4"/>
        <v>Мартын</v>
      </c>
    </row>
    <row r="300" spans="1:2" x14ac:dyDescent="0.3">
      <c r="A300" s="38" t="s">
        <v>355</v>
      </c>
      <c r="B300" t="str">
        <f t="shared" si="4"/>
        <v>Давыд</v>
      </c>
    </row>
    <row r="301" spans="1:2" x14ac:dyDescent="0.3">
      <c r="A301" s="39" t="s">
        <v>335</v>
      </c>
      <c r="B301" t="str">
        <f t="shared" si="4"/>
        <v>Сила</v>
      </c>
    </row>
    <row r="302" spans="1:2" x14ac:dyDescent="0.3">
      <c r="A302" s="38" t="s">
        <v>323</v>
      </c>
      <c r="B302" t="str">
        <f t="shared" si="4"/>
        <v>Измаил</v>
      </c>
    </row>
    <row r="303" spans="1:2" x14ac:dyDescent="0.3">
      <c r="A303" s="39" t="s">
        <v>309</v>
      </c>
      <c r="B303" t="str">
        <f t="shared" si="4"/>
        <v>Жанна</v>
      </c>
    </row>
    <row r="304" spans="1:2" x14ac:dyDescent="0.3">
      <c r="A304" s="38" t="s">
        <v>297</v>
      </c>
      <c r="B304" t="str">
        <f t="shared" si="4"/>
        <v>Кира</v>
      </c>
    </row>
    <row r="305" spans="1:2" x14ac:dyDescent="0.3">
      <c r="A305" s="39" t="s">
        <v>261</v>
      </c>
      <c r="B305" t="str">
        <f t="shared" si="4"/>
        <v>Таисия</v>
      </c>
    </row>
    <row r="306" spans="1:2" x14ac:dyDescent="0.3">
      <c r="A306" s="38" t="s">
        <v>239</v>
      </c>
      <c r="B306" t="str">
        <f t="shared" si="4"/>
        <v>Влас</v>
      </c>
    </row>
    <row r="307" spans="1:2" x14ac:dyDescent="0.3">
      <c r="A307" s="39" t="s">
        <v>215</v>
      </c>
      <c r="B307" t="str">
        <f t="shared" si="4"/>
        <v>Любомир</v>
      </c>
    </row>
    <row r="308" spans="1:2" x14ac:dyDescent="0.3">
      <c r="A308" s="38" t="s">
        <v>209</v>
      </c>
      <c r="B308" t="str">
        <f t="shared" si="4"/>
        <v>Еремей</v>
      </c>
    </row>
    <row r="309" spans="1:2" x14ac:dyDescent="0.3">
      <c r="A309" s="39" t="s">
        <v>181</v>
      </c>
      <c r="B309" t="str">
        <f t="shared" si="4"/>
        <v>Леон</v>
      </c>
    </row>
    <row r="310" spans="1:2" x14ac:dyDescent="0.3">
      <c r="A310" s="38" t="s">
        <v>157</v>
      </c>
      <c r="B310" t="str">
        <f t="shared" si="4"/>
        <v>Якуб</v>
      </c>
    </row>
    <row r="311" spans="1:2" x14ac:dyDescent="0.3">
      <c r="A311" s="39" t="s">
        <v>1001</v>
      </c>
      <c r="B311" t="str">
        <f t="shared" si="4"/>
        <v>Вера</v>
      </c>
    </row>
    <row r="312" spans="1:2" x14ac:dyDescent="0.3">
      <c r="A312" s="38" t="s">
        <v>987</v>
      </c>
      <c r="B312" t="str">
        <f t="shared" si="4"/>
        <v>Мефодий</v>
      </c>
    </row>
    <row r="313" spans="1:2" x14ac:dyDescent="0.3">
      <c r="A313" s="39" t="s">
        <v>985</v>
      </c>
      <c r="B313" t="str">
        <f t="shared" si="4"/>
        <v>Влас</v>
      </c>
    </row>
    <row r="314" spans="1:2" x14ac:dyDescent="0.3">
      <c r="A314" s="38" t="s">
        <v>961</v>
      </c>
      <c r="B314" t="str">
        <f t="shared" si="4"/>
        <v>Олимпий</v>
      </c>
    </row>
    <row r="315" spans="1:2" x14ac:dyDescent="0.3">
      <c r="A315" s="39" t="s">
        <v>953</v>
      </c>
      <c r="B315" t="str">
        <f t="shared" si="4"/>
        <v>Майя</v>
      </c>
    </row>
    <row r="316" spans="1:2" x14ac:dyDescent="0.3">
      <c r="A316" s="38" t="s">
        <v>947</v>
      </c>
      <c r="B316" t="str">
        <f t="shared" si="4"/>
        <v>Элеонора</v>
      </c>
    </row>
    <row r="317" spans="1:2" x14ac:dyDescent="0.3">
      <c r="A317" s="39" t="s">
        <v>921</v>
      </c>
      <c r="B317" t="str">
        <f t="shared" si="4"/>
        <v>Юлия</v>
      </c>
    </row>
    <row r="318" spans="1:2" x14ac:dyDescent="0.3">
      <c r="A318" s="38" t="s">
        <v>901</v>
      </c>
      <c r="B318" t="str">
        <f t="shared" si="4"/>
        <v>Василиса</v>
      </c>
    </row>
    <row r="319" spans="1:2" x14ac:dyDescent="0.3">
      <c r="A319" s="39" t="s">
        <v>875</v>
      </c>
      <c r="B319" t="str">
        <f t="shared" si="4"/>
        <v>Панфил</v>
      </c>
    </row>
    <row r="320" spans="1:2" x14ac:dyDescent="0.3">
      <c r="A320" s="38" t="s">
        <v>873</v>
      </c>
      <c r="B320" t="str">
        <f t="shared" si="4"/>
        <v>Сократ</v>
      </c>
    </row>
    <row r="321" spans="1:2" x14ac:dyDescent="0.3">
      <c r="A321" s="39" t="s">
        <v>865</v>
      </c>
      <c r="B321" t="str">
        <f t="shared" si="4"/>
        <v>Аггей</v>
      </c>
    </row>
    <row r="322" spans="1:2" x14ac:dyDescent="0.3">
      <c r="A322" s="38" t="s">
        <v>853</v>
      </c>
      <c r="B322" t="str">
        <f t="shared" si="4"/>
        <v>Антип</v>
      </c>
    </row>
    <row r="323" spans="1:2" x14ac:dyDescent="0.3">
      <c r="A323" s="39" t="s">
        <v>797</v>
      </c>
      <c r="B323" t="str">
        <f t="shared" ref="B323:B386" si="5">IF(OR(RIGHT(MID(A323,SEARCH(" ",A323,SEARCH(" ",A323)+1)+1,99),3)="вич",RIGHT(MID(A323,SEARCH(" ",A323,SEARCH(" ",A323)+1)+1,99),3)="вна",RIGHT(MID(A323,SEARCH(" ",A323,SEARCH(" ",A323)+1)+1,99),2)="ич",RIGHT(MID(A323,SEARCH(" ",A323,SEARCH(" ",A323)+1)+1,99),4)="ична"),
MID(A323,SEARCH(" ",A323)+1,SEARCH(" ",A323,SEARCH(" ",A323)+1)-SEARCH(" ",A323)-1),
MID(A323,1,SEARCH(" ",A323)-1))</f>
        <v>Светозар</v>
      </c>
    </row>
    <row r="324" spans="1:2" x14ac:dyDescent="0.3">
      <c r="A324" s="38" t="s">
        <v>711</v>
      </c>
      <c r="B324" t="str">
        <f t="shared" si="5"/>
        <v>Мина</v>
      </c>
    </row>
    <row r="325" spans="1:2" x14ac:dyDescent="0.3">
      <c r="A325" s="39" t="s">
        <v>661</v>
      </c>
      <c r="B325" t="str">
        <f t="shared" si="5"/>
        <v>Полина</v>
      </c>
    </row>
    <row r="326" spans="1:2" x14ac:dyDescent="0.3">
      <c r="A326" s="38" t="s">
        <v>629</v>
      </c>
      <c r="B326" t="str">
        <f t="shared" si="5"/>
        <v>Автоном</v>
      </c>
    </row>
    <row r="327" spans="1:2" x14ac:dyDescent="0.3">
      <c r="A327" s="39" t="s">
        <v>591</v>
      </c>
      <c r="B327" t="str">
        <f t="shared" si="5"/>
        <v>Станислав</v>
      </c>
    </row>
    <row r="328" spans="1:2" x14ac:dyDescent="0.3">
      <c r="A328" s="38" t="s">
        <v>561</v>
      </c>
      <c r="B328" t="str">
        <f t="shared" si="5"/>
        <v>Агап</v>
      </c>
    </row>
    <row r="329" spans="1:2" x14ac:dyDescent="0.3">
      <c r="A329" s="39" t="s">
        <v>555</v>
      </c>
      <c r="B329" t="str">
        <f t="shared" si="5"/>
        <v>Чеслав</v>
      </c>
    </row>
    <row r="330" spans="1:2" x14ac:dyDescent="0.3">
      <c r="A330" s="38" t="s">
        <v>535</v>
      </c>
      <c r="B330" t="str">
        <f t="shared" si="5"/>
        <v>Ия</v>
      </c>
    </row>
    <row r="331" spans="1:2" x14ac:dyDescent="0.3">
      <c r="A331" s="39" t="s">
        <v>483</v>
      </c>
      <c r="B331" t="str">
        <f t="shared" si="5"/>
        <v>Марфа</v>
      </c>
    </row>
    <row r="332" spans="1:2" x14ac:dyDescent="0.3">
      <c r="A332" s="38" t="s">
        <v>475</v>
      </c>
      <c r="B332" t="str">
        <f t="shared" si="5"/>
        <v>Евфросиния</v>
      </c>
    </row>
    <row r="333" spans="1:2" x14ac:dyDescent="0.3">
      <c r="A333" s="39" t="s">
        <v>471</v>
      </c>
      <c r="B333" t="str">
        <f t="shared" si="5"/>
        <v>Любим</v>
      </c>
    </row>
    <row r="334" spans="1:2" x14ac:dyDescent="0.3">
      <c r="A334" s="38" t="s">
        <v>439</v>
      </c>
      <c r="B334" t="str">
        <f t="shared" si="5"/>
        <v>Дарья</v>
      </c>
    </row>
    <row r="335" spans="1:2" x14ac:dyDescent="0.3">
      <c r="A335" s="39" t="s">
        <v>413</v>
      </c>
      <c r="B335" t="str">
        <f t="shared" si="5"/>
        <v>Ипполит</v>
      </c>
    </row>
    <row r="336" spans="1:2" x14ac:dyDescent="0.3">
      <c r="A336" s="38" t="s">
        <v>401</v>
      </c>
      <c r="B336" t="str">
        <f t="shared" si="5"/>
        <v>Феврония</v>
      </c>
    </row>
    <row r="337" spans="1:2" x14ac:dyDescent="0.3">
      <c r="A337" s="39" t="s">
        <v>383</v>
      </c>
      <c r="B337" t="str">
        <f t="shared" si="5"/>
        <v>Корнил</v>
      </c>
    </row>
    <row r="338" spans="1:2" x14ac:dyDescent="0.3">
      <c r="A338" s="38" t="s">
        <v>329</v>
      </c>
      <c r="B338" t="str">
        <f t="shared" si="5"/>
        <v>Вадим</v>
      </c>
    </row>
    <row r="339" spans="1:2" x14ac:dyDescent="0.3">
      <c r="A339" s="39" t="s">
        <v>321</v>
      </c>
      <c r="B339" t="str">
        <f t="shared" si="5"/>
        <v>Элеонора</v>
      </c>
    </row>
    <row r="340" spans="1:2" x14ac:dyDescent="0.3">
      <c r="A340" s="38" t="s">
        <v>287</v>
      </c>
      <c r="B340" t="str">
        <f t="shared" si="5"/>
        <v>Алевтина</v>
      </c>
    </row>
    <row r="341" spans="1:2" x14ac:dyDescent="0.3">
      <c r="A341" s="39" t="s">
        <v>231</v>
      </c>
      <c r="B341" t="str">
        <f t="shared" si="5"/>
        <v>Сократ</v>
      </c>
    </row>
    <row r="342" spans="1:2" x14ac:dyDescent="0.3">
      <c r="A342" s="38" t="s">
        <v>189</v>
      </c>
      <c r="B342" t="str">
        <f t="shared" si="5"/>
        <v>Наина</v>
      </c>
    </row>
    <row r="343" spans="1:2" x14ac:dyDescent="0.3">
      <c r="A343" s="39" t="s">
        <v>171</v>
      </c>
      <c r="B343" t="str">
        <f t="shared" si="5"/>
        <v>Любосмысл</v>
      </c>
    </row>
    <row r="344" spans="1:2" x14ac:dyDescent="0.3">
      <c r="A344" s="38" t="s">
        <v>993</v>
      </c>
      <c r="B344" t="str">
        <f t="shared" si="5"/>
        <v>Светозар</v>
      </c>
    </row>
    <row r="345" spans="1:2" x14ac:dyDescent="0.3">
      <c r="A345" s="39" t="s">
        <v>975</v>
      </c>
      <c r="B345" t="str">
        <f t="shared" si="5"/>
        <v>Демид</v>
      </c>
    </row>
    <row r="346" spans="1:2" x14ac:dyDescent="0.3">
      <c r="A346" s="38" t="s">
        <v>955</v>
      </c>
      <c r="B346" t="str">
        <f t="shared" si="5"/>
        <v>Ульяна</v>
      </c>
    </row>
    <row r="347" spans="1:2" x14ac:dyDescent="0.3">
      <c r="A347" s="39" t="s">
        <v>923</v>
      </c>
      <c r="B347" t="str">
        <f t="shared" si="5"/>
        <v>Анжела</v>
      </c>
    </row>
    <row r="348" spans="1:2" x14ac:dyDescent="0.3">
      <c r="A348" s="38" t="s">
        <v>905</v>
      </c>
      <c r="B348" t="str">
        <f t="shared" si="5"/>
        <v>Евдокия</v>
      </c>
    </row>
    <row r="349" spans="1:2" x14ac:dyDescent="0.3">
      <c r="A349" s="39" t="s">
        <v>887</v>
      </c>
      <c r="B349" t="str">
        <f t="shared" si="5"/>
        <v>Регина</v>
      </c>
    </row>
    <row r="350" spans="1:2" x14ac:dyDescent="0.3">
      <c r="A350" s="38" t="s">
        <v>843</v>
      </c>
      <c r="B350" t="str">
        <f t="shared" si="5"/>
        <v>Татьяна</v>
      </c>
    </row>
    <row r="351" spans="1:2" x14ac:dyDescent="0.3">
      <c r="A351" s="39" t="s">
        <v>831</v>
      </c>
      <c r="B351" t="str">
        <f t="shared" si="5"/>
        <v>Алина</v>
      </c>
    </row>
    <row r="352" spans="1:2" x14ac:dyDescent="0.3">
      <c r="A352" s="38" t="s">
        <v>807</v>
      </c>
      <c r="B352" t="str">
        <f t="shared" si="5"/>
        <v>Софон</v>
      </c>
    </row>
    <row r="353" spans="1:2" x14ac:dyDescent="0.3">
      <c r="A353" s="39" t="s">
        <v>793</v>
      </c>
      <c r="B353" t="str">
        <f t="shared" si="5"/>
        <v>Вадим</v>
      </c>
    </row>
    <row r="354" spans="1:2" x14ac:dyDescent="0.3">
      <c r="A354" s="38" t="s">
        <v>751</v>
      </c>
      <c r="B354" t="str">
        <f t="shared" si="5"/>
        <v>Ольга</v>
      </c>
    </row>
    <row r="355" spans="1:2" x14ac:dyDescent="0.3">
      <c r="A355" s="39" t="s">
        <v>737</v>
      </c>
      <c r="B355" t="str">
        <f t="shared" si="5"/>
        <v>Милован</v>
      </c>
    </row>
    <row r="356" spans="1:2" x14ac:dyDescent="0.3">
      <c r="A356" s="38" t="s">
        <v>709</v>
      </c>
      <c r="B356" t="str">
        <f t="shared" si="5"/>
        <v>Степанова</v>
      </c>
    </row>
    <row r="357" spans="1:2" x14ac:dyDescent="0.3">
      <c r="A357" s="39" t="s">
        <v>699</v>
      </c>
      <c r="B357" t="str">
        <f t="shared" si="5"/>
        <v>Любовь</v>
      </c>
    </row>
    <row r="358" spans="1:2" x14ac:dyDescent="0.3">
      <c r="A358" s="38" t="s">
        <v>645</v>
      </c>
      <c r="B358" t="str">
        <f t="shared" si="5"/>
        <v>Иванна</v>
      </c>
    </row>
    <row r="359" spans="1:2" x14ac:dyDescent="0.3">
      <c r="A359" s="39" t="s">
        <v>631</v>
      </c>
      <c r="B359" t="str">
        <f t="shared" si="5"/>
        <v>Валентина</v>
      </c>
    </row>
    <row r="360" spans="1:2" x14ac:dyDescent="0.3">
      <c r="A360" s="38" t="s">
        <v>615</v>
      </c>
      <c r="B360" t="str">
        <f t="shared" si="5"/>
        <v>Александр</v>
      </c>
    </row>
    <row r="361" spans="1:2" x14ac:dyDescent="0.3">
      <c r="A361" s="39" t="s">
        <v>577</v>
      </c>
      <c r="B361" t="str">
        <f t="shared" si="5"/>
        <v>Василиса</v>
      </c>
    </row>
    <row r="362" spans="1:2" x14ac:dyDescent="0.3">
      <c r="A362" s="38" t="s">
        <v>549</v>
      </c>
      <c r="B362" t="str">
        <f t="shared" si="5"/>
        <v>Алина</v>
      </c>
    </row>
    <row r="363" spans="1:2" x14ac:dyDescent="0.3">
      <c r="A363" s="39" t="s">
        <v>541</v>
      </c>
      <c r="B363" t="str">
        <f t="shared" si="5"/>
        <v>Ярослав</v>
      </c>
    </row>
    <row r="364" spans="1:2" x14ac:dyDescent="0.3">
      <c r="A364" s="38" t="s">
        <v>537</v>
      </c>
      <c r="B364" t="str">
        <f t="shared" si="5"/>
        <v>Вероника</v>
      </c>
    </row>
    <row r="365" spans="1:2" x14ac:dyDescent="0.3">
      <c r="A365" s="39" t="s">
        <v>521</v>
      </c>
      <c r="B365" t="str">
        <f t="shared" si="5"/>
        <v>Ратмир</v>
      </c>
    </row>
    <row r="366" spans="1:2" x14ac:dyDescent="0.3">
      <c r="A366" s="38" t="s">
        <v>489</v>
      </c>
      <c r="B366" t="str">
        <f t="shared" si="5"/>
        <v>Севастьян</v>
      </c>
    </row>
    <row r="367" spans="1:2" x14ac:dyDescent="0.3">
      <c r="A367" s="39" t="s">
        <v>479</v>
      </c>
      <c r="B367" t="str">
        <f t="shared" si="5"/>
        <v>Олимпиада</v>
      </c>
    </row>
    <row r="368" spans="1:2" x14ac:dyDescent="0.3">
      <c r="A368" s="38" t="s">
        <v>461</v>
      </c>
      <c r="B368" t="str">
        <f t="shared" si="5"/>
        <v>Серафим</v>
      </c>
    </row>
    <row r="369" spans="1:2" x14ac:dyDescent="0.3">
      <c r="A369" s="39" t="s">
        <v>427</v>
      </c>
      <c r="B369" t="str">
        <f t="shared" si="5"/>
        <v>Панкратий</v>
      </c>
    </row>
    <row r="370" spans="1:2" x14ac:dyDescent="0.3">
      <c r="A370" s="38" t="s">
        <v>403</v>
      </c>
      <c r="B370" t="str">
        <f t="shared" si="5"/>
        <v>Пахом</v>
      </c>
    </row>
    <row r="371" spans="1:2" x14ac:dyDescent="0.3">
      <c r="A371" s="39" t="s">
        <v>399</v>
      </c>
      <c r="B371" t="str">
        <f t="shared" si="5"/>
        <v>Дарья</v>
      </c>
    </row>
    <row r="372" spans="1:2" x14ac:dyDescent="0.3">
      <c r="A372" s="38" t="s">
        <v>385</v>
      </c>
      <c r="B372" t="str">
        <f t="shared" si="5"/>
        <v>Евдокия</v>
      </c>
    </row>
    <row r="373" spans="1:2" x14ac:dyDescent="0.3">
      <c r="A373" s="39" t="s">
        <v>357</v>
      </c>
      <c r="B373" t="str">
        <f t="shared" si="5"/>
        <v>Ульяна</v>
      </c>
    </row>
    <row r="374" spans="1:2" x14ac:dyDescent="0.3">
      <c r="A374" s="38" t="s">
        <v>333</v>
      </c>
      <c r="B374" t="str">
        <f t="shared" si="5"/>
        <v>Леон</v>
      </c>
    </row>
    <row r="375" spans="1:2" x14ac:dyDescent="0.3">
      <c r="A375" s="39" t="s">
        <v>269</v>
      </c>
      <c r="B375" t="str">
        <f t="shared" si="5"/>
        <v>Феврония</v>
      </c>
    </row>
    <row r="376" spans="1:2" x14ac:dyDescent="0.3">
      <c r="A376" s="38" t="s">
        <v>253</v>
      </c>
      <c r="B376" t="str">
        <f t="shared" si="5"/>
        <v>Полина</v>
      </c>
    </row>
    <row r="377" spans="1:2" x14ac:dyDescent="0.3">
      <c r="A377" s="39" t="s">
        <v>205</v>
      </c>
      <c r="B377" t="str">
        <f t="shared" si="5"/>
        <v>Марфа</v>
      </c>
    </row>
    <row r="378" spans="1:2" x14ac:dyDescent="0.3">
      <c r="A378" s="38" t="s">
        <v>197</v>
      </c>
      <c r="B378" t="str">
        <f t="shared" si="5"/>
        <v>Анисим</v>
      </c>
    </row>
    <row r="379" spans="1:2" x14ac:dyDescent="0.3">
      <c r="A379" s="39" t="s">
        <v>175</v>
      </c>
      <c r="B379" t="str">
        <f t="shared" si="5"/>
        <v>Феликс</v>
      </c>
    </row>
    <row r="380" spans="1:2" x14ac:dyDescent="0.3">
      <c r="A380" s="38" t="s">
        <v>173</v>
      </c>
      <c r="B380" t="str">
        <f t="shared" si="5"/>
        <v>Игорь</v>
      </c>
    </row>
    <row r="381" spans="1:2" x14ac:dyDescent="0.3">
      <c r="A381" s="39" t="s">
        <v>161</v>
      </c>
      <c r="B381" t="str">
        <f t="shared" si="5"/>
        <v>Людмила</v>
      </c>
    </row>
    <row r="382" spans="1:2" x14ac:dyDescent="0.3">
      <c r="A382" s="38" t="s">
        <v>999</v>
      </c>
      <c r="B382" t="str">
        <f t="shared" si="5"/>
        <v>Александра</v>
      </c>
    </row>
    <row r="383" spans="1:2" x14ac:dyDescent="0.3">
      <c r="A383" s="39" t="s">
        <v>997</v>
      </c>
      <c r="B383" t="str">
        <f t="shared" si="5"/>
        <v>Ирина</v>
      </c>
    </row>
    <row r="384" spans="1:2" x14ac:dyDescent="0.3">
      <c r="A384" s="38" t="s">
        <v>951</v>
      </c>
      <c r="B384" t="str">
        <f t="shared" si="5"/>
        <v>Лукия</v>
      </c>
    </row>
    <row r="385" spans="1:2" x14ac:dyDescent="0.3">
      <c r="A385" s="39" t="s">
        <v>857</v>
      </c>
      <c r="B385" t="str">
        <f t="shared" si="5"/>
        <v>Сидор</v>
      </c>
    </row>
    <row r="386" spans="1:2" x14ac:dyDescent="0.3">
      <c r="A386" s="38" t="s">
        <v>823</v>
      </c>
      <c r="B386" t="str">
        <f t="shared" si="5"/>
        <v>Александра</v>
      </c>
    </row>
    <row r="387" spans="1:2" x14ac:dyDescent="0.3">
      <c r="A387" s="39" t="s">
        <v>809</v>
      </c>
      <c r="B387" t="str">
        <f t="shared" ref="B387:B435" si="6">IF(OR(RIGHT(MID(A387,SEARCH(" ",A387,SEARCH(" ",A387)+1)+1,99),3)="вич",RIGHT(MID(A387,SEARCH(" ",A387,SEARCH(" ",A387)+1)+1,99),3)="вна",RIGHT(MID(A387,SEARCH(" ",A387,SEARCH(" ",A387)+1)+1,99),2)="ич",RIGHT(MID(A387,SEARCH(" ",A387,SEARCH(" ",A387)+1)+1,99),4)="ична"),
MID(A387,SEARCH(" ",A387)+1,SEARCH(" ",A387,SEARCH(" ",A387)+1)-SEARCH(" ",A387)-1),
MID(A387,1,SEARCH(" ",A387)-1))</f>
        <v>Василиса</v>
      </c>
    </row>
    <row r="388" spans="1:2" x14ac:dyDescent="0.3">
      <c r="A388" s="38" t="s">
        <v>791</v>
      </c>
      <c r="B388" t="str">
        <f t="shared" si="6"/>
        <v>Анжела</v>
      </c>
    </row>
    <row r="389" spans="1:2" x14ac:dyDescent="0.3">
      <c r="A389" s="39" t="s">
        <v>783</v>
      </c>
      <c r="B389" t="str">
        <f t="shared" si="6"/>
        <v>Марфа</v>
      </c>
    </row>
    <row r="390" spans="1:2" x14ac:dyDescent="0.3">
      <c r="A390" s="38" t="s">
        <v>749</v>
      </c>
      <c r="B390" t="str">
        <f t="shared" si="6"/>
        <v>Аверьян</v>
      </c>
    </row>
    <row r="391" spans="1:2" x14ac:dyDescent="0.3">
      <c r="A391" s="39" t="s">
        <v>741</v>
      </c>
      <c r="B391" t="str">
        <f t="shared" si="6"/>
        <v>Василиса</v>
      </c>
    </row>
    <row r="392" spans="1:2" x14ac:dyDescent="0.3">
      <c r="A392" s="38" t="s">
        <v>739</v>
      </c>
      <c r="B392" t="str">
        <f t="shared" si="6"/>
        <v>Филипп</v>
      </c>
    </row>
    <row r="393" spans="1:2" x14ac:dyDescent="0.3">
      <c r="A393" s="39" t="s">
        <v>643</v>
      </c>
      <c r="B393" t="str">
        <f t="shared" si="6"/>
        <v>Модест</v>
      </c>
    </row>
    <row r="394" spans="1:2" x14ac:dyDescent="0.3">
      <c r="A394" s="38" t="s">
        <v>627</v>
      </c>
      <c r="B394" t="str">
        <f t="shared" si="6"/>
        <v>Адриан</v>
      </c>
    </row>
    <row r="395" spans="1:2" x14ac:dyDescent="0.3">
      <c r="A395" s="39" t="s">
        <v>571</v>
      </c>
      <c r="B395" t="str">
        <f t="shared" si="6"/>
        <v>Богдан</v>
      </c>
    </row>
    <row r="396" spans="1:2" x14ac:dyDescent="0.3">
      <c r="A396" s="38" t="s">
        <v>519</v>
      </c>
      <c r="B396" t="str">
        <f t="shared" si="6"/>
        <v>Клавдия</v>
      </c>
    </row>
    <row r="397" spans="1:2" x14ac:dyDescent="0.3">
      <c r="A397" s="39" t="s">
        <v>495</v>
      </c>
      <c r="B397" t="str">
        <f t="shared" si="6"/>
        <v>Антонина</v>
      </c>
    </row>
    <row r="398" spans="1:2" x14ac:dyDescent="0.3">
      <c r="A398" s="38" t="s">
        <v>477</v>
      </c>
      <c r="B398" t="str">
        <f t="shared" si="6"/>
        <v>Савватий</v>
      </c>
    </row>
    <row r="399" spans="1:2" x14ac:dyDescent="0.3">
      <c r="A399" s="39" t="s">
        <v>473</v>
      </c>
      <c r="B399" t="str">
        <f t="shared" si="6"/>
        <v>Пантелеймон</v>
      </c>
    </row>
    <row r="400" spans="1:2" x14ac:dyDescent="0.3">
      <c r="A400" s="38" t="s">
        <v>451</v>
      </c>
      <c r="B400" t="str">
        <f t="shared" si="6"/>
        <v>Арсений</v>
      </c>
    </row>
    <row r="401" spans="1:2" x14ac:dyDescent="0.3">
      <c r="A401" s="39" t="s">
        <v>407</v>
      </c>
      <c r="B401" t="str">
        <f t="shared" si="6"/>
        <v>Евгения</v>
      </c>
    </row>
    <row r="402" spans="1:2" x14ac:dyDescent="0.3">
      <c r="A402" s="38" t="s">
        <v>389</v>
      </c>
      <c r="B402" t="str">
        <f t="shared" si="6"/>
        <v>Лавр</v>
      </c>
    </row>
    <row r="403" spans="1:2" x14ac:dyDescent="0.3">
      <c r="A403" s="39" t="s">
        <v>305</v>
      </c>
      <c r="B403" t="str">
        <f t="shared" si="6"/>
        <v>Ия</v>
      </c>
    </row>
    <row r="404" spans="1:2" x14ac:dyDescent="0.3">
      <c r="A404" s="38" t="s">
        <v>295</v>
      </c>
      <c r="B404" t="str">
        <f t="shared" si="6"/>
        <v>Ростислав</v>
      </c>
    </row>
    <row r="405" spans="1:2" x14ac:dyDescent="0.3">
      <c r="A405" s="39" t="s">
        <v>281</v>
      </c>
      <c r="B405" t="str">
        <f t="shared" si="6"/>
        <v>Марфа</v>
      </c>
    </row>
    <row r="406" spans="1:2" x14ac:dyDescent="0.3">
      <c r="A406" s="38" t="s">
        <v>259</v>
      </c>
      <c r="B406" t="str">
        <f t="shared" si="6"/>
        <v>Ирина</v>
      </c>
    </row>
    <row r="407" spans="1:2" x14ac:dyDescent="0.3">
      <c r="A407" s="39" t="s">
        <v>203</v>
      </c>
      <c r="B407" t="str">
        <f t="shared" si="6"/>
        <v>Эммануил</v>
      </c>
    </row>
    <row r="408" spans="1:2" x14ac:dyDescent="0.3">
      <c r="A408" s="38" t="s">
        <v>199</v>
      </c>
      <c r="B408" t="str">
        <f t="shared" si="6"/>
        <v>Викентий</v>
      </c>
    </row>
    <row r="409" spans="1:2" x14ac:dyDescent="0.3">
      <c r="A409" s="39" t="s">
        <v>155</v>
      </c>
      <c r="B409" t="str">
        <f t="shared" si="6"/>
        <v>Кузьма</v>
      </c>
    </row>
    <row r="410" spans="1:2" x14ac:dyDescent="0.3">
      <c r="A410" s="38" t="s">
        <v>145</v>
      </c>
      <c r="B410" t="str">
        <f t="shared" si="6"/>
        <v>Амвросий</v>
      </c>
    </row>
    <row r="411" spans="1:2" x14ac:dyDescent="0.3">
      <c r="A411" s="39" t="s">
        <v>963</v>
      </c>
      <c r="B411" t="str">
        <f t="shared" si="6"/>
        <v>Рыбаков</v>
      </c>
    </row>
    <row r="412" spans="1:2" x14ac:dyDescent="0.3">
      <c r="A412" s="38" t="s">
        <v>881</v>
      </c>
      <c r="B412" t="str">
        <f t="shared" si="6"/>
        <v>Капитон</v>
      </c>
    </row>
    <row r="413" spans="1:2" x14ac:dyDescent="0.3">
      <c r="A413" s="39" t="s">
        <v>833</v>
      </c>
      <c r="B413" t="str">
        <f t="shared" si="6"/>
        <v>Леонид</v>
      </c>
    </row>
    <row r="414" spans="1:2" x14ac:dyDescent="0.3">
      <c r="A414" s="38" t="s">
        <v>801</v>
      </c>
      <c r="B414" t="str">
        <f t="shared" si="6"/>
        <v>Наина</v>
      </c>
    </row>
    <row r="415" spans="1:2" x14ac:dyDescent="0.3">
      <c r="A415" s="39" t="s">
        <v>761</v>
      </c>
      <c r="B415" t="str">
        <f t="shared" si="6"/>
        <v>Самуил</v>
      </c>
    </row>
    <row r="416" spans="1:2" x14ac:dyDescent="0.3">
      <c r="A416" s="38" t="s">
        <v>753</v>
      </c>
      <c r="B416" t="str">
        <f t="shared" si="6"/>
        <v>Фома</v>
      </c>
    </row>
    <row r="417" spans="1:2" x14ac:dyDescent="0.3">
      <c r="A417" s="39" t="s">
        <v>721</v>
      </c>
      <c r="B417" t="str">
        <f t="shared" si="6"/>
        <v>Нина</v>
      </c>
    </row>
    <row r="418" spans="1:2" x14ac:dyDescent="0.3">
      <c r="A418" s="38" t="s">
        <v>717</v>
      </c>
      <c r="B418" t="str">
        <f t="shared" si="6"/>
        <v>Христофор</v>
      </c>
    </row>
    <row r="419" spans="1:2" x14ac:dyDescent="0.3">
      <c r="A419" s="39" t="s">
        <v>697</v>
      </c>
      <c r="B419" t="str">
        <f t="shared" si="6"/>
        <v>Лев</v>
      </c>
    </row>
    <row r="420" spans="1:2" x14ac:dyDescent="0.3">
      <c r="A420" s="38" t="s">
        <v>689</v>
      </c>
      <c r="B420" t="str">
        <f t="shared" si="6"/>
        <v>Валерия</v>
      </c>
    </row>
    <row r="421" spans="1:2" x14ac:dyDescent="0.3">
      <c r="A421" s="39" t="s">
        <v>637</v>
      </c>
      <c r="B421" t="str">
        <f t="shared" si="6"/>
        <v>Зосима</v>
      </c>
    </row>
    <row r="422" spans="1:2" x14ac:dyDescent="0.3">
      <c r="A422" s="38" t="s">
        <v>617</v>
      </c>
      <c r="B422" t="str">
        <f t="shared" si="6"/>
        <v>Никанор</v>
      </c>
    </row>
    <row r="423" spans="1:2" x14ac:dyDescent="0.3">
      <c r="A423" s="39" t="s">
        <v>581</v>
      </c>
      <c r="B423" t="str">
        <f t="shared" si="6"/>
        <v>Павел</v>
      </c>
    </row>
    <row r="424" spans="1:2" x14ac:dyDescent="0.3">
      <c r="A424" s="38" t="s">
        <v>557</v>
      </c>
      <c r="B424" t="str">
        <f t="shared" si="6"/>
        <v>Ярослав</v>
      </c>
    </row>
    <row r="425" spans="1:2" x14ac:dyDescent="0.3">
      <c r="A425" s="39" t="s">
        <v>547</v>
      </c>
      <c r="B425" t="str">
        <f t="shared" si="6"/>
        <v>Лора</v>
      </c>
    </row>
    <row r="426" spans="1:2" x14ac:dyDescent="0.3">
      <c r="A426" s="38" t="s">
        <v>539</v>
      </c>
      <c r="B426" t="str">
        <f t="shared" si="6"/>
        <v>Эраст</v>
      </c>
    </row>
    <row r="427" spans="1:2" x14ac:dyDescent="0.3">
      <c r="A427" s="39" t="s">
        <v>513</v>
      </c>
      <c r="B427" t="str">
        <f t="shared" si="6"/>
        <v>Евгения</v>
      </c>
    </row>
    <row r="428" spans="1:2" x14ac:dyDescent="0.3">
      <c r="A428" s="38" t="s">
        <v>511</v>
      </c>
      <c r="B428" t="str">
        <f t="shared" si="6"/>
        <v>Ксения</v>
      </c>
    </row>
    <row r="429" spans="1:2" x14ac:dyDescent="0.3">
      <c r="A429" s="39" t="s">
        <v>469</v>
      </c>
      <c r="B429" t="str">
        <f t="shared" si="6"/>
        <v>Вероника</v>
      </c>
    </row>
    <row r="430" spans="1:2" x14ac:dyDescent="0.3">
      <c r="A430" s="38" t="s">
        <v>465</v>
      </c>
      <c r="B430" t="str">
        <f t="shared" si="6"/>
        <v>Родион</v>
      </c>
    </row>
    <row r="431" spans="1:2" x14ac:dyDescent="0.3">
      <c r="A431" s="39" t="s">
        <v>459</v>
      </c>
      <c r="B431" t="str">
        <f t="shared" si="6"/>
        <v>Боян</v>
      </c>
    </row>
    <row r="432" spans="1:2" x14ac:dyDescent="0.3">
      <c r="A432" s="38" t="s">
        <v>381</v>
      </c>
      <c r="B432" t="str">
        <f t="shared" si="6"/>
        <v>Алексей</v>
      </c>
    </row>
    <row r="433" spans="1:2" x14ac:dyDescent="0.3">
      <c r="A433" s="39" t="s">
        <v>359</v>
      </c>
      <c r="B433" t="str">
        <f t="shared" si="6"/>
        <v>Адриан</v>
      </c>
    </row>
    <row r="434" spans="1:2" x14ac:dyDescent="0.3">
      <c r="A434" s="38" t="s">
        <v>265</v>
      </c>
      <c r="B434" t="str">
        <f t="shared" si="6"/>
        <v>Ефимова</v>
      </c>
    </row>
    <row r="435" spans="1:2" x14ac:dyDescent="0.3">
      <c r="A435" s="40" t="s">
        <v>225</v>
      </c>
      <c r="B435" t="str">
        <f t="shared" si="6"/>
        <v>Платон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E4-9118-AA45-9E62-E585C86E8186}">
  <dimension ref="A1:K435"/>
  <sheetViews>
    <sheetView topLeftCell="A408" workbookViewId="0">
      <selection activeCell="C1" sqref="C1:C435"/>
    </sheetView>
  </sheetViews>
  <sheetFormatPr defaultColWidth="8.77734375" defaultRowHeight="14.4" x14ac:dyDescent="0.3"/>
  <cols>
    <col min="1" max="1" width="11.88671875" customWidth="1"/>
    <col min="2" max="2" width="27.77734375" bestFit="1" customWidth="1"/>
    <col min="3" max="3" width="40.21875" bestFit="1" customWidth="1"/>
    <col min="4" max="4" width="34.109375" bestFit="1" customWidth="1"/>
    <col min="5" max="5" width="28.77734375" style="32" bestFit="1" customWidth="1"/>
    <col min="6" max="6" width="15.5546875" bestFit="1" customWidth="1"/>
    <col min="7" max="7" width="19.109375" bestFit="1" customWidth="1"/>
    <col min="8" max="8" width="17.33203125" bestFit="1" customWidth="1"/>
    <col min="9" max="9" width="9" bestFit="1" customWidth="1"/>
    <col min="10" max="10" width="19.6640625" bestFit="1" customWidth="1"/>
    <col min="11" max="11" width="13.5546875" bestFit="1" customWidth="1"/>
    <col min="12" max="12" width="9" customWidth="1"/>
    <col min="13" max="13" width="13.33203125" bestFit="1" customWidth="1"/>
  </cols>
  <sheetData>
    <row r="1" spans="1:11" x14ac:dyDescent="0.3">
      <c r="A1" s="15" t="s">
        <v>7</v>
      </c>
      <c r="B1" s="15" t="s">
        <v>1012</v>
      </c>
      <c r="C1" s="15" t="s">
        <v>1011</v>
      </c>
      <c r="D1" s="15" t="s">
        <v>1010</v>
      </c>
      <c r="E1" s="31" t="s">
        <v>1009</v>
      </c>
      <c r="F1" s="15" t="s">
        <v>1069</v>
      </c>
      <c r="G1" s="15" t="s">
        <v>1070</v>
      </c>
      <c r="H1" s="15" t="s">
        <v>1073</v>
      </c>
      <c r="I1" s="15" t="s">
        <v>1074</v>
      </c>
      <c r="J1" s="15" t="s">
        <v>1075</v>
      </c>
      <c r="K1" s="15" t="s">
        <v>1076</v>
      </c>
    </row>
    <row r="2" spans="1:11" x14ac:dyDescent="0.3">
      <c r="A2">
        <v>194</v>
      </c>
      <c r="B2" t="s">
        <v>932</v>
      </c>
      <c r="C2" t="s">
        <v>931</v>
      </c>
      <c r="D2" t="s">
        <v>142</v>
      </c>
      <c r="E2" s="32">
        <v>44924</v>
      </c>
      <c r="F2" t="s">
        <v>135</v>
      </c>
      <c r="G2" t="str">
        <f>INDEX('коды стран'!$A$2:$A$6, MATCH(F2, 'коды стран'!$B$2:$B$6, 0))</f>
        <v>Россия</v>
      </c>
      <c r="H2" s="32">
        <f t="shared" ref="H2:H65" ca="1" si="0">TODAY()</f>
        <v>46076</v>
      </c>
      <c r="I2">
        <f ca="1">Таблица3[[#This Row],[Текущая дата]]-Продажи[[#This Row],[Дата регистрации клиента]]</f>
        <v>1329</v>
      </c>
      <c r="J2">
        <f ca="1">ROUND((Таблица3[[#This Row],[Текущая дата]] - Продажи[[#This Row],[Дата регистрации клиента]]) / 30, 0)</f>
        <v>44</v>
      </c>
    </row>
    <row r="3" spans="1:11" x14ac:dyDescent="0.3">
      <c r="A3">
        <v>267</v>
      </c>
      <c r="B3" t="s">
        <v>930</v>
      </c>
      <c r="C3" t="s">
        <v>929</v>
      </c>
      <c r="D3" t="s">
        <v>142</v>
      </c>
      <c r="E3" s="32">
        <v>44910</v>
      </c>
      <c r="F3" t="s">
        <v>135</v>
      </c>
      <c r="G3" t="str">
        <f>INDEX('коды стран'!$A$2:$A$6, MATCH(F3, 'коды стран'!$B$2:$B$6, 0))</f>
        <v>Россия</v>
      </c>
      <c r="H3" s="32">
        <f t="shared" ca="1" si="0"/>
        <v>46076</v>
      </c>
      <c r="I3">
        <f ca="1">Таблица3[[#This Row],[Текущая дата]]-Продажи[[#This Row],[Дата регистрации клиента]]</f>
        <v>1326</v>
      </c>
      <c r="J3">
        <f ca="1">ROUND((Таблица3[[#This Row],[Текущая дата]] - Продажи[[#This Row],[Дата регистрации клиента]]) / 30, 0)</f>
        <v>44</v>
      </c>
      <c r="K3" t="e">
        <f>LEFT(C3,#REF!- 1)</f>
        <v>#REF!</v>
      </c>
    </row>
    <row r="4" spans="1:11" x14ac:dyDescent="0.3">
      <c r="A4">
        <v>458</v>
      </c>
      <c r="B4" t="s">
        <v>852</v>
      </c>
      <c r="C4" t="s">
        <v>851</v>
      </c>
      <c r="D4" t="s">
        <v>142</v>
      </c>
      <c r="E4" s="32">
        <v>44694</v>
      </c>
      <c r="F4" t="s">
        <v>135</v>
      </c>
      <c r="G4" t="str">
        <f>INDEX('коды стран'!$A$2:$A$6, MATCH(F4, 'коды стран'!$B$2:$B$6, 0))</f>
        <v>Россия</v>
      </c>
      <c r="H4" s="32">
        <f t="shared" ca="1" si="0"/>
        <v>46076</v>
      </c>
      <c r="I4">
        <f ca="1">Таблица3[[#This Row],[Текущая дата]]-Продажи[[#This Row],[Дата регистрации клиента]]</f>
        <v>1234</v>
      </c>
      <c r="J4">
        <f ca="1">ROUND((Таблица3[[#This Row],[Текущая дата]] - Продажи[[#This Row],[Дата регистрации клиента]]) / 30, 0)</f>
        <v>41</v>
      </c>
      <c r="K4" t="e">
        <f>LEFT(C4,#REF!- 1)</f>
        <v>#REF!</v>
      </c>
    </row>
    <row r="5" spans="1:11" x14ac:dyDescent="0.3">
      <c r="A5">
        <v>73</v>
      </c>
      <c r="B5" t="s">
        <v>746</v>
      </c>
      <c r="C5" t="s">
        <v>745</v>
      </c>
      <c r="D5" t="s">
        <v>142</v>
      </c>
      <c r="E5" s="32">
        <v>44665</v>
      </c>
      <c r="F5" t="s">
        <v>127</v>
      </c>
      <c r="G5" t="str">
        <f>INDEX('коды стран'!$A$2:$A$6, MATCH(F5, 'коды стран'!$B$2:$B$6, 0))</f>
        <v>Украина</v>
      </c>
      <c r="H5" s="32">
        <f t="shared" ca="1" si="0"/>
        <v>46076</v>
      </c>
      <c r="I5">
        <f ca="1">Таблица3[[#This Row],[Текущая дата]]-Продажи[[#This Row],[Дата регистрации клиента]]</f>
        <v>1433</v>
      </c>
      <c r="J5">
        <f ca="1">ROUND((Таблица3[[#This Row],[Текущая дата]] - Продажи[[#This Row],[Дата регистрации клиента]]) / 30, 0)</f>
        <v>48</v>
      </c>
      <c r="K5" t="e">
        <f>LEFT(C5,#REF!- 1)</f>
        <v>#REF!</v>
      </c>
    </row>
    <row r="6" spans="1:11" x14ac:dyDescent="0.3">
      <c r="A6">
        <v>436</v>
      </c>
      <c r="B6" t="s">
        <v>686</v>
      </c>
      <c r="C6" t="s">
        <v>685</v>
      </c>
      <c r="D6" t="s">
        <v>139</v>
      </c>
      <c r="E6" s="32">
        <v>44683</v>
      </c>
      <c r="F6" t="s">
        <v>135</v>
      </c>
      <c r="G6" t="str">
        <f>INDEX('коды стран'!$A$2:$A$6, MATCH(F6, 'коды стран'!$B$2:$B$6, 0))</f>
        <v>Россия</v>
      </c>
      <c r="H6" s="32">
        <f t="shared" ca="1" si="0"/>
        <v>46076</v>
      </c>
      <c r="I6">
        <f ca="1">Таблица3[[#This Row],[Текущая дата]]-Продажи[[#This Row],[Дата регистрации клиента]]</f>
        <v>1499</v>
      </c>
      <c r="J6">
        <f ca="1">ROUND((Таблица3[[#This Row],[Текущая дата]] - Продажи[[#This Row],[Дата регистрации клиента]]) / 30, 0)</f>
        <v>50</v>
      </c>
      <c r="K6" t="e">
        <f>LEFT(C6,#REF!- 1)</f>
        <v>#REF!</v>
      </c>
    </row>
    <row r="7" spans="1:11" x14ac:dyDescent="0.3">
      <c r="A7">
        <v>448</v>
      </c>
      <c r="B7" t="s">
        <v>666</v>
      </c>
      <c r="C7" t="s">
        <v>665</v>
      </c>
      <c r="D7" t="s">
        <v>139</v>
      </c>
      <c r="E7" s="32">
        <v>44770</v>
      </c>
      <c r="F7" t="s">
        <v>135</v>
      </c>
      <c r="G7" t="str">
        <f>INDEX('коды стран'!$A$2:$A$6, MATCH(F7, 'коды стран'!$B$2:$B$6, 0))</f>
        <v>Россия</v>
      </c>
      <c r="H7" s="32">
        <f t="shared" ca="1" si="0"/>
        <v>46076</v>
      </c>
      <c r="I7">
        <f ca="1">Таблица3[[#This Row],[Текущая дата]]-Продажи[[#This Row],[Дата регистрации клиента]]</f>
        <v>1494</v>
      </c>
      <c r="J7">
        <f ca="1">ROUND((Таблица3[[#This Row],[Текущая дата]] - Продажи[[#This Row],[Дата регистрации клиента]]) / 30, 0)</f>
        <v>50</v>
      </c>
      <c r="K7" t="e">
        <f>LEFT(C7,#REF!- 1)</f>
        <v>#REF!</v>
      </c>
    </row>
    <row r="8" spans="1:11" x14ac:dyDescent="0.3">
      <c r="A8">
        <v>21</v>
      </c>
      <c r="B8" t="s">
        <v>590</v>
      </c>
      <c r="C8" t="s">
        <v>589</v>
      </c>
      <c r="D8" t="s">
        <v>142</v>
      </c>
      <c r="E8" s="32">
        <v>44881</v>
      </c>
      <c r="F8" t="s">
        <v>133</v>
      </c>
      <c r="G8" t="str">
        <f>INDEX('коды стран'!$A$2:$A$6, MATCH(F8, 'коды стран'!$B$2:$B$6, 0))</f>
        <v>Беларусь</v>
      </c>
      <c r="H8" s="32">
        <f t="shared" ca="1" si="0"/>
        <v>46076</v>
      </c>
      <c r="I8">
        <f ca="1">Таблица3[[#This Row],[Текущая дата]]-Продажи[[#This Row],[Дата регистрации клиента]]</f>
        <v>1338</v>
      </c>
      <c r="J8">
        <f ca="1">ROUND((Таблица3[[#This Row],[Текущая дата]] - Продажи[[#This Row],[Дата регистрации клиента]]) / 30, 0)</f>
        <v>45</v>
      </c>
      <c r="K8" t="e">
        <f>LEFT(C8,#REF!- 1)</f>
        <v>#REF!</v>
      </c>
    </row>
    <row r="9" spans="1:11" x14ac:dyDescent="0.3">
      <c r="A9">
        <v>292</v>
      </c>
      <c r="B9" t="s">
        <v>568</v>
      </c>
      <c r="C9" t="s">
        <v>567</v>
      </c>
      <c r="D9" t="s">
        <v>139</v>
      </c>
      <c r="E9" s="32">
        <v>44608</v>
      </c>
      <c r="F9" t="s">
        <v>135</v>
      </c>
      <c r="G9" t="str">
        <f>INDEX('коды стран'!$A$2:$A$6, MATCH(F9, 'коды стран'!$B$2:$B$6, 0))</f>
        <v>Россия</v>
      </c>
      <c r="H9" s="32">
        <f t="shared" ca="1" si="0"/>
        <v>46076</v>
      </c>
      <c r="I9">
        <f ca="1">Таблица3[[#This Row],[Текущая дата]]-Продажи[[#This Row],[Дата регистрации клиента]]</f>
        <v>1457</v>
      </c>
      <c r="J9">
        <f ca="1">ROUND((Таблица3[[#This Row],[Текущая дата]] - Продажи[[#This Row],[Дата регистрации клиента]]) / 30, 0)</f>
        <v>49</v>
      </c>
      <c r="K9" t="e">
        <f>LEFT(C9,#REF!- 1)</f>
        <v>#REF!</v>
      </c>
    </row>
    <row r="10" spans="1:11" x14ac:dyDescent="0.3">
      <c r="A10">
        <v>296</v>
      </c>
      <c r="B10" t="s">
        <v>560</v>
      </c>
      <c r="C10" t="s">
        <v>559</v>
      </c>
      <c r="D10" t="s">
        <v>139</v>
      </c>
      <c r="E10" s="32">
        <v>44758</v>
      </c>
      <c r="F10" t="s">
        <v>131</v>
      </c>
      <c r="G10" t="str">
        <f>INDEX('коды стран'!$A$2:$A$6, MATCH(F10, 'коды стран'!$B$2:$B$6, 0))</f>
        <v>Узбекистан</v>
      </c>
      <c r="H10" s="32">
        <f t="shared" ca="1" si="0"/>
        <v>46076</v>
      </c>
      <c r="I10">
        <f ca="1">Таблица3[[#This Row],[Текущая дата]]-Продажи[[#This Row],[Дата регистрации клиента]]</f>
        <v>1392</v>
      </c>
      <c r="J10">
        <f ca="1">ROUND((Таблица3[[#This Row],[Текущая дата]] - Продажи[[#This Row],[Дата регистрации клиента]]) / 30, 0)</f>
        <v>46</v>
      </c>
      <c r="K10" t="e">
        <f>LEFT(C10,#REF!- 1)</f>
        <v>#REF!</v>
      </c>
    </row>
    <row r="11" spans="1:11" x14ac:dyDescent="0.3">
      <c r="A11">
        <v>221</v>
      </c>
      <c r="B11" t="s">
        <v>444</v>
      </c>
      <c r="C11" t="s">
        <v>443</v>
      </c>
      <c r="D11" t="s">
        <v>142</v>
      </c>
      <c r="E11" s="32">
        <v>44820</v>
      </c>
      <c r="F11" t="s">
        <v>129</v>
      </c>
      <c r="G11" t="str">
        <f>INDEX('коды стран'!$A$2:$A$6, MATCH(F11, 'коды стран'!$B$2:$B$6, 0))</f>
        <v>Таджикистан</v>
      </c>
      <c r="H11" s="32">
        <f t="shared" ca="1" si="0"/>
        <v>46076</v>
      </c>
      <c r="I11">
        <f ca="1">Таблица3[[#This Row],[Текущая дата]]-Продажи[[#This Row],[Дата регистрации клиента]]</f>
        <v>1377</v>
      </c>
      <c r="J11">
        <f ca="1">ROUND((Таблица3[[#This Row],[Текущая дата]] - Продажи[[#This Row],[Дата регистрации клиента]]) / 30, 0)</f>
        <v>46</v>
      </c>
      <c r="K11" t="e">
        <f>LEFT(C11,#REF!- 1)</f>
        <v>#REF!</v>
      </c>
    </row>
    <row r="12" spans="1:11" x14ac:dyDescent="0.3">
      <c r="A12">
        <v>53</v>
      </c>
      <c r="B12" t="s">
        <v>352</v>
      </c>
      <c r="C12" t="s">
        <v>351</v>
      </c>
      <c r="D12" t="s">
        <v>139</v>
      </c>
      <c r="E12" s="32">
        <v>44593</v>
      </c>
      <c r="F12" t="s">
        <v>135</v>
      </c>
      <c r="G12" t="str">
        <f>INDEX('коды стран'!$A$2:$A$6, MATCH(F12, 'коды стран'!$B$2:$B$6, 0))</f>
        <v>Россия</v>
      </c>
      <c r="H12" s="32">
        <f t="shared" ca="1" si="0"/>
        <v>46076</v>
      </c>
      <c r="I12">
        <f ca="1">Таблица3[[#This Row],[Текущая дата]]-Продажи[[#This Row],[Дата регистрации клиента]]</f>
        <v>1422</v>
      </c>
      <c r="J12">
        <f ca="1">ROUND((Таблица3[[#This Row],[Текущая дата]] - Продажи[[#This Row],[Дата регистрации клиента]]) / 30, 0)</f>
        <v>47</v>
      </c>
      <c r="K12" t="e">
        <f>LEFT(C12,#REF!- 1)</f>
        <v>#REF!</v>
      </c>
    </row>
    <row r="13" spans="1:11" x14ac:dyDescent="0.3">
      <c r="A13">
        <v>45</v>
      </c>
      <c r="B13" t="s">
        <v>280</v>
      </c>
      <c r="C13" t="s">
        <v>279</v>
      </c>
      <c r="D13" t="s">
        <v>142</v>
      </c>
      <c r="E13" s="32">
        <v>44662</v>
      </c>
      <c r="F13" t="s">
        <v>131</v>
      </c>
      <c r="G13" t="str">
        <f>INDEX('коды стран'!$A$2:$A$6, MATCH(F13, 'коды стран'!$B$2:$B$6, 0))</f>
        <v>Узбекистан</v>
      </c>
      <c r="H13" s="32">
        <f t="shared" ca="1" si="0"/>
        <v>46076</v>
      </c>
      <c r="I13">
        <f ca="1">Таблица3[[#This Row],[Текущая дата]]-Продажи[[#This Row],[Дата регистрации клиента]]</f>
        <v>1420</v>
      </c>
      <c r="J13">
        <f ca="1">ROUND((Таблица3[[#This Row],[Текущая дата]] - Продажи[[#This Row],[Дата регистрации клиента]]) / 30, 0)</f>
        <v>47</v>
      </c>
      <c r="K13" t="e">
        <f>LEFT(C13,#REF!- 1)</f>
        <v>#REF!</v>
      </c>
    </row>
    <row r="14" spans="1:11" x14ac:dyDescent="0.3">
      <c r="A14">
        <v>196</v>
      </c>
      <c r="B14" t="s">
        <v>244</v>
      </c>
      <c r="C14" t="s">
        <v>243</v>
      </c>
      <c r="D14" t="s">
        <v>142</v>
      </c>
      <c r="E14" s="32">
        <v>44835</v>
      </c>
      <c r="F14" t="s">
        <v>135</v>
      </c>
      <c r="G14" t="str">
        <f>INDEX('коды стран'!$A$2:$A$6, MATCH(F14, 'коды стран'!$B$2:$B$6, 0))</f>
        <v>Россия</v>
      </c>
      <c r="H14" s="32">
        <f t="shared" ca="1" si="0"/>
        <v>46076</v>
      </c>
      <c r="I14">
        <f ca="1">Таблица3[[#This Row],[Текущая дата]]-Продажи[[#This Row],[Дата регистрации клиента]]</f>
        <v>1218</v>
      </c>
      <c r="J14">
        <f ca="1">ROUND((Таблица3[[#This Row],[Текущая дата]] - Продажи[[#This Row],[Дата регистрации клиента]]) / 30, 0)</f>
        <v>41</v>
      </c>
      <c r="K14" t="e">
        <f>LEFT(C14,#REF!- 1)</f>
        <v>#REF!</v>
      </c>
    </row>
    <row r="15" spans="1:11" x14ac:dyDescent="0.3">
      <c r="A15">
        <v>105</v>
      </c>
      <c r="B15" t="s">
        <v>230</v>
      </c>
      <c r="C15" t="s">
        <v>229</v>
      </c>
      <c r="D15" t="s">
        <v>142</v>
      </c>
      <c r="E15" s="32">
        <v>44918</v>
      </c>
      <c r="F15" t="s">
        <v>131</v>
      </c>
      <c r="G15" t="str">
        <f>INDEX('коды стран'!$A$2:$A$6, MATCH(F15, 'коды стран'!$B$2:$B$6, 0))</f>
        <v>Узбекистан</v>
      </c>
      <c r="H15" s="32">
        <f t="shared" ca="1" si="0"/>
        <v>46076</v>
      </c>
      <c r="I15">
        <f ca="1">Таблица3[[#This Row],[Текущая дата]]-Продажи[[#This Row],[Дата регистрации клиента]]</f>
        <v>1282</v>
      </c>
      <c r="J15">
        <f ca="1">ROUND((Таблица3[[#This Row],[Текущая дата]] - Продажи[[#This Row],[Дата регистрации клиента]]) / 30, 0)</f>
        <v>43</v>
      </c>
      <c r="K15" t="e">
        <f>LEFT(C15,#REF!- 1)</f>
        <v>#REF!</v>
      </c>
    </row>
    <row r="16" spans="1:11" x14ac:dyDescent="0.3">
      <c r="A16">
        <v>248</v>
      </c>
      <c r="B16" t="s">
        <v>224</v>
      </c>
      <c r="C16" t="s">
        <v>223</v>
      </c>
      <c r="D16" t="s">
        <v>139</v>
      </c>
      <c r="E16" s="32">
        <v>44694</v>
      </c>
      <c r="F16" t="s">
        <v>135</v>
      </c>
      <c r="G16" t="str">
        <f>INDEX('коды стран'!$A$2:$A$6, MATCH(F16, 'коды стран'!$B$2:$B$6, 0))</f>
        <v>Россия</v>
      </c>
      <c r="H16" s="32">
        <f t="shared" ca="1" si="0"/>
        <v>46076</v>
      </c>
      <c r="I16">
        <f ca="1">Таблица3[[#This Row],[Текущая дата]]-Продажи[[#This Row],[Дата регистрации клиента]]</f>
        <v>1256</v>
      </c>
      <c r="J16">
        <f ca="1">ROUND((Таблица3[[#This Row],[Текущая дата]] - Продажи[[#This Row],[Дата регистрации клиента]]) / 30, 0)</f>
        <v>42</v>
      </c>
      <c r="K16" t="e">
        <f>LEFT(C16,#REF!- 1)</f>
        <v>#REF!</v>
      </c>
    </row>
    <row r="17" spans="1:11" x14ac:dyDescent="0.3">
      <c r="A17">
        <v>3</v>
      </c>
      <c r="B17" t="s">
        <v>222</v>
      </c>
      <c r="C17" t="s">
        <v>221</v>
      </c>
      <c r="D17" t="s">
        <v>139</v>
      </c>
      <c r="E17" s="32">
        <v>44666</v>
      </c>
      <c r="F17" t="s">
        <v>127</v>
      </c>
      <c r="G17" t="str">
        <f>INDEX('коды стран'!$A$2:$A$6, MATCH(F17, 'коды стран'!$B$2:$B$6, 0))</f>
        <v>Украина</v>
      </c>
      <c r="H17" s="32">
        <f t="shared" ca="1" si="0"/>
        <v>46076</v>
      </c>
      <c r="I17">
        <f ca="1">Таблица3[[#This Row],[Текущая дата]]-Продажи[[#This Row],[Дата регистрации клиента]]</f>
        <v>1398</v>
      </c>
      <c r="J17">
        <f ca="1">ROUND((Таблица3[[#This Row],[Текущая дата]] - Продажи[[#This Row],[Дата регистрации клиента]]) / 30, 0)</f>
        <v>47</v>
      </c>
      <c r="K17" t="e">
        <f>LEFT(C17,#REF!- 1)</f>
        <v>#REF!</v>
      </c>
    </row>
    <row r="18" spans="1:11" x14ac:dyDescent="0.3">
      <c r="A18">
        <v>108</v>
      </c>
      <c r="B18" t="s">
        <v>194</v>
      </c>
      <c r="C18" t="s">
        <v>193</v>
      </c>
      <c r="D18" t="s">
        <v>142</v>
      </c>
      <c r="E18" s="32">
        <v>44835</v>
      </c>
      <c r="F18" t="s">
        <v>131</v>
      </c>
      <c r="G18" t="str">
        <f>INDEX('коды стран'!$A$2:$A$6, MATCH(F18, 'коды стран'!$B$2:$B$6, 0))</f>
        <v>Узбекистан</v>
      </c>
      <c r="H18" s="32">
        <f t="shared" ca="1" si="0"/>
        <v>46076</v>
      </c>
      <c r="I18">
        <f ca="1">Таблица3[[#This Row],[Текущая дата]]-Продажи[[#This Row],[Дата регистрации клиента]]</f>
        <v>1473</v>
      </c>
      <c r="J18">
        <f ca="1">ROUND((Таблица3[[#This Row],[Текущая дата]] - Продажи[[#This Row],[Дата регистрации клиента]]) / 30, 0)</f>
        <v>49</v>
      </c>
      <c r="K18" t="e">
        <f>LEFT(C18,#REF!- 1)</f>
        <v>#REF!</v>
      </c>
    </row>
    <row r="19" spans="1:11" x14ac:dyDescent="0.3">
      <c r="A19">
        <v>223</v>
      </c>
      <c r="B19" t="s">
        <v>974</v>
      </c>
      <c r="C19" t="s">
        <v>973</v>
      </c>
      <c r="D19" t="s">
        <v>142</v>
      </c>
      <c r="E19" s="32">
        <v>44893</v>
      </c>
      <c r="F19" t="s">
        <v>127</v>
      </c>
      <c r="G19" t="str">
        <f>INDEX('коды стран'!$A$2:$A$6, MATCH(F19, 'коды стран'!$B$2:$B$6, 0))</f>
        <v>Украина</v>
      </c>
      <c r="H19" s="32">
        <f t="shared" ca="1" si="0"/>
        <v>46076</v>
      </c>
      <c r="I19">
        <f ca="1">Таблица3[[#This Row],[Текущая дата]]-Продажи[[#This Row],[Дата регистрации клиента]]</f>
        <v>1183</v>
      </c>
      <c r="J19">
        <f ca="1">ROUND((Таблица3[[#This Row],[Текущая дата]] - Продажи[[#This Row],[Дата регистрации клиента]]) / 30, 0)</f>
        <v>39</v>
      </c>
      <c r="K19" t="e">
        <f>LEFT(C19,#REF!- 1)</f>
        <v>#REF!</v>
      </c>
    </row>
    <row r="20" spans="1:11" x14ac:dyDescent="0.3">
      <c r="A20">
        <v>318</v>
      </c>
      <c r="B20" t="s">
        <v>936</v>
      </c>
      <c r="C20" t="s">
        <v>935</v>
      </c>
      <c r="D20" t="s">
        <v>142</v>
      </c>
      <c r="E20" s="32">
        <v>44892</v>
      </c>
      <c r="F20" t="s">
        <v>131</v>
      </c>
      <c r="G20" t="str">
        <f>INDEX('коды стран'!$A$2:$A$6, MATCH(F20, 'коды стран'!$B$2:$B$6, 0))</f>
        <v>Узбекистан</v>
      </c>
      <c r="H20" s="32">
        <f t="shared" ca="1" si="0"/>
        <v>46076</v>
      </c>
      <c r="I20">
        <f ca="1">Таблица3[[#This Row],[Текущая дата]]-Продажи[[#This Row],[Дата регистрации клиента]]</f>
        <v>1209</v>
      </c>
      <c r="J20">
        <f ca="1">ROUND((Таблица3[[#This Row],[Текущая дата]] - Продажи[[#This Row],[Дата регистрации клиента]]) / 30, 0)</f>
        <v>40</v>
      </c>
      <c r="K20" t="e">
        <f>LEFT(C20,#REF!- 1)</f>
        <v>#REF!</v>
      </c>
    </row>
    <row r="21" spans="1:11" x14ac:dyDescent="0.3">
      <c r="A21">
        <v>334</v>
      </c>
      <c r="B21" t="s">
        <v>928</v>
      </c>
      <c r="C21" t="s">
        <v>927</v>
      </c>
      <c r="D21" t="s">
        <v>139</v>
      </c>
      <c r="E21" s="32">
        <v>44881</v>
      </c>
      <c r="F21" t="s">
        <v>127</v>
      </c>
      <c r="G21" t="str">
        <f>INDEX('коды стран'!$A$2:$A$6, MATCH(F21, 'коды стран'!$B$2:$B$6, 0))</f>
        <v>Украина</v>
      </c>
      <c r="H21" s="32">
        <f t="shared" ca="1" si="0"/>
        <v>46076</v>
      </c>
      <c r="I21">
        <f ca="1">Таблица3[[#This Row],[Текущая дата]]-Продажи[[#This Row],[Дата регистрации клиента]]</f>
        <v>1320</v>
      </c>
      <c r="J21">
        <f ca="1">ROUND((Таблица3[[#This Row],[Текущая дата]] - Продажи[[#This Row],[Дата регистрации клиента]]) / 30, 0)</f>
        <v>44</v>
      </c>
      <c r="K21" t="e">
        <f>LEFT(C21,#REF!- 1)</f>
        <v>#REF!</v>
      </c>
    </row>
    <row r="22" spans="1:11" x14ac:dyDescent="0.3">
      <c r="A22">
        <v>2</v>
      </c>
      <c r="B22" t="s">
        <v>916</v>
      </c>
      <c r="C22" t="s">
        <v>915</v>
      </c>
      <c r="D22" t="s">
        <v>139</v>
      </c>
      <c r="E22" s="32">
        <v>44775</v>
      </c>
      <c r="F22" t="s">
        <v>131</v>
      </c>
      <c r="G22" t="str">
        <f>INDEX('коды стран'!$A$2:$A$6, MATCH(F22, 'коды стран'!$B$2:$B$6, 0))</f>
        <v>Узбекистан</v>
      </c>
      <c r="H22" s="32">
        <f t="shared" ca="1" si="0"/>
        <v>46076</v>
      </c>
      <c r="I22">
        <f ca="1">Таблица3[[#This Row],[Текущая дата]]-Продажи[[#This Row],[Дата регистрации клиента]]</f>
        <v>1401</v>
      </c>
      <c r="J22">
        <f ca="1">ROUND((Таблица3[[#This Row],[Текущая дата]] - Продажи[[#This Row],[Дата регистрации клиента]]) / 30, 0)</f>
        <v>47</v>
      </c>
      <c r="K22" t="e">
        <f>LEFT(C22,#REF!- 1)</f>
        <v>#REF!</v>
      </c>
    </row>
    <row r="23" spans="1:11" x14ac:dyDescent="0.3">
      <c r="A23">
        <v>115</v>
      </c>
      <c r="B23" t="s">
        <v>878</v>
      </c>
      <c r="C23" t="s">
        <v>877</v>
      </c>
      <c r="D23" t="s">
        <v>142</v>
      </c>
      <c r="E23" s="32">
        <v>44832</v>
      </c>
      <c r="F23" t="s">
        <v>133</v>
      </c>
      <c r="G23" t="str">
        <f>INDEX('коды стран'!$A$2:$A$6, MATCH(F23, 'коды стран'!$B$2:$B$6, 0))</f>
        <v>Беларусь</v>
      </c>
      <c r="H23" s="32">
        <f t="shared" ca="1" si="0"/>
        <v>46076</v>
      </c>
      <c r="I23">
        <f ca="1">Таблица3[[#This Row],[Текущая дата]]-Продажи[[#This Row],[Дата регистрации клиента]]</f>
        <v>1348</v>
      </c>
      <c r="J23">
        <f ca="1">ROUND((Таблица3[[#This Row],[Текущая дата]] - Продажи[[#This Row],[Дата регистрации клиента]]) / 30, 0)</f>
        <v>45</v>
      </c>
      <c r="K23" t="e">
        <f>LEFT(C23,#REF!- 1)</f>
        <v>#REF!</v>
      </c>
    </row>
    <row r="24" spans="1:11" x14ac:dyDescent="0.3">
      <c r="A24">
        <v>462</v>
      </c>
      <c r="B24" t="s">
        <v>864</v>
      </c>
      <c r="C24" t="s">
        <v>863</v>
      </c>
      <c r="D24" t="s">
        <v>142</v>
      </c>
      <c r="E24" s="32">
        <v>44751</v>
      </c>
      <c r="F24" t="s">
        <v>135</v>
      </c>
      <c r="G24" t="str">
        <f>INDEX('коды стран'!$A$2:$A$6, MATCH(F24, 'коды стран'!$B$2:$B$6, 0))</f>
        <v>Россия</v>
      </c>
      <c r="H24" s="32">
        <f t="shared" ca="1" si="0"/>
        <v>46076</v>
      </c>
      <c r="I24">
        <f ca="1">Таблица3[[#This Row],[Текущая дата]]-Продажи[[#This Row],[Дата регистрации клиента]]</f>
        <v>1513</v>
      </c>
      <c r="J24">
        <f ca="1">ROUND((Таблица3[[#This Row],[Текущая дата]] - Продажи[[#This Row],[Дата регистрации клиента]]) / 30, 0)</f>
        <v>50</v>
      </c>
      <c r="K24" t="e">
        <f>LEFT(C24,#REF!- 1)</f>
        <v>#REF!</v>
      </c>
    </row>
    <row r="25" spans="1:11" x14ac:dyDescent="0.3">
      <c r="A25">
        <v>166</v>
      </c>
      <c r="B25" t="s">
        <v>816</v>
      </c>
      <c r="C25" t="s">
        <v>815</v>
      </c>
      <c r="D25" t="s">
        <v>142</v>
      </c>
      <c r="E25" s="32">
        <v>44796</v>
      </c>
      <c r="F25" t="s">
        <v>131</v>
      </c>
      <c r="G25" t="str">
        <f>INDEX('коды стран'!$A$2:$A$6, MATCH(F25, 'коды стран'!$B$2:$B$6, 0))</f>
        <v>Узбекистан</v>
      </c>
      <c r="H25" s="32">
        <f t="shared" ca="1" si="0"/>
        <v>46076</v>
      </c>
      <c r="I25">
        <f ca="1">Таблица3[[#This Row],[Текущая дата]]-Продажи[[#This Row],[Дата регистрации клиента]]</f>
        <v>1423</v>
      </c>
      <c r="J25">
        <f ca="1">ROUND((Таблица3[[#This Row],[Текущая дата]] - Продажи[[#This Row],[Дата регистрации клиента]]) / 30, 0)</f>
        <v>47</v>
      </c>
      <c r="K25" t="e">
        <f>LEFT(C25,#REF!- 1)</f>
        <v>#REF!</v>
      </c>
    </row>
    <row r="26" spans="1:11" x14ac:dyDescent="0.3">
      <c r="A26">
        <v>342</v>
      </c>
      <c r="B26" t="s">
        <v>778</v>
      </c>
      <c r="C26" t="s">
        <v>777</v>
      </c>
      <c r="D26" t="s">
        <v>142</v>
      </c>
      <c r="E26" s="32">
        <v>44570</v>
      </c>
      <c r="F26" t="s">
        <v>129</v>
      </c>
      <c r="G26" t="str">
        <f>INDEX('коды стран'!$A$2:$A$6, MATCH(F26, 'коды стран'!$B$2:$B$6, 0))</f>
        <v>Таджикистан</v>
      </c>
      <c r="H26" s="32">
        <f t="shared" ca="1" si="0"/>
        <v>46076</v>
      </c>
      <c r="I26">
        <f ca="1">Таблица3[[#This Row],[Текущая дата]]-Продажи[[#This Row],[Дата регистрации клиента]]</f>
        <v>1387</v>
      </c>
      <c r="J26">
        <f ca="1">ROUND((Таблица3[[#This Row],[Текущая дата]] - Продажи[[#This Row],[Дата регистрации клиента]]) / 30, 0)</f>
        <v>46</v>
      </c>
      <c r="K26" t="e">
        <f>LEFT(C26,#REF!- 1)</f>
        <v>#REF!</v>
      </c>
    </row>
    <row r="27" spans="1:11" x14ac:dyDescent="0.3">
      <c r="A27">
        <v>283</v>
      </c>
      <c r="B27" t="s">
        <v>768</v>
      </c>
      <c r="C27" t="s">
        <v>767</v>
      </c>
      <c r="D27" t="s">
        <v>139</v>
      </c>
      <c r="E27" s="32">
        <v>44889</v>
      </c>
      <c r="F27" t="s">
        <v>129</v>
      </c>
      <c r="G27" t="str">
        <f>INDEX('коды стран'!$A$2:$A$6, MATCH(F27, 'коды стран'!$B$2:$B$6, 0))</f>
        <v>Таджикистан</v>
      </c>
      <c r="H27" s="32">
        <f t="shared" ca="1" si="0"/>
        <v>46076</v>
      </c>
      <c r="I27">
        <f ca="1">Таблица3[[#This Row],[Текущая дата]]-Продажи[[#This Row],[Дата регистрации клиента]]</f>
        <v>1292</v>
      </c>
      <c r="J27">
        <f ca="1">ROUND((Таблица3[[#This Row],[Текущая дата]] - Продажи[[#This Row],[Дата регистрации клиента]]) / 30, 0)</f>
        <v>43</v>
      </c>
      <c r="K27" t="e">
        <f>LEFT(C27,#REF!- 1)</f>
        <v>#REF!</v>
      </c>
    </row>
    <row r="28" spans="1:11" x14ac:dyDescent="0.3">
      <c r="A28">
        <v>61</v>
      </c>
      <c r="B28" t="s">
        <v>758</v>
      </c>
      <c r="C28" t="s">
        <v>757</v>
      </c>
      <c r="D28" t="s">
        <v>139</v>
      </c>
      <c r="E28" s="32">
        <v>44769</v>
      </c>
      <c r="F28" t="s">
        <v>129</v>
      </c>
      <c r="G28" t="str">
        <f>INDEX('коды стран'!$A$2:$A$6, MATCH(F28, 'коды стран'!$B$2:$B$6, 0))</f>
        <v>Таджикистан</v>
      </c>
      <c r="H28" s="32">
        <f t="shared" ca="1" si="0"/>
        <v>46076</v>
      </c>
      <c r="I28">
        <f ca="1">Таблица3[[#This Row],[Текущая дата]]-Продажи[[#This Row],[Дата регистрации клиента]]</f>
        <v>1467</v>
      </c>
      <c r="J28">
        <f ca="1">ROUND((Таблица3[[#This Row],[Текущая дата]] - Продажи[[#This Row],[Дата регистрации клиента]]) / 30, 0)</f>
        <v>49</v>
      </c>
      <c r="K28" t="e">
        <f>LEFT(C28,#REF!- 1)</f>
        <v>#REF!</v>
      </c>
    </row>
    <row r="29" spans="1:11" x14ac:dyDescent="0.3">
      <c r="A29">
        <v>139</v>
      </c>
      <c r="B29" t="s">
        <v>744</v>
      </c>
      <c r="C29" t="s">
        <v>743</v>
      </c>
      <c r="D29" t="s">
        <v>142</v>
      </c>
      <c r="E29" s="32">
        <v>44648</v>
      </c>
      <c r="F29" t="s">
        <v>133</v>
      </c>
      <c r="G29" t="str">
        <f>INDEX('коды стран'!$A$2:$A$6, MATCH(F29, 'коды стран'!$B$2:$B$6, 0))</f>
        <v>Беларусь</v>
      </c>
      <c r="H29" s="32">
        <f t="shared" ca="1" si="0"/>
        <v>46076</v>
      </c>
      <c r="I29">
        <f ca="1">Таблица3[[#This Row],[Текущая дата]]-Продажи[[#This Row],[Дата регистрации клиента]]</f>
        <v>1424</v>
      </c>
      <c r="J29">
        <f ca="1">ROUND((Таблица3[[#This Row],[Текущая дата]] - Продажи[[#This Row],[Дата регистрации клиента]]) / 30, 0)</f>
        <v>47</v>
      </c>
      <c r="K29" t="e">
        <f>LEFT(C29,#REF!- 1)</f>
        <v>#REF!</v>
      </c>
    </row>
    <row r="30" spans="1:11" x14ac:dyDescent="0.3">
      <c r="A30">
        <v>286</v>
      </c>
      <c r="B30" t="s">
        <v>732</v>
      </c>
      <c r="C30" t="s">
        <v>731</v>
      </c>
      <c r="D30" t="s">
        <v>139</v>
      </c>
      <c r="E30" s="32">
        <v>44563</v>
      </c>
      <c r="F30" t="s">
        <v>129</v>
      </c>
      <c r="G30" t="str">
        <f>INDEX('коды стран'!$A$2:$A$6, MATCH(F30, 'коды стран'!$B$2:$B$6, 0))</f>
        <v>Таджикистан</v>
      </c>
      <c r="H30" s="32">
        <f t="shared" ca="1" si="0"/>
        <v>46076</v>
      </c>
      <c r="I30">
        <f ca="1">Таблица3[[#This Row],[Текущая дата]]-Продажи[[#This Row],[Дата регистрации клиента]]</f>
        <v>1492</v>
      </c>
      <c r="J30">
        <f ca="1">ROUND((Таблица3[[#This Row],[Текущая дата]] - Продажи[[#This Row],[Дата регистрации клиента]]) / 30, 0)</f>
        <v>50</v>
      </c>
      <c r="K30" t="e">
        <f>LEFT(C30,#REF!- 1)</f>
        <v>#REF!</v>
      </c>
    </row>
    <row r="31" spans="1:11" x14ac:dyDescent="0.3">
      <c r="A31">
        <v>416</v>
      </c>
      <c r="B31" t="s">
        <v>702</v>
      </c>
      <c r="C31" t="s">
        <v>701</v>
      </c>
      <c r="D31" t="s">
        <v>139</v>
      </c>
      <c r="E31" s="32">
        <v>44703</v>
      </c>
      <c r="F31" t="s">
        <v>129</v>
      </c>
      <c r="G31" t="str">
        <f>INDEX('коды стран'!$A$2:$A$6, MATCH(F31, 'коды стран'!$B$2:$B$6, 0))</f>
        <v>Таджикистан</v>
      </c>
      <c r="H31" s="32">
        <f t="shared" ca="1" si="0"/>
        <v>46076</v>
      </c>
      <c r="I31">
        <f ca="1">Таблица3[[#This Row],[Текущая дата]]-Продажи[[#This Row],[Дата регистрации клиента]]</f>
        <v>1383</v>
      </c>
      <c r="J31">
        <f ca="1">ROUND((Таблица3[[#This Row],[Текущая дата]] - Продажи[[#This Row],[Дата регистрации клиента]]) / 30, 0)</f>
        <v>46</v>
      </c>
      <c r="K31" t="e">
        <f>LEFT(C31,#REF!- 1)</f>
        <v>#REF!</v>
      </c>
    </row>
    <row r="32" spans="1:11" x14ac:dyDescent="0.3">
      <c r="A32">
        <v>377</v>
      </c>
      <c r="B32" t="s">
        <v>664</v>
      </c>
      <c r="C32" t="s">
        <v>663</v>
      </c>
      <c r="D32" t="s">
        <v>139</v>
      </c>
      <c r="E32" s="32">
        <v>44794</v>
      </c>
      <c r="F32" t="s">
        <v>131</v>
      </c>
      <c r="G32" t="str">
        <f>INDEX('коды стран'!$A$2:$A$6, MATCH(F32, 'коды стран'!$B$2:$B$6, 0))</f>
        <v>Узбекистан</v>
      </c>
      <c r="H32" s="32">
        <f t="shared" ca="1" si="0"/>
        <v>46076</v>
      </c>
      <c r="I32">
        <f ca="1">Таблица3[[#This Row],[Текущая дата]]-Продажи[[#This Row],[Дата регистрации клиента]]</f>
        <v>1427</v>
      </c>
      <c r="J32">
        <f ca="1">ROUND((Таблица3[[#This Row],[Текущая дата]] - Продажи[[#This Row],[Дата регистрации клиента]]) / 30, 0)</f>
        <v>48</v>
      </c>
      <c r="K32" t="e">
        <f>LEFT(C32,#REF!- 1)</f>
        <v>#REF!</v>
      </c>
    </row>
    <row r="33" spans="1:11" x14ac:dyDescent="0.3">
      <c r="A33">
        <v>327</v>
      </c>
      <c r="B33" t="s">
        <v>650</v>
      </c>
      <c r="C33" t="s">
        <v>649</v>
      </c>
      <c r="D33" t="s">
        <v>139</v>
      </c>
      <c r="E33" s="32">
        <v>44565</v>
      </c>
      <c r="F33" t="s">
        <v>129</v>
      </c>
      <c r="G33" t="str">
        <f>INDEX('коды стран'!$A$2:$A$6, MATCH(F33, 'коды стран'!$B$2:$B$6, 0))</f>
        <v>Таджикистан</v>
      </c>
      <c r="H33" s="32">
        <f t="shared" ca="1" si="0"/>
        <v>46076</v>
      </c>
      <c r="I33">
        <f ca="1">Таблица3[[#This Row],[Текущая дата]]-Продажи[[#This Row],[Дата регистрации клиента]]</f>
        <v>1219</v>
      </c>
      <c r="J33">
        <f ca="1">ROUND((Таблица3[[#This Row],[Текущая дата]] - Продажи[[#This Row],[Дата регистрации клиента]]) / 30, 0)</f>
        <v>41</v>
      </c>
      <c r="K33" t="e">
        <f>LEFT(C33,#REF!- 1)</f>
        <v>#REF!</v>
      </c>
    </row>
    <row r="34" spans="1:11" x14ac:dyDescent="0.3">
      <c r="A34">
        <v>147</v>
      </c>
      <c r="B34" t="s">
        <v>636</v>
      </c>
      <c r="C34" t="s">
        <v>635</v>
      </c>
      <c r="D34" t="s">
        <v>142</v>
      </c>
      <c r="E34" s="32">
        <v>44827</v>
      </c>
      <c r="F34" t="s">
        <v>135</v>
      </c>
      <c r="G34" t="str">
        <f>INDEX('коды стран'!$A$2:$A$6, MATCH(F34, 'коды стран'!$B$2:$B$6, 0))</f>
        <v>Россия</v>
      </c>
      <c r="H34" s="32">
        <f t="shared" ca="1" si="0"/>
        <v>46076</v>
      </c>
      <c r="I34">
        <f ca="1">Таблица3[[#This Row],[Текущая дата]]-Продажи[[#This Row],[Дата регистрации клиента]]</f>
        <v>1315</v>
      </c>
      <c r="J34">
        <f ca="1">ROUND((Таблица3[[#This Row],[Текущая дата]] - Продажи[[#This Row],[Дата регистрации клиента]]) / 30, 0)</f>
        <v>44</v>
      </c>
      <c r="K34" t="e">
        <f>LEFT(C34,#REF!- 1)</f>
        <v>#REF!</v>
      </c>
    </row>
    <row r="35" spans="1:11" x14ac:dyDescent="0.3">
      <c r="A35">
        <v>192</v>
      </c>
      <c r="B35" t="s">
        <v>600</v>
      </c>
      <c r="C35" t="s">
        <v>599</v>
      </c>
      <c r="D35" t="s">
        <v>142</v>
      </c>
      <c r="E35" s="32">
        <v>44572</v>
      </c>
      <c r="F35" t="s">
        <v>135</v>
      </c>
      <c r="G35" t="str">
        <f>INDEX('коды стран'!$A$2:$A$6, MATCH(F35, 'коды стран'!$B$2:$B$6, 0))</f>
        <v>Россия</v>
      </c>
      <c r="H35" s="32">
        <f t="shared" ca="1" si="0"/>
        <v>46076</v>
      </c>
      <c r="I35">
        <f ca="1">Таблица3[[#This Row],[Текущая дата]]-Продажи[[#This Row],[Дата регистрации клиента]]</f>
        <v>1269</v>
      </c>
      <c r="J35">
        <f ca="1">ROUND((Таблица3[[#This Row],[Текущая дата]] - Продажи[[#This Row],[Дата регистрации клиента]]) / 30, 0)</f>
        <v>42</v>
      </c>
      <c r="K35" t="e">
        <f>LEFT(C35,#REF!- 1)</f>
        <v>#REF!</v>
      </c>
    </row>
    <row r="36" spans="1:11" x14ac:dyDescent="0.3">
      <c r="A36">
        <v>290</v>
      </c>
      <c r="B36" t="s">
        <v>576</v>
      </c>
      <c r="C36" t="s">
        <v>575</v>
      </c>
      <c r="D36" t="s">
        <v>142</v>
      </c>
      <c r="E36" s="32">
        <v>44777</v>
      </c>
      <c r="F36" t="s">
        <v>135</v>
      </c>
      <c r="G36" t="str">
        <f>INDEX('коды стран'!$A$2:$A$6, MATCH(F36, 'коды стран'!$B$2:$B$6, 0))</f>
        <v>Россия</v>
      </c>
      <c r="H36" s="32">
        <f t="shared" ca="1" si="0"/>
        <v>46076</v>
      </c>
      <c r="I36">
        <f ca="1">Таблица3[[#This Row],[Текущая дата]]-Продажи[[#This Row],[Дата регистрации клиента]]</f>
        <v>1243</v>
      </c>
      <c r="J36">
        <f ca="1">ROUND((Таблица3[[#This Row],[Текущая дата]] - Продажи[[#This Row],[Дата регистрации клиента]]) / 30, 0)</f>
        <v>41</v>
      </c>
      <c r="K36" t="e">
        <f>LEFT(C36,#REF!- 1)</f>
        <v>#REF!</v>
      </c>
    </row>
    <row r="37" spans="1:11" x14ac:dyDescent="0.3">
      <c r="A37">
        <v>369</v>
      </c>
      <c r="B37" t="s">
        <v>528</v>
      </c>
      <c r="C37" t="s">
        <v>527</v>
      </c>
      <c r="D37" t="s">
        <v>142</v>
      </c>
      <c r="E37" s="32">
        <v>44678</v>
      </c>
      <c r="F37" t="s">
        <v>135</v>
      </c>
      <c r="G37" t="str">
        <f>INDEX('коды стран'!$A$2:$A$6, MATCH(F37, 'коды стран'!$B$2:$B$6, 0))</f>
        <v>Россия</v>
      </c>
      <c r="H37" s="32">
        <f t="shared" ca="1" si="0"/>
        <v>46076</v>
      </c>
      <c r="I37">
        <f ca="1">Таблица3[[#This Row],[Текущая дата]]-Продажи[[#This Row],[Дата регистрации клиента]]</f>
        <v>1369</v>
      </c>
      <c r="J37">
        <f ca="1">ROUND((Таблица3[[#This Row],[Текущая дата]] - Продажи[[#This Row],[Дата регистрации клиента]]) / 30, 0)</f>
        <v>46</v>
      </c>
      <c r="K37" t="e">
        <f>LEFT(C37,#REF!- 1)</f>
        <v>#REF!</v>
      </c>
    </row>
    <row r="38" spans="1:11" x14ac:dyDescent="0.3">
      <c r="A38">
        <v>66</v>
      </c>
      <c r="B38" t="s">
        <v>524</v>
      </c>
      <c r="C38" t="s">
        <v>523</v>
      </c>
      <c r="D38" t="s">
        <v>139</v>
      </c>
      <c r="E38" s="32">
        <v>44777</v>
      </c>
      <c r="F38" t="s">
        <v>135</v>
      </c>
      <c r="G38" t="str">
        <f>INDEX('коды стран'!$A$2:$A$6, MATCH(F38, 'коды стран'!$B$2:$B$6, 0))</f>
        <v>Россия</v>
      </c>
      <c r="H38" s="32">
        <f t="shared" ca="1" si="0"/>
        <v>46076</v>
      </c>
      <c r="I38">
        <f ca="1">Таблица3[[#This Row],[Текущая дата]]-Продажи[[#This Row],[Дата регистрации клиента]]</f>
        <v>1184</v>
      </c>
      <c r="J38">
        <f ca="1">ROUND((Таблица3[[#This Row],[Текущая дата]] - Продажи[[#This Row],[Дата регистрации клиента]]) / 30, 0)</f>
        <v>39</v>
      </c>
      <c r="K38" t="e">
        <f>LEFT(C38,#REF!- 1)</f>
        <v>#REF!</v>
      </c>
    </row>
    <row r="39" spans="1:11" x14ac:dyDescent="0.3">
      <c r="A39">
        <v>285</v>
      </c>
      <c r="B39" t="s">
        <v>482</v>
      </c>
      <c r="C39" t="s">
        <v>481</v>
      </c>
      <c r="D39" t="s">
        <v>139</v>
      </c>
      <c r="E39" s="32">
        <v>44922</v>
      </c>
      <c r="F39" t="s">
        <v>129</v>
      </c>
      <c r="G39" t="str">
        <f>INDEX('коды стран'!$A$2:$A$6, MATCH(F39, 'коды стран'!$B$2:$B$6, 0))</f>
        <v>Таджикистан</v>
      </c>
      <c r="H39" s="32">
        <f t="shared" ca="1" si="0"/>
        <v>46076</v>
      </c>
      <c r="I39">
        <f ca="1">Таблица3[[#This Row],[Текущая дата]]-Продажи[[#This Row],[Дата регистрации клиента]]</f>
        <v>1309</v>
      </c>
      <c r="J39">
        <f ca="1">ROUND((Таблица3[[#This Row],[Текущая дата]] - Продажи[[#This Row],[Дата регистрации клиента]]) / 30, 0)</f>
        <v>44</v>
      </c>
      <c r="K39" t="e">
        <f>LEFT(C39,#REF!- 1)</f>
        <v>#REF!</v>
      </c>
    </row>
    <row r="40" spans="1:11" x14ac:dyDescent="0.3">
      <c r="A40">
        <v>232</v>
      </c>
      <c r="B40" t="s">
        <v>450</v>
      </c>
      <c r="C40" t="s">
        <v>449</v>
      </c>
      <c r="D40" t="s">
        <v>142</v>
      </c>
      <c r="E40" s="32">
        <v>44923</v>
      </c>
      <c r="F40" t="s">
        <v>129</v>
      </c>
      <c r="G40" t="str">
        <f>INDEX('коды стран'!$A$2:$A$6, MATCH(F40, 'коды стран'!$B$2:$B$6, 0))</f>
        <v>Таджикистан</v>
      </c>
      <c r="H40" s="32">
        <f t="shared" ca="1" si="0"/>
        <v>46076</v>
      </c>
      <c r="I40">
        <f ca="1">Таблица3[[#This Row],[Текущая дата]]-Продажи[[#This Row],[Дата регистрации клиента]]</f>
        <v>1152</v>
      </c>
      <c r="J40">
        <f ca="1">ROUND((Таблица3[[#This Row],[Текущая дата]] - Продажи[[#This Row],[Дата регистрации клиента]]) / 30, 0)</f>
        <v>38</v>
      </c>
      <c r="K40" t="e">
        <f>LEFT(C40,#REF!- 1)</f>
        <v>#REF!</v>
      </c>
    </row>
    <row r="41" spans="1:11" x14ac:dyDescent="0.3">
      <c r="A41">
        <v>148</v>
      </c>
      <c r="B41" t="s">
        <v>442</v>
      </c>
      <c r="C41" t="s">
        <v>441</v>
      </c>
      <c r="D41" t="s">
        <v>142</v>
      </c>
      <c r="E41" s="32">
        <v>44700</v>
      </c>
      <c r="F41" t="s">
        <v>135</v>
      </c>
      <c r="G41" t="str">
        <f>INDEX('коды стран'!$A$2:$A$6, MATCH(F41, 'коды стран'!$B$2:$B$6, 0))</f>
        <v>Россия</v>
      </c>
      <c r="H41" s="32">
        <f t="shared" ca="1" si="0"/>
        <v>46076</v>
      </c>
      <c r="I41">
        <f ca="1">Таблица3[[#This Row],[Текущая дата]]-Продажи[[#This Row],[Дата регистрации клиента]]</f>
        <v>1166</v>
      </c>
      <c r="J41">
        <f ca="1">ROUND((Таблица3[[#This Row],[Текущая дата]] - Продажи[[#This Row],[Дата регистрации клиента]]) / 30, 0)</f>
        <v>39</v>
      </c>
      <c r="K41" t="e">
        <f>LEFT(C41,#REF!- 1)</f>
        <v>#REF!</v>
      </c>
    </row>
    <row r="42" spans="1:11" x14ac:dyDescent="0.3">
      <c r="A42">
        <v>141</v>
      </c>
      <c r="B42" t="s">
        <v>398</v>
      </c>
      <c r="C42" t="s">
        <v>397</v>
      </c>
      <c r="D42" t="s">
        <v>142</v>
      </c>
      <c r="E42" s="32">
        <v>44743</v>
      </c>
      <c r="F42" t="s">
        <v>135</v>
      </c>
      <c r="G42" t="str">
        <f>INDEX('коды стран'!$A$2:$A$6, MATCH(F42, 'коды стран'!$B$2:$B$6, 0))</f>
        <v>Россия</v>
      </c>
      <c r="H42" s="32">
        <f t="shared" ca="1" si="0"/>
        <v>46076</v>
      </c>
      <c r="I42">
        <f ca="1">Таблица3[[#This Row],[Текущая дата]]-Продажи[[#This Row],[Дата регистрации клиента]]</f>
        <v>1195</v>
      </c>
      <c r="J42">
        <f ca="1">ROUND((Таблица3[[#This Row],[Текущая дата]] - Продажи[[#This Row],[Дата регистрации клиента]]) / 30, 0)</f>
        <v>40</v>
      </c>
      <c r="K42" t="e">
        <f>LEFT(C42,#REF!- 1)</f>
        <v>#REF!</v>
      </c>
    </row>
    <row r="43" spans="1:11" x14ac:dyDescent="0.3">
      <c r="A43">
        <v>80</v>
      </c>
      <c r="B43" t="s">
        <v>378</v>
      </c>
      <c r="C43" t="s">
        <v>377</v>
      </c>
      <c r="D43" t="s">
        <v>139</v>
      </c>
      <c r="E43" s="32">
        <v>44623</v>
      </c>
      <c r="F43" t="s">
        <v>133</v>
      </c>
      <c r="G43" t="str">
        <f>INDEX('коды стран'!$A$2:$A$6, MATCH(F43, 'коды стран'!$B$2:$B$6, 0))</f>
        <v>Беларусь</v>
      </c>
      <c r="H43" s="32">
        <f t="shared" ca="1" si="0"/>
        <v>46076</v>
      </c>
      <c r="I43">
        <f ca="1">Таблица3[[#This Row],[Текущая дата]]-Продажи[[#This Row],[Дата регистрации клиента]]</f>
        <v>1383</v>
      </c>
      <c r="J43">
        <f ca="1">ROUND((Таблица3[[#This Row],[Текущая дата]] - Продажи[[#This Row],[Дата регистрации клиента]]) / 30, 0)</f>
        <v>46</v>
      </c>
      <c r="K43" t="e">
        <f>LEFT(C43,#REF!- 1)</f>
        <v>#REF!</v>
      </c>
    </row>
    <row r="44" spans="1:11" x14ac:dyDescent="0.3">
      <c r="A44">
        <v>271</v>
      </c>
      <c r="B44" t="s">
        <v>344</v>
      </c>
      <c r="C44" t="s">
        <v>343</v>
      </c>
      <c r="D44" t="s">
        <v>139</v>
      </c>
      <c r="E44" s="32">
        <v>44892</v>
      </c>
      <c r="F44" t="s">
        <v>133</v>
      </c>
      <c r="G44" t="str">
        <f>INDEX('коды стран'!$A$2:$A$6, MATCH(F44, 'коды стран'!$B$2:$B$6, 0))</f>
        <v>Беларусь</v>
      </c>
      <c r="H44" s="32">
        <f t="shared" ca="1" si="0"/>
        <v>46076</v>
      </c>
      <c r="I44">
        <f ca="1">Таблица3[[#This Row],[Текущая дата]]-Продажи[[#This Row],[Дата регистрации клиента]]</f>
        <v>1468</v>
      </c>
      <c r="J44">
        <f ca="1">ROUND((Таблица3[[#This Row],[Текущая дата]] - Продажи[[#This Row],[Дата регистрации клиента]]) / 30, 0)</f>
        <v>49</v>
      </c>
      <c r="K44" t="e">
        <f>LEFT(C44,#REF!- 1)</f>
        <v>#REF!</v>
      </c>
    </row>
    <row r="45" spans="1:11" x14ac:dyDescent="0.3">
      <c r="A45">
        <v>300</v>
      </c>
      <c r="B45" t="s">
        <v>338</v>
      </c>
      <c r="C45" t="s">
        <v>337</v>
      </c>
      <c r="D45" t="s">
        <v>142</v>
      </c>
      <c r="E45" s="32">
        <v>44824</v>
      </c>
      <c r="F45" t="s">
        <v>127</v>
      </c>
      <c r="G45" t="str">
        <f>INDEX('коды стран'!$A$2:$A$6, MATCH(F45, 'коды стран'!$B$2:$B$6, 0))</f>
        <v>Украина</v>
      </c>
      <c r="H45" s="32">
        <f t="shared" ca="1" si="0"/>
        <v>46076</v>
      </c>
      <c r="I45">
        <f ca="1">Таблица3[[#This Row],[Текущая дата]]-Продажи[[#This Row],[Дата регистрации клиента]]</f>
        <v>1423</v>
      </c>
      <c r="J45">
        <f ca="1">ROUND((Таблица3[[#This Row],[Текущая дата]] - Продажи[[#This Row],[Дата регистрации клиента]]) / 30, 0)</f>
        <v>47</v>
      </c>
      <c r="K45" t="e">
        <f>LEFT(C45,#REF!- 1)</f>
        <v>#REF!</v>
      </c>
    </row>
    <row r="46" spans="1:11" x14ac:dyDescent="0.3">
      <c r="A46">
        <v>237</v>
      </c>
      <c r="B46" t="s">
        <v>292</v>
      </c>
      <c r="C46" t="s">
        <v>291</v>
      </c>
      <c r="D46" t="s">
        <v>142</v>
      </c>
      <c r="E46" s="32">
        <v>44886</v>
      </c>
      <c r="F46" t="s">
        <v>135</v>
      </c>
      <c r="G46" t="str">
        <f>INDEX('коды стран'!$A$2:$A$6, MATCH(F46, 'коды стран'!$B$2:$B$6, 0))</f>
        <v>Россия</v>
      </c>
      <c r="H46" s="32">
        <f t="shared" ca="1" si="0"/>
        <v>46076</v>
      </c>
      <c r="I46">
        <f ca="1">Таблица3[[#This Row],[Текущая дата]]-Продажи[[#This Row],[Дата регистрации клиента]]</f>
        <v>1249</v>
      </c>
      <c r="J46">
        <f ca="1">ROUND((Таблица3[[#This Row],[Текущая дата]] - Продажи[[#This Row],[Дата регистрации клиента]]) / 30, 0)</f>
        <v>42</v>
      </c>
      <c r="K46" t="e">
        <f>LEFT(C46,#REF!- 1)</f>
        <v>#REF!</v>
      </c>
    </row>
    <row r="47" spans="1:11" x14ac:dyDescent="0.3">
      <c r="A47">
        <v>50</v>
      </c>
      <c r="B47" t="s">
        <v>286</v>
      </c>
      <c r="C47" t="s">
        <v>285</v>
      </c>
      <c r="D47" t="s">
        <v>142</v>
      </c>
      <c r="E47" s="32">
        <v>44576</v>
      </c>
      <c r="F47" t="s">
        <v>131</v>
      </c>
      <c r="G47" t="str">
        <f>INDEX('коды стран'!$A$2:$A$6, MATCH(F47, 'коды стран'!$B$2:$B$6, 0))</f>
        <v>Узбекистан</v>
      </c>
      <c r="H47" s="32">
        <f t="shared" ca="1" si="0"/>
        <v>46076</v>
      </c>
      <c r="I47">
        <f ca="1">Таблица3[[#This Row],[Текущая дата]]-Продажи[[#This Row],[Дата регистрации клиента]]</f>
        <v>1369</v>
      </c>
      <c r="J47">
        <f ca="1">ROUND((Таблица3[[#This Row],[Текущая дата]] - Продажи[[#This Row],[Дата регистрации клиента]]) / 30, 0)</f>
        <v>46</v>
      </c>
      <c r="K47" t="e">
        <f>LEFT(C47,#REF!- 1)</f>
        <v>#REF!</v>
      </c>
    </row>
    <row r="48" spans="1:11" x14ac:dyDescent="0.3">
      <c r="A48">
        <v>123</v>
      </c>
      <c r="B48" t="s">
        <v>252</v>
      </c>
      <c r="C48" t="s">
        <v>251</v>
      </c>
      <c r="D48" t="s">
        <v>139</v>
      </c>
      <c r="E48" s="32">
        <v>44600</v>
      </c>
      <c r="F48" t="s">
        <v>135</v>
      </c>
      <c r="G48" t="str">
        <f>INDEX('коды стран'!$A$2:$A$6, MATCH(F48, 'коды стран'!$B$2:$B$6, 0))</f>
        <v>Россия</v>
      </c>
      <c r="H48" s="32">
        <f t="shared" ca="1" si="0"/>
        <v>46076</v>
      </c>
      <c r="I48">
        <f ca="1">Таблица3[[#This Row],[Текущая дата]]-Продажи[[#This Row],[Дата регистрации клиента]]</f>
        <v>1176</v>
      </c>
      <c r="J48">
        <f ca="1">ROUND((Таблица3[[#This Row],[Текущая дата]] - Продажи[[#This Row],[Дата регистрации клиента]]) / 30, 0)</f>
        <v>39</v>
      </c>
      <c r="K48" t="e">
        <f>LEFT(C48,#REF!- 1)</f>
        <v>#REF!</v>
      </c>
    </row>
    <row r="49" spans="1:11" x14ac:dyDescent="0.3">
      <c r="A49">
        <v>218</v>
      </c>
      <c r="B49" t="s">
        <v>248</v>
      </c>
      <c r="C49" t="s">
        <v>247</v>
      </c>
      <c r="D49" t="s">
        <v>139</v>
      </c>
      <c r="E49" s="32">
        <v>44721</v>
      </c>
      <c r="F49" t="s">
        <v>131</v>
      </c>
      <c r="G49" t="str">
        <f>INDEX('коды стран'!$A$2:$A$6, MATCH(F49, 'коды стран'!$B$2:$B$6, 0))</f>
        <v>Узбекистан</v>
      </c>
      <c r="H49" s="32">
        <f t="shared" ca="1" si="0"/>
        <v>46076</v>
      </c>
      <c r="I49">
        <f ca="1">Таблица3[[#This Row],[Текущая дата]]-Продажи[[#This Row],[Дата регистрации клиента]]</f>
        <v>1301</v>
      </c>
      <c r="J49">
        <f ca="1">ROUND((Таблица3[[#This Row],[Текущая дата]] - Продажи[[#This Row],[Дата регистрации клиента]]) / 30, 0)</f>
        <v>43</v>
      </c>
      <c r="K49" t="e">
        <f>LEFT(C49,#REF!- 1)</f>
        <v>#REF!</v>
      </c>
    </row>
    <row r="50" spans="1:11" x14ac:dyDescent="0.3">
      <c r="A50">
        <v>331</v>
      </c>
      <c r="B50" t="s">
        <v>246</v>
      </c>
      <c r="C50" t="s">
        <v>245</v>
      </c>
      <c r="D50" t="s">
        <v>139</v>
      </c>
      <c r="E50" s="32">
        <v>44813</v>
      </c>
      <c r="F50" t="s">
        <v>131</v>
      </c>
      <c r="G50" t="str">
        <f>INDEX('коды стран'!$A$2:$A$6, MATCH(F50, 'коды стран'!$B$2:$B$6, 0))</f>
        <v>Узбекистан</v>
      </c>
      <c r="H50" s="32">
        <f t="shared" ca="1" si="0"/>
        <v>46076</v>
      </c>
      <c r="I50">
        <f ca="1">Таблица3[[#This Row],[Текущая дата]]-Продажи[[#This Row],[Дата регистрации клиента]]</f>
        <v>1209</v>
      </c>
      <c r="J50">
        <f ca="1">ROUND((Таблица3[[#This Row],[Текущая дата]] - Продажи[[#This Row],[Дата регистрации клиента]]) / 30, 0)</f>
        <v>40</v>
      </c>
      <c r="K50" t="e">
        <f>LEFT(C50,#REF!- 1)</f>
        <v>#REF!</v>
      </c>
    </row>
    <row r="51" spans="1:11" x14ac:dyDescent="0.3">
      <c r="A51">
        <v>360</v>
      </c>
      <c r="B51" t="s">
        <v>238</v>
      </c>
      <c r="C51" t="s">
        <v>237</v>
      </c>
      <c r="D51" t="s">
        <v>139</v>
      </c>
      <c r="E51" s="32">
        <v>44728</v>
      </c>
      <c r="F51" t="s">
        <v>133</v>
      </c>
      <c r="G51" t="str">
        <f>INDEX('коды стран'!$A$2:$A$6, MATCH(F51, 'коды стран'!$B$2:$B$6, 0))</f>
        <v>Беларусь</v>
      </c>
      <c r="H51" s="32">
        <f t="shared" ca="1" si="0"/>
        <v>46076</v>
      </c>
      <c r="I51">
        <f ca="1">Таблица3[[#This Row],[Текущая дата]]-Продажи[[#This Row],[Дата регистрации клиента]]</f>
        <v>1310</v>
      </c>
      <c r="J51">
        <f ca="1">ROUND((Таблица3[[#This Row],[Текущая дата]] - Продажи[[#This Row],[Дата регистрации клиента]]) / 30, 0)</f>
        <v>44</v>
      </c>
      <c r="K51" t="e">
        <f>LEFT(C51,#REF!- 1)</f>
        <v>#REF!</v>
      </c>
    </row>
    <row r="52" spans="1:11" x14ac:dyDescent="0.3">
      <c r="A52">
        <v>99</v>
      </c>
      <c r="B52" t="s">
        <v>214</v>
      </c>
      <c r="C52" t="s">
        <v>213</v>
      </c>
      <c r="D52" t="s">
        <v>139</v>
      </c>
      <c r="E52" s="32">
        <v>44886</v>
      </c>
      <c r="F52" t="s">
        <v>135</v>
      </c>
      <c r="G52" t="str">
        <f>INDEX('коды стран'!$A$2:$A$6, MATCH(F52, 'коды стран'!$B$2:$B$6, 0))</f>
        <v>Россия</v>
      </c>
      <c r="H52" s="32">
        <f t="shared" ca="1" si="0"/>
        <v>46076</v>
      </c>
      <c r="I52">
        <f ca="1">Таблица3[[#This Row],[Текущая дата]]-Продажи[[#This Row],[Дата регистрации клиента]]</f>
        <v>1323</v>
      </c>
      <c r="J52">
        <f ca="1">ROUND((Таблица3[[#This Row],[Текущая дата]] - Продажи[[#This Row],[Дата регистрации клиента]]) / 30, 0)</f>
        <v>44</v>
      </c>
      <c r="K52" t="e">
        <f>LEFT(C52,#REF!- 1)</f>
        <v>#REF!</v>
      </c>
    </row>
    <row r="53" spans="1:11" x14ac:dyDescent="0.3">
      <c r="A53">
        <v>368</v>
      </c>
      <c r="B53" t="s">
        <v>196</v>
      </c>
      <c r="C53" t="s">
        <v>195</v>
      </c>
      <c r="D53" t="s">
        <v>142</v>
      </c>
      <c r="E53" s="32">
        <v>44872</v>
      </c>
      <c r="F53" t="s">
        <v>131</v>
      </c>
      <c r="G53" t="str">
        <f>INDEX('коды стран'!$A$2:$A$6, MATCH(F53, 'коды стран'!$B$2:$B$6, 0))</f>
        <v>Узбекистан</v>
      </c>
      <c r="H53" s="32">
        <f t="shared" ca="1" si="0"/>
        <v>46076</v>
      </c>
      <c r="I53">
        <f ca="1">Таблица3[[#This Row],[Текущая дата]]-Продажи[[#This Row],[Дата регистрации клиента]]</f>
        <v>1455</v>
      </c>
      <c r="J53">
        <f ca="1">ROUND((Таблица3[[#This Row],[Текущая дата]] - Продажи[[#This Row],[Дата регистрации клиента]]) / 30, 0)</f>
        <v>49</v>
      </c>
      <c r="K53" t="e">
        <f>LEFT(C53,#REF!- 1)</f>
        <v>#REF!</v>
      </c>
    </row>
    <row r="54" spans="1:11" x14ac:dyDescent="0.3">
      <c r="A54">
        <v>469</v>
      </c>
      <c r="B54" t="s">
        <v>154</v>
      </c>
      <c r="C54" t="s">
        <v>153</v>
      </c>
      <c r="D54" t="s">
        <v>142</v>
      </c>
      <c r="E54" s="32">
        <v>44659</v>
      </c>
      <c r="F54" t="s">
        <v>135</v>
      </c>
      <c r="G54" t="str">
        <f>INDEX('коды стран'!$A$2:$A$6, MATCH(F54, 'коды стран'!$B$2:$B$6, 0))</f>
        <v>Россия</v>
      </c>
      <c r="H54" s="32">
        <f t="shared" ca="1" si="0"/>
        <v>46076</v>
      </c>
      <c r="I54">
        <f ca="1">Таблица3[[#This Row],[Текущая дата]]-Продажи[[#This Row],[Дата регистрации клиента]]</f>
        <v>1221</v>
      </c>
      <c r="J54">
        <f ca="1">ROUND((Таблица3[[#This Row],[Текущая дата]] - Продажи[[#This Row],[Дата регистрации клиента]]) / 30, 0)</f>
        <v>41</v>
      </c>
      <c r="K54" t="e">
        <f>LEFT(C54,#REF!- 1)</f>
        <v>#REF!</v>
      </c>
    </row>
    <row r="55" spans="1:11" x14ac:dyDescent="0.3">
      <c r="A55">
        <v>427</v>
      </c>
      <c r="B55" t="s">
        <v>141</v>
      </c>
      <c r="C55" t="s">
        <v>140</v>
      </c>
      <c r="D55" t="s">
        <v>139</v>
      </c>
      <c r="E55" s="32">
        <v>44834</v>
      </c>
      <c r="F55" t="s">
        <v>135</v>
      </c>
      <c r="G55" t="str">
        <f>INDEX('коды стран'!$A$2:$A$6, MATCH(F55, 'коды стран'!$B$2:$B$6, 0))</f>
        <v>Россия</v>
      </c>
      <c r="H55" s="32">
        <f t="shared" ca="1" si="0"/>
        <v>46076</v>
      </c>
      <c r="I55">
        <f ca="1">Таблица3[[#This Row],[Текущая дата]]-Продажи[[#This Row],[Дата регистрации клиента]]</f>
        <v>1422</v>
      </c>
      <c r="J55">
        <f ca="1">ROUND((Таблица3[[#This Row],[Текущая дата]] - Продажи[[#This Row],[Дата регистрации клиента]]) / 30, 0)</f>
        <v>47</v>
      </c>
      <c r="K55" t="e">
        <f>LEFT(C55,#REF!- 1)</f>
        <v>#REF!</v>
      </c>
    </row>
    <row r="56" spans="1:11" x14ac:dyDescent="0.3">
      <c r="A56">
        <v>332</v>
      </c>
      <c r="B56" t="s">
        <v>984</v>
      </c>
      <c r="C56" t="s">
        <v>983</v>
      </c>
      <c r="D56" t="s">
        <v>139</v>
      </c>
      <c r="E56" s="32">
        <v>44858</v>
      </c>
      <c r="F56" t="s">
        <v>131</v>
      </c>
      <c r="G56" t="str">
        <f>INDEX('коды стран'!$A$2:$A$6, MATCH(F56, 'коды стран'!$B$2:$B$6, 0))</f>
        <v>Узбекистан</v>
      </c>
      <c r="H56" s="32">
        <f t="shared" ca="1" si="0"/>
        <v>46076</v>
      </c>
      <c r="I56">
        <f ca="1">Таблица3[[#This Row],[Текущая дата]]-Продажи[[#This Row],[Дата регистрации клиента]]</f>
        <v>1387</v>
      </c>
      <c r="J56">
        <f ca="1">ROUND((Таблица3[[#This Row],[Текущая дата]] - Продажи[[#This Row],[Дата регистрации клиента]]) / 30, 0)</f>
        <v>46</v>
      </c>
      <c r="K56" t="e">
        <f>LEFT(C56,#REF!- 1)</f>
        <v>#REF!</v>
      </c>
    </row>
    <row r="57" spans="1:11" x14ac:dyDescent="0.3">
      <c r="A57">
        <v>204</v>
      </c>
      <c r="B57" t="s">
        <v>972</v>
      </c>
      <c r="C57" t="s">
        <v>971</v>
      </c>
      <c r="D57" t="s">
        <v>142</v>
      </c>
      <c r="E57" s="32">
        <v>44867</v>
      </c>
      <c r="F57" t="s">
        <v>135</v>
      </c>
      <c r="G57" t="str">
        <f>INDEX('коды стран'!$A$2:$A$6, MATCH(F57, 'коды стран'!$B$2:$B$6, 0))</f>
        <v>Россия</v>
      </c>
      <c r="H57" s="32">
        <f t="shared" ca="1" si="0"/>
        <v>46076</v>
      </c>
      <c r="I57">
        <f ca="1">Таблица3[[#This Row],[Текущая дата]]-Продажи[[#This Row],[Дата регистрации клиента]]</f>
        <v>1281</v>
      </c>
      <c r="J57">
        <f ca="1">ROUND((Таблица3[[#This Row],[Текущая дата]] - Продажи[[#This Row],[Дата регистрации клиента]]) / 30, 0)</f>
        <v>43</v>
      </c>
      <c r="K57" t="e">
        <f>LEFT(C57,#REF!- 1)</f>
        <v>#REF!</v>
      </c>
    </row>
    <row r="58" spans="1:11" x14ac:dyDescent="0.3">
      <c r="A58">
        <v>408</v>
      </c>
      <c r="B58" t="s">
        <v>946</v>
      </c>
      <c r="C58" t="s">
        <v>945</v>
      </c>
      <c r="D58" t="s">
        <v>139</v>
      </c>
      <c r="E58" s="32">
        <v>44857</v>
      </c>
      <c r="F58" t="s">
        <v>135</v>
      </c>
      <c r="G58" t="str">
        <f>INDEX('коды стран'!$A$2:$A$6, MATCH(F58, 'коды стран'!$B$2:$B$6, 0))</f>
        <v>Россия</v>
      </c>
      <c r="H58" s="32">
        <f t="shared" ca="1" si="0"/>
        <v>46076</v>
      </c>
      <c r="I58">
        <f ca="1">Таблица3[[#This Row],[Текущая дата]]-Продажи[[#This Row],[Дата регистрации клиента]]</f>
        <v>1382</v>
      </c>
      <c r="J58">
        <f ca="1">ROUND((Таблица3[[#This Row],[Текущая дата]] - Продажи[[#This Row],[Дата регистрации клиента]]) / 30, 0)</f>
        <v>46</v>
      </c>
      <c r="K58" t="e">
        <f>LEFT(C58,#REF!- 1)</f>
        <v>#REF!</v>
      </c>
    </row>
    <row r="59" spans="1:11" x14ac:dyDescent="0.3">
      <c r="A59">
        <v>385</v>
      </c>
      <c r="B59" t="s">
        <v>912</v>
      </c>
      <c r="C59" t="s">
        <v>911</v>
      </c>
      <c r="D59" t="s">
        <v>139</v>
      </c>
      <c r="E59" s="32">
        <v>44753</v>
      </c>
      <c r="F59" t="s">
        <v>127</v>
      </c>
      <c r="G59" t="str">
        <f>INDEX('коды стран'!$A$2:$A$6, MATCH(F59, 'коды стран'!$B$2:$B$6, 0))</f>
        <v>Украина</v>
      </c>
      <c r="H59" s="32">
        <f t="shared" ca="1" si="0"/>
        <v>46076</v>
      </c>
      <c r="I59">
        <f ca="1">Таблица3[[#This Row],[Текущая дата]]-Продажи[[#This Row],[Дата регистрации клиента]]</f>
        <v>1226</v>
      </c>
      <c r="J59">
        <f ca="1">ROUND((Таблица3[[#This Row],[Текущая дата]] - Продажи[[#This Row],[Дата регистрации клиента]]) / 30, 0)</f>
        <v>41</v>
      </c>
      <c r="K59" t="e">
        <f>LEFT(C59,#REF!- 1)</f>
        <v>#REF!</v>
      </c>
    </row>
    <row r="60" spans="1:11" x14ac:dyDescent="0.3">
      <c r="A60">
        <v>190</v>
      </c>
      <c r="B60" t="s">
        <v>904</v>
      </c>
      <c r="C60" t="s">
        <v>903</v>
      </c>
      <c r="D60" t="s">
        <v>139</v>
      </c>
      <c r="E60" s="32">
        <v>44689</v>
      </c>
      <c r="F60" t="s">
        <v>133</v>
      </c>
      <c r="G60" t="str">
        <f>INDEX('коды стран'!$A$2:$A$6, MATCH(F60, 'коды стран'!$B$2:$B$6, 0))</f>
        <v>Беларусь</v>
      </c>
      <c r="H60" s="32">
        <f t="shared" ca="1" si="0"/>
        <v>46076</v>
      </c>
      <c r="I60">
        <f ca="1">Таблица3[[#This Row],[Текущая дата]]-Продажи[[#This Row],[Дата регистрации клиента]]</f>
        <v>1393</v>
      </c>
      <c r="J60">
        <f ca="1">ROUND((Таблица3[[#This Row],[Текущая дата]] - Продажи[[#This Row],[Дата регистрации клиента]]) / 30, 0)</f>
        <v>46</v>
      </c>
      <c r="K60" t="e">
        <f>LEFT(C60,#REF!- 1)</f>
        <v>#REF!</v>
      </c>
    </row>
    <row r="61" spans="1:11" x14ac:dyDescent="0.3">
      <c r="A61">
        <v>150</v>
      </c>
      <c r="B61" t="s">
        <v>894</v>
      </c>
      <c r="C61" t="s">
        <v>893</v>
      </c>
      <c r="D61" t="s">
        <v>139</v>
      </c>
      <c r="E61" s="32">
        <v>44622</v>
      </c>
      <c r="F61" t="s">
        <v>131</v>
      </c>
      <c r="G61" t="str">
        <f>INDEX('коды стран'!$A$2:$A$6, MATCH(F61, 'коды стран'!$B$2:$B$6, 0))</f>
        <v>Узбекистан</v>
      </c>
      <c r="H61" s="32">
        <f t="shared" ca="1" si="0"/>
        <v>46076</v>
      </c>
      <c r="I61">
        <f ca="1">Таблица3[[#This Row],[Текущая дата]]-Продажи[[#This Row],[Дата регистрации клиента]]</f>
        <v>1249</v>
      </c>
      <c r="J61">
        <f ca="1">ROUND((Таблица3[[#This Row],[Текущая дата]] - Продажи[[#This Row],[Дата регистрации клиента]]) / 30, 0)</f>
        <v>42</v>
      </c>
      <c r="K61" t="e">
        <f>LEFT(C61,#REF!- 1)</f>
        <v>#REF!</v>
      </c>
    </row>
    <row r="62" spans="1:11" x14ac:dyDescent="0.3">
      <c r="A62">
        <v>68</v>
      </c>
      <c r="B62" t="s">
        <v>884</v>
      </c>
      <c r="C62" t="s">
        <v>883</v>
      </c>
      <c r="D62" t="s">
        <v>142</v>
      </c>
      <c r="E62" s="32">
        <v>44882</v>
      </c>
      <c r="F62" t="s">
        <v>131</v>
      </c>
      <c r="G62" t="str">
        <f>INDEX('коды стран'!$A$2:$A$6, MATCH(F62, 'коды стран'!$B$2:$B$6, 0))</f>
        <v>Узбекистан</v>
      </c>
      <c r="H62" s="32">
        <f t="shared" ca="1" si="0"/>
        <v>46076</v>
      </c>
      <c r="I62">
        <f ca="1">Таблица3[[#This Row],[Текущая дата]]-Продажи[[#This Row],[Дата регистрации клиента]]</f>
        <v>1454</v>
      </c>
      <c r="J62">
        <f ca="1">ROUND((Таблица3[[#This Row],[Текущая дата]] - Продажи[[#This Row],[Дата регистрации клиента]]) / 30, 0)</f>
        <v>48</v>
      </c>
      <c r="K62" t="e">
        <f>LEFT(C62,#REF!- 1)</f>
        <v>#REF!</v>
      </c>
    </row>
    <row r="63" spans="1:11" x14ac:dyDescent="0.3">
      <c r="A63">
        <v>330</v>
      </c>
      <c r="B63" t="s">
        <v>848</v>
      </c>
      <c r="C63" t="s">
        <v>847</v>
      </c>
      <c r="D63" t="s">
        <v>139</v>
      </c>
      <c r="E63" s="32">
        <v>44815</v>
      </c>
      <c r="F63" t="s">
        <v>131</v>
      </c>
      <c r="G63" t="str">
        <f>INDEX('коды стран'!$A$2:$A$6, MATCH(F63, 'коды стран'!$B$2:$B$6, 0))</f>
        <v>Узбекистан</v>
      </c>
      <c r="H63" s="32">
        <f t="shared" ca="1" si="0"/>
        <v>46076</v>
      </c>
      <c r="I63">
        <f ca="1">Таблица3[[#This Row],[Текущая дата]]-Продажи[[#This Row],[Дата регистрации клиента]]</f>
        <v>1301</v>
      </c>
      <c r="J63">
        <f ca="1">ROUND((Таблица3[[#This Row],[Текущая дата]] - Продажи[[#This Row],[Дата регистрации клиента]]) / 30, 0)</f>
        <v>43</v>
      </c>
      <c r="K63" t="e">
        <f>LEFT(C63,#REF!- 1)</f>
        <v>#REF!</v>
      </c>
    </row>
    <row r="64" spans="1:11" x14ac:dyDescent="0.3">
      <c r="A64">
        <v>452</v>
      </c>
      <c r="B64" t="s">
        <v>838</v>
      </c>
      <c r="C64" t="s">
        <v>837</v>
      </c>
      <c r="D64" t="s">
        <v>142</v>
      </c>
      <c r="E64" s="32">
        <v>44769</v>
      </c>
      <c r="F64" t="s">
        <v>135</v>
      </c>
      <c r="G64" t="str">
        <f>INDEX('коды стран'!$A$2:$A$6, MATCH(F64, 'коды стран'!$B$2:$B$6, 0))</f>
        <v>Россия</v>
      </c>
      <c r="H64" s="32">
        <f t="shared" ca="1" si="0"/>
        <v>46076</v>
      </c>
      <c r="I64">
        <f ca="1">Таблица3[[#This Row],[Текущая дата]]-Продажи[[#This Row],[Дата регистрации клиента]]</f>
        <v>1232</v>
      </c>
      <c r="J64">
        <f ca="1">ROUND((Таблица3[[#This Row],[Текущая дата]] - Продажи[[#This Row],[Дата регистрации клиента]]) / 30, 0)</f>
        <v>41</v>
      </c>
      <c r="K64" t="e">
        <f>LEFT(C64,#REF!- 1)</f>
        <v>#REF!</v>
      </c>
    </row>
    <row r="65" spans="1:11" x14ac:dyDescent="0.3">
      <c r="A65">
        <v>281</v>
      </c>
      <c r="B65" t="s">
        <v>788</v>
      </c>
      <c r="C65" t="s">
        <v>787</v>
      </c>
      <c r="D65" t="s">
        <v>139</v>
      </c>
      <c r="E65" s="32">
        <v>44711</v>
      </c>
      <c r="F65" t="s">
        <v>131</v>
      </c>
      <c r="G65" t="str">
        <f>INDEX('коды стран'!$A$2:$A$6, MATCH(F65, 'коды стран'!$B$2:$B$6, 0))</f>
        <v>Узбекистан</v>
      </c>
      <c r="H65" s="32">
        <f t="shared" ca="1" si="0"/>
        <v>46076</v>
      </c>
      <c r="I65">
        <f ca="1">Таблица3[[#This Row],[Текущая дата]]-Продажи[[#This Row],[Дата регистрации клиента]]</f>
        <v>1508</v>
      </c>
      <c r="J65">
        <f ca="1">ROUND((Таблица3[[#This Row],[Текущая дата]] - Продажи[[#This Row],[Дата регистрации клиента]]) / 30, 0)</f>
        <v>50</v>
      </c>
      <c r="K65" t="e">
        <f>LEFT(C65,#REF!- 1)</f>
        <v>#REF!</v>
      </c>
    </row>
    <row r="66" spans="1:11" x14ac:dyDescent="0.3">
      <c r="A66">
        <v>276</v>
      </c>
      <c r="B66" t="s">
        <v>776</v>
      </c>
      <c r="C66" t="s">
        <v>775</v>
      </c>
      <c r="D66" t="s">
        <v>139</v>
      </c>
      <c r="E66" s="32">
        <v>44632</v>
      </c>
      <c r="F66" t="s">
        <v>129</v>
      </c>
      <c r="G66" t="str">
        <f>INDEX('коды стран'!$A$2:$A$6, MATCH(F66, 'коды стран'!$B$2:$B$6, 0))</f>
        <v>Таджикистан</v>
      </c>
      <c r="H66" s="32">
        <f t="shared" ref="H66:H129" ca="1" si="1">TODAY()</f>
        <v>46076</v>
      </c>
      <c r="I66">
        <f ca="1">Таблица3[[#This Row],[Текущая дата]]-Продажи[[#This Row],[Дата регистрации клиента]]</f>
        <v>1366</v>
      </c>
      <c r="J66">
        <f ca="1">ROUND((Таблица3[[#This Row],[Текущая дата]] - Продажи[[#This Row],[Дата регистрации клиента]]) / 30, 0)</f>
        <v>46</v>
      </c>
      <c r="K66" t="e">
        <f>LEFT(C66,#REF!- 1)</f>
        <v>#REF!</v>
      </c>
    </row>
    <row r="67" spans="1:11" x14ac:dyDescent="0.3">
      <c r="A67">
        <v>250</v>
      </c>
      <c r="B67" t="s">
        <v>736</v>
      </c>
      <c r="C67" t="s">
        <v>735</v>
      </c>
      <c r="D67" t="s">
        <v>142</v>
      </c>
      <c r="E67" s="32">
        <v>44856</v>
      </c>
      <c r="F67" t="s">
        <v>135</v>
      </c>
      <c r="G67" t="str">
        <f>INDEX('коды стран'!$A$2:$A$6, MATCH(F67, 'коды стран'!$B$2:$B$6, 0))</f>
        <v>Россия</v>
      </c>
      <c r="H67" s="32">
        <f t="shared" ca="1" si="1"/>
        <v>46076</v>
      </c>
      <c r="I67">
        <f ca="1">Таблица3[[#This Row],[Текущая дата]]-Продажи[[#This Row],[Дата регистрации клиента]]</f>
        <v>1194</v>
      </c>
      <c r="J67">
        <f ca="1">ROUND((Таблица3[[#This Row],[Текущая дата]] - Продажи[[#This Row],[Дата регистрации клиента]]) / 30, 0)</f>
        <v>40</v>
      </c>
      <c r="K67" t="e">
        <f>LEFT(C67,#REF!- 1)</f>
        <v>#REF!</v>
      </c>
    </row>
    <row r="68" spans="1:11" x14ac:dyDescent="0.3">
      <c r="A68">
        <v>32</v>
      </c>
      <c r="B68" t="s">
        <v>730</v>
      </c>
      <c r="C68" t="s">
        <v>729</v>
      </c>
      <c r="D68" t="s">
        <v>142</v>
      </c>
      <c r="E68" s="32">
        <v>44922</v>
      </c>
      <c r="F68" t="s">
        <v>131</v>
      </c>
      <c r="G68" t="str">
        <f>INDEX('коды стран'!$A$2:$A$6, MATCH(F68, 'коды стран'!$B$2:$B$6, 0))</f>
        <v>Узбекистан</v>
      </c>
      <c r="H68" s="32">
        <f t="shared" ca="1" si="1"/>
        <v>46076</v>
      </c>
      <c r="I68">
        <f ca="1">Таблица3[[#This Row],[Текущая дата]]-Продажи[[#This Row],[Дата регистрации клиента]]</f>
        <v>1440</v>
      </c>
      <c r="J68">
        <f ca="1">ROUND((Таблица3[[#This Row],[Текущая дата]] - Продажи[[#This Row],[Дата регистрации клиента]]) / 30, 0)</f>
        <v>48</v>
      </c>
      <c r="K68" t="e">
        <f>LEFT(C68,#REF!- 1)</f>
        <v>#REF!</v>
      </c>
    </row>
    <row r="69" spans="1:11" x14ac:dyDescent="0.3">
      <c r="A69">
        <v>420</v>
      </c>
      <c r="B69" t="s">
        <v>726</v>
      </c>
      <c r="C69" t="s">
        <v>725</v>
      </c>
      <c r="D69" t="s">
        <v>139</v>
      </c>
      <c r="E69" s="32">
        <v>44698</v>
      </c>
      <c r="F69" t="s">
        <v>127</v>
      </c>
      <c r="G69" t="str">
        <f>INDEX('коды стран'!$A$2:$A$6, MATCH(F69, 'коды стран'!$B$2:$B$6, 0))</f>
        <v>Украина</v>
      </c>
      <c r="H69" s="32">
        <f t="shared" ca="1" si="1"/>
        <v>46076</v>
      </c>
      <c r="I69">
        <f ca="1">Таблица3[[#This Row],[Текущая дата]]-Продажи[[#This Row],[Дата регистрации клиента]]</f>
        <v>1415</v>
      </c>
      <c r="J69">
        <f ca="1">ROUND((Таблица3[[#This Row],[Текущая дата]] - Продажи[[#This Row],[Дата регистрации клиента]]) / 30, 0)</f>
        <v>47</v>
      </c>
      <c r="K69" t="e">
        <f>LEFT(C69,#REF!- 1)</f>
        <v>#REF!</v>
      </c>
    </row>
    <row r="70" spans="1:11" x14ac:dyDescent="0.3">
      <c r="A70">
        <v>159</v>
      </c>
      <c r="B70" t="s">
        <v>696</v>
      </c>
      <c r="C70" t="s">
        <v>695</v>
      </c>
      <c r="D70" t="s">
        <v>139</v>
      </c>
      <c r="E70" s="32">
        <v>44686</v>
      </c>
      <c r="F70" t="s">
        <v>131</v>
      </c>
      <c r="G70" t="str">
        <f>INDEX('коды стран'!$A$2:$A$6, MATCH(F70, 'коды стран'!$B$2:$B$6, 0))</f>
        <v>Узбекистан</v>
      </c>
      <c r="H70" s="32">
        <f t="shared" ca="1" si="1"/>
        <v>46076</v>
      </c>
      <c r="I70">
        <f ca="1">Таблица3[[#This Row],[Текущая дата]]-Продажи[[#This Row],[Дата регистрации клиента]]</f>
        <v>1244</v>
      </c>
      <c r="J70">
        <f ca="1">ROUND((Таблица3[[#This Row],[Текущая дата]] - Продажи[[#This Row],[Дата регистрации клиента]]) / 30, 0)</f>
        <v>41</v>
      </c>
      <c r="K70" t="e">
        <f>LEFT(C70,#REF!- 1)</f>
        <v>#REF!</v>
      </c>
    </row>
    <row r="71" spans="1:11" x14ac:dyDescent="0.3">
      <c r="A71">
        <v>275</v>
      </c>
      <c r="B71" t="s">
        <v>648</v>
      </c>
      <c r="C71" t="s">
        <v>647</v>
      </c>
      <c r="D71" t="s">
        <v>139</v>
      </c>
      <c r="E71" s="32">
        <v>44651</v>
      </c>
      <c r="F71" t="s">
        <v>129</v>
      </c>
      <c r="G71" t="str">
        <f>INDEX('коды стран'!$A$2:$A$6, MATCH(F71, 'коды стран'!$B$2:$B$6, 0))</f>
        <v>Таджикистан</v>
      </c>
      <c r="H71" s="32">
        <f t="shared" ca="1" si="1"/>
        <v>46076</v>
      </c>
      <c r="I71">
        <f ca="1">Таблица3[[#This Row],[Текущая дата]]-Продажи[[#This Row],[Дата регистрации клиента]]</f>
        <v>1293</v>
      </c>
      <c r="J71">
        <f ca="1">ROUND((Таблица3[[#This Row],[Текущая дата]] - Продажи[[#This Row],[Дата регистрации клиента]]) / 30, 0)</f>
        <v>43</v>
      </c>
      <c r="K71" t="e">
        <f>LEFT(C71,#REF!- 1)</f>
        <v>#REF!</v>
      </c>
    </row>
    <row r="72" spans="1:11" x14ac:dyDescent="0.3">
      <c r="A72">
        <v>312</v>
      </c>
      <c r="B72" t="s">
        <v>634</v>
      </c>
      <c r="C72" t="s">
        <v>633</v>
      </c>
      <c r="D72" t="s">
        <v>142</v>
      </c>
      <c r="E72" s="32">
        <v>44886</v>
      </c>
      <c r="F72" t="s">
        <v>135</v>
      </c>
      <c r="G72" t="str">
        <f>INDEX('коды стран'!$A$2:$A$6, MATCH(F72, 'коды стран'!$B$2:$B$6, 0))</f>
        <v>Россия</v>
      </c>
      <c r="H72" s="32">
        <f t="shared" ca="1" si="1"/>
        <v>46076</v>
      </c>
      <c r="I72">
        <f ca="1">Таблица3[[#This Row],[Текущая дата]]-Продажи[[#This Row],[Дата регистрации клиента]]</f>
        <v>1366</v>
      </c>
      <c r="J72">
        <f ca="1">ROUND((Таблица3[[#This Row],[Текущая дата]] - Продажи[[#This Row],[Дата регистрации клиента]]) / 30, 0)</f>
        <v>46</v>
      </c>
      <c r="K72" t="e">
        <f>LEFT(C72,#REF!- 1)</f>
        <v>#REF!</v>
      </c>
    </row>
    <row r="73" spans="1:11" x14ac:dyDescent="0.3">
      <c r="A73">
        <v>455</v>
      </c>
      <c r="B73" t="s">
        <v>596</v>
      </c>
      <c r="C73" t="s">
        <v>595</v>
      </c>
      <c r="D73" t="s">
        <v>142</v>
      </c>
      <c r="E73" s="32">
        <v>44820</v>
      </c>
      <c r="F73" t="s">
        <v>127</v>
      </c>
      <c r="G73" t="str">
        <f>INDEX('коды стран'!$A$2:$A$6, MATCH(F73, 'коды стран'!$B$2:$B$6, 0))</f>
        <v>Украина</v>
      </c>
      <c r="H73" s="32">
        <f t="shared" ca="1" si="1"/>
        <v>46076</v>
      </c>
      <c r="I73">
        <f ca="1">Таблица3[[#This Row],[Текущая дата]]-Продажи[[#This Row],[Дата регистрации клиента]]</f>
        <v>1431</v>
      </c>
      <c r="J73">
        <f ca="1">ROUND((Таблица3[[#This Row],[Текущая дата]] - Продажи[[#This Row],[Дата регистрации клиента]]) / 30, 0)</f>
        <v>48</v>
      </c>
      <c r="K73" t="e">
        <f>LEFT(C73,#REF!- 1)</f>
        <v>#REF!</v>
      </c>
    </row>
    <row r="74" spans="1:11" x14ac:dyDescent="0.3">
      <c r="A74">
        <v>191</v>
      </c>
      <c r="B74" t="s">
        <v>552</v>
      </c>
      <c r="C74" t="s">
        <v>551</v>
      </c>
      <c r="D74" t="s">
        <v>142</v>
      </c>
      <c r="E74" s="32">
        <v>44866</v>
      </c>
      <c r="F74" t="s">
        <v>127</v>
      </c>
      <c r="G74" t="str">
        <f>INDEX('коды стран'!$A$2:$A$6, MATCH(F74, 'коды стран'!$B$2:$B$6, 0))</f>
        <v>Украина</v>
      </c>
      <c r="H74" s="32">
        <f t="shared" ca="1" si="1"/>
        <v>46076</v>
      </c>
      <c r="I74">
        <f ca="1">Таблица3[[#This Row],[Текущая дата]]-Продажи[[#This Row],[Дата регистрации клиента]]</f>
        <v>1184</v>
      </c>
      <c r="J74">
        <f ca="1">ROUND((Таблица3[[#This Row],[Текущая дата]] - Продажи[[#This Row],[Дата регистрации клиента]]) / 30, 0)</f>
        <v>39</v>
      </c>
      <c r="K74" t="e">
        <f>LEFT(C74,#REF!- 1)</f>
        <v>#REF!</v>
      </c>
    </row>
    <row r="75" spans="1:11" x14ac:dyDescent="0.3">
      <c r="A75">
        <v>104</v>
      </c>
      <c r="B75" t="s">
        <v>532</v>
      </c>
      <c r="C75" t="s">
        <v>531</v>
      </c>
      <c r="D75" t="s">
        <v>139</v>
      </c>
      <c r="E75" s="32">
        <v>44772</v>
      </c>
      <c r="F75" t="s">
        <v>131</v>
      </c>
      <c r="G75" t="str">
        <f>INDEX('коды стран'!$A$2:$A$6, MATCH(F75, 'коды стран'!$B$2:$B$6, 0))</f>
        <v>Узбекистан</v>
      </c>
      <c r="H75" s="32">
        <f t="shared" ca="1" si="1"/>
        <v>46076</v>
      </c>
      <c r="I75">
        <f ca="1">Таблица3[[#This Row],[Текущая дата]]-Продажи[[#This Row],[Дата регистрации клиента]]</f>
        <v>1306</v>
      </c>
      <c r="J75">
        <f ca="1">ROUND((Таблица3[[#This Row],[Текущая дата]] - Продажи[[#This Row],[Дата регистрации клиента]]) / 30, 0)</f>
        <v>44</v>
      </c>
      <c r="K75" t="e">
        <f>LEFT(C75,#REF!- 1)</f>
        <v>#REF!</v>
      </c>
    </row>
    <row r="76" spans="1:11" x14ac:dyDescent="0.3">
      <c r="A76">
        <v>76</v>
      </c>
      <c r="B76" t="s">
        <v>516</v>
      </c>
      <c r="C76" t="s">
        <v>515</v>
      </c>
      <c r="D76" t="s">
        <v>142</v>
      </c>
      <c r="E76" s="32">
        <v>44575</v>
      </c>
      <c r="F76" t="s">
        <v>133</v>
      </c>
      <c r="G76" t="str">
        <f>INDEX('коды стран'!$A$2:$A$6, MATCH(F76, 'коды стран'!$B$2:$B$6, 0))</f>
        <v>Беларусь</v>
      </c>
      <c r="H76" s="32">
        <f t="shared" ca="1" si="1"/>
        <v>46076</v>
      </c>
      <c r="I76">
        <f ca="1">Таблица3[[#This Row],[Текущая дата]]-Продажи[[#This Row],[Дата регистрации клиента]]</f>
        <v>1308</v>
      </c>
      <c r="J76">
        <f ca="1">ROUND((Таблица3[[#This Row],[Текущая дата]] - Продажи[[#This Row],[Дата регистрации клиента]]) / 30, 0)</f>
        <v>44</v>
      </c>
      <c r="K76" t="e">
        <f>LEFT(C76,#REF!- 1)</f>
        <v>#REF!</v>
      </c>
    </row>
    <row r="77" spans="1:11" x14ac:dyDescent="0.3">
      <c r="A77">
        <v>38</v>
      </c>
      <c r="B77" t="s">
        <v>494</v>
      </c>
      <c r="C77" t="s">
        <v>493</v>
      </c>
      <c r="D77" t="s">
        <v>139</v>
      </c>
      <c r="E77" s="32">
        <v>44819</v>
      </c>
      <c r="F77" t="s">
        <v>129</v>
      </c>
      <c r="G77" t="str">
        <f>INDEX('коды стран'!$A$2:$A$6, MATCH(F77, 'коды стран'!$B$2:$B$6, 0))</f>
        <v>Таджикистан</v>
      </c>
      <c r="H77" s="32">
        <f t="shared" ca="1" si="1"/>
        <v>46076</v>
      </c>
      <c r="I77">
        <f ca="1">Таблица3[[#This Row],[Текущая дата]]-Продажи[[#This Row],[Дата регистрации клиента]]</f>
        <v>1494</v>
      </c>
      <c r="J77">
        <f ca="1">ROUND((Таблица3[[#This Row],[Текущая дата]] - Продажи[[#This Row],[Дата регистрации клиента]]) / 30, 0)</f>
        <v>50</v>
      </c>
      <c r="K77" t="e">
        <f>LEFT(C77,#REF!- 1)</f>
        <v>#REF!</v>
      </c>
    </row>
    <row r="78" spans="1:11" x14ac:dyDescent="0.3">
      <c r="A78">
        <v>323</v>
      </c>
      <c r="B78" t="s">
        <v>468</v>
      </c>
      <c r="C78" t="s">
        <v>467</v>
      </c>
      <c r="D78" t="s">
        <v>142</v>
      </c>
      <c r="E78" s="32">
        <v>44821</v>
      </c>
      <c r="F78" t="s">
        <v>129</v>
      </c>
      <c r="G78" t="str">
        <f>INDEX('коды стран'!$A$2:$A$6, MATCH(F78, 'коды стран'!$B$2:$B$6, 0))</f>
        <v>Таджикистан</v>
      </c>
      <c r="H78" s="32">
        <f t="shared" ca="1" si="1"/>
        <v>46076</v>
      </c>
      <c r="I78">
        <f ca="1">Таблица3[[#This Row],[Текущая дата]]-Продажи[[#This Row],[Дата регистрации клиента]]</f>
        <v>1325</v>
      </c>
      <c r="J78">
        <f ca="1">ROUND((Таблица3[[#This Row],[Текущая дата]] - Продажи[[#This Row],[Дата регистрации клиента]]) / 30, 0)</f>
        <v>44</v>
      </c>
      <c r="K78" t="e">
        <f>LEFT(C78,#REF!- 1)</f>
        <v>#REF!</v>
      </c>
    </row>
    <row r="79" spans="1:11" x14ac:dyDescent="0.3">
      <c r="A79">
        <v>69</v>
      </c>
      <c r="B79" t="s">
        <v>456</v>
      </c>
      <c r="C79" t="s">
        <v>455</v>
      </c>
      <c r="D79" t="s">
        <v>139</v>
      </c>
      <c r="E79" s="32">
        <v>44587</v>
      </c>
      <c r="F79" t="s">
        <v>129</v>
      </c>
      <c r="G79" t="str">
        <f>INDEX('коды стран'!$A$2:$A$6, MATCH(F79, 'коды стран'!$B$2:$B$6, 0))</f>
        <v>Таджикистан</v>
      </c>
      <c r="H79" s="32">
        <f t="shared" ca="1" si="1"/>
        <v>46076</v>
      </c>
      <c r="I79">
        <f ca="1">Таблица3[[#This Row],[Текущая дата]]-Продажи[[#This Row],[Дата регистрации клиента]]</f>
        <v>1433</v>
      </c>
      <c r="J79">
        <f ca="1">ROUND((Таблица3[[#This Row],[Текущая дата]] - Продажи[[#This Row],[Дата регистрации клиента]]) / 30, 0)</f>
        <v>48</v>
      </c>
      <c r="K79" t="e">
        <f>LEFT(C79,#REF!- 1)</f>
        <v>#REF!</v>
      </c>
    </row>
    <row r="80" spans="1:11" x14ac:dyDescent="0.3">
      <c r="A80">
        <v>372</v>
      </c>
      <c r="B80" t="s">
        <v>448</v>
      </c>
      <c r="C80" t="s">
        <v>447</v>
      </c>
      <c r="D80" t="s">
        <v>139</v>
      </c>
      <c r="E80" s="32">
        <v>44772</v>
      </c>
      <c r="F80" t="s">
        <v>129</v>
      </c>
      <c r="G80" t="str">
        <f>INDEX('коды стран'!$A$2:$A$6, MATCH(F80, 'коды стран'!$B$2:$B$6, 0))</f>
        <v>Таджикистан</v>
      </c>
      <c r="H80" s="32">
        <f t="shared" ca="1" si="1"/>
        <v>46076</v>
      </c>
      <c r="I80">
        <f ca="1">Таблица3[[#This Row],[Текущая дата]]-Продажи[[#This Row],[Дата регистрации клиента]]</f>
        <v>1157</v>
      </c>
      <c r="J80">
        <f ca="1">ROUND((Таблица3[[#This Row],[Текущая дата]] - Продажи[[#This Row],[Дата регистрации клиента]]) / 30, 0)</f>
        <v>39</v>
      </c>
      <c r="K80" t="e">
        <f>LEFT(C80,#REF!- 1)</f>
        <v>#REF!</v>
      </c>
    </row>
    <row r="81" spans="1:11" x14ac:dyDescent="0.3">
      <c r="A81">
        <v>263</v>
      </c>
      <c r="B81" t="s">
        <v>438</v>
      </c>
      <c r="C81" t="s">
        <v>437</v>
      </c>
      <c r="D81" t="s">
        <v>142</v>
      </c>
      <c r="E81" s="32">
        <v>44612</v>
      </c>
      <c r="F81" t="s">
        <v>129</v>
      </c>
      <c r="G81" t="str">
        <f>INDEX('коды стран'!$A$2:$A$6, MATCH(F81, 'коды стран'!$B$2:$B$6, 0))</f>
        <v>Таджикистан</v>
      </c>
      <c r="H81" s="32">
        <f t="shared" ca="1" si="1"/>
        <v>46076</v>
      </c>
      <c r="I81">
        <f ca="1">Таблица3[[#This Row],[Текущая дата]]-Продажи[[#This Row],[Дата регистрации клиента]]</f>
        <v>1261</v>
      </c>
      <c r="J81">
        <f ca="1">ROUND((Таблица3[[#This Row],[Текущая дата]] - Продажи[[#This Row],[Дата регистрации клиента]]) / 30, 0)</f>
        <v>42</v>
      </c>
      <c r="K81" t="e">
        <f>LEFT(C81,#REF!- 1)</f>
        <v>#REF!</v>
      </c>
    </row>
    <row r="82" spans="1:11" x14ac:dyDescent="0.3">
      <c r="A82">
        <v>309</v>
      </c>
      <c r="B82" t="s">
        <v>430</v>
      </c>
      <c r="C82" t="s">
        <v>429</v>
      </c>
      <c r="D82" t="s">
        <v>139</v>
      </c>
      <c r="E82" s="32">
        <v>44711</v>
      </c>
      <c r="F82" t="s">
        <v>135</v>
      </c>
      <c r="G82" t="str">
        <f>INDEX('коды стран'!$A$2:$A$6, MATCH(F82, 'коды стран'!$B$2:$B$6, 0))</f>
        <v>Россия</v>
      </c>
      <c r="H82" s="32">
        <f t="shared" ca="1" si="1"/>
        <v>46076</v>
      </c>
      <c r="I82">
        <f ca="1">Таблица3[[#This Row],[Текущая дата]]-Продажи[[#This Row],[Дата регистрации клиента]]</f>
        <v>1218</v>
      </c>
      <c r="J82">
        <f ca="1">ROUND((Таблица3[[#This Row],[Текущая дата]] - Продажи[[#This Row],[Дата регистрации клиента]]) / 30, 0)</f>
        <v>41</v>
      </c>
      <c r="K82" t="e">
        <f>LEFT(C82,#REF!- 1)</f>
        <v>#REF!</v>
      </c>
    </row>
    <row r="83" spans="1:11" x14ac:dyDescent="0.3">
      <c r="A83">
        <v>158</v>
      </c>
      <c r="B83" t="s">
        <v>416</v>
      </c>
      <c r="C83" t="s">
        <v>415</v>
      </c>
      <c r="D83" t="s">
        <v>139</v>
      </c>
      <c r="E83" s="32">
        <v>44752</v>
      </c>
      <c r="F83" t="s">
        <v>131</v>
      </c>
      <c r="G83" t="str">
        <f>INDEX('коды стран'!$A$2:$A$6, MATCH(F83, 'коды стран'!$B$2:$B$6, 0))</f>
        <v>Узбекистан</v>
      </c>
      <c r="H83" s="32">
        <f t="shared" ca="1" si="1"/>
        <v>46076</v>
      </c>
      <c r="I83">
        <f ca="1">Таблица3[[#This Row],[Текущая дата]]-Продажи[[#This Row],[Дата регистрации клиента]]</f>
        <v>1323</v>
      </c>
      <c r="J83">
        <f ca="1">ROUND((Таблица3[[#This Row],[Текущая дата]] - Продажи[[#This Row],[Дата регистрации клиента]]) / 30, 0)</f>
        <v>44</v>
      </c>
      <c r="K83" t="e">
        <f>LEFT(C83,#REF!- 1)</f>
        <v>#REF!</v>
      </c>
    </row>
    <row r="84" spans="1:11" x14ac:dyDescent="0.3">
      <c r="A84">
        <v>182</v>
      </c>
      <c r="B84" t="s">
        <v>396</v>
      </c>
      <c r="C84" t="s">
        <v>395</v>
      </c>
      <c r="D84" t="s">
        <v>142</v>
      </c>
      <c r="E84" s="32">
        <v>44856</v>
      </c>
      <c r="F84" t="s">
        <v>131</v>
      </c>
      <c r="G84" t="str">
        <f>INDEX('коды стран'!$A$2:$A$6, MATCH(F84, 'коды стран'!$B$2:$B$6, 0))</f>
        <v>Узбекистан</v>
      </c>
      <c r="H84" s="32">
        <f t="shared" ca="1" si="1"/>
        <v>46076</v>
      </c>
      <c r="I84">
        <f ca="1">Таблица3[[#This Row],[Текущая дата]]-Продажи[[#This Row],[Дата регистрации клиента]]</f>
        <v>1468</v>
      </c>
      <c r="J84">
        <f ca="1">ROUND((Таблица3[[#This Row],[Текущая дата]] - Продажи[[#This Row],[Дата регистрации клиента]]) / 30, 0)</f>
        <v>49</v>
      </c>
      <c r="K84" t="e">
        <f>LEFT(C84,#REF!- 1)</f>
        <v>#REF!</v>
      </c>
    </row>
    <row r="85" spans="1:11" x14ac:dyDescent="0.3">
      <c r="A85">
        <v>438</v>
      </c>
      <c r="B85" t="s">
        <v>388</v>
      </c>
      <c r="C85" t="s">
        <v>387</v>
      </c>
      <c r="D85" t="s">
        <v>142</v>
      </c>
      <c r="E85" s="32">
        <v>44693</v>
      </c>
      <c r="F85" t="s">
        <v>131</v>
      </c>
      <c r="G85" t="str">
        <f>INDEX('коды стран'!$A$2:$A$6, MATCH(F85, 'коды стран'!$B$2:$B$6, 0))</f>
        <v>Узбекистан</v>
      </c>
      <c r="H85" s="32">
        <f t="shared" ca="1" si="1"/>
        <v>46076</v>
      </c>
      <c r="I85">
        <f ca="1">Таблица3[[#This Row],[Текущая дата]]-Продажи[[#This Row],[Дата регистрации клиента]]</f>
        <v>1386</v>
      </c>
      <c r="J85">
        <f ca="1">ROUND((Таблица3[[#This Row],[Текущая дата]] - Продажи[[#This Row],[Дата регистрации клиента]]) / 30, 0)</f>
        <v>46</v>
      </c>
      <c r="K85" t="e">
        <f>LEFT(C85,#REF!- 1)</f>
        <v>#REF!</v>
      </c>
    </row>
    <row r="86" spans="1:11" x14ac:dyDescent="0.3">
      <c r="A86">
        <v>125</v>
      </c>
      <c r="B86" t="s">
        <v>362</v>
      </c>
      <c r="C86" t="s">
        <v>361</v>
      </c>
      <c r="D86" t="s">
        <v>139</v>
      </c>
      <c r="E86" s="32">
        <v>44701</v>
      </c>
      <c r="F86" t="s">
        <v>135</v>
      </c>
      <c r="G86" t="str">
        <f>INDEX('коды стран'!$A$2:$A$6, MATCH(F86, 'коды стран'!$B$2:$B$6, 0))</f>
        <v>Россия</v>
      </c>
      <c r="H86" s="32">
        <f t="shared" ca="1" si="1"/>
        <v>46076</v>
      </c>
      <c r="I86">
        <f ca="1">Таблица3[[#This Row],[Текущая дата]]-Продажи[[#This Row],[Дата регистрации клиента]]</f>
        <v>1382</v>
      </c>
      <c r="J86">
        <f ca="1">ROUND((Таблица3[[#This Row],[Текущая дата]] - Продажи[[#This Row],[Дата регистрации клиента]]) / 30, 0)</f>
        <v>46</v>
      </c>
      <c r="K86" t="e">
        <f>LEFT(C86,#REF!- 1)</f>
        <v>#REF!</v>
      </c>
    </row>
    <row r="87" spans="1:11" x14ac:dyDescent="0.3">
      <c r="A87">
        <v>143</v>
      </c>
      <c r="B87" t="s">
        <v>350</v>
      </c>
      <c r="C87" t="s">
        <v>349</v>
      </c>
      <c r="D87" t="s">
        <v>139</v>
      </c>
      <c r="E87" s="32">
        <v>44601</v>
      </c>
      <c r="F87" t="s">
        <v>135</v>
      </c>
      <c r="G87" t="str">
        <f>INDEX('коды стран'!$A$2:$A$6, MATCH(F87, 'коды стран'!$B$2:$B$6, 0))</f>
        <v>Россия</v>
      </c>
      <c r="H87" s="32">
        <f t="shared" ca="1" si="1"/>
        <v>46076</v>
      </c>
      <c r="I87">
        <f ca="1">Таблица3[[#This Row],[Текущая дата]]-Продажи[[#This Row],[Дата регистрации клиента]]</f>
        <v>1213</v>
      </c>
      <c r="J87">
        <f ca="1">ROUND((Таблица3[[#This Row],[Текущая дата]] - Продажи[[#This Row],[Дата регистрации клиента]]) / 30, 0)</f>
        <v>40</v>
      </c>
      <c r="K87" t="e">
        <f>LEFT(C87,#REF!- 1)</f>
        <v>#REF!</v>
      </c>
    </row>
    <row r="88" spans="1:11" x14ac:dyDescent="0.3">
      <c r="A88">
        <v>133</v>
      </c>
      <c r="B88" t="s">
        <v>340</v>
      </c>
      <c r="C88" t="s">
        <v>339</v>
      </c>
      <c r="D88" t="s">
        <v>139</v>
      </c>
      <c r="E88" s="32">
        <v>44588</v>
      </c>
      <c r="F88" t="s">
        <v>131</v>
      </c>
      <c r="G88" t="str">
        <f>INDEX('коды стран'!$A$2:$A$6, MATCH(F88, 'коды стран'!$B$2:$B$6, 0))</f>
        <v>Узбекистан</v>
      </c>
      <c r="H88" s="32">
        <f t="shared" ca="1" si="1"/>
        <v>46076</v>
      </c>
      <c r="I88">
        <f ca="1">Таблица3[[#This Row],[Текущая дата]]-Продажи[[#This Row],[Дата регистрации клиента]]</f>
        <v>1261</v>
      </c>
      <c r="J88">
        <f ca="1">ROUND((Таблица3[[#This Row],[Текущая дата]] - Продажи[[#This Row],[Дата регистрации клиента]]) / 30, 0)</f>
        <v>42</v>
      </c>
      <c r="K88" t="e">
        <f>LEFT(C88,#REF!- 1)</f>
        <v>#REF!</v>
      </c>
    </row>
    <row r="89" spans="1:11" x14ac:dyDescent="0.3">
      <c r="A89">
        <v>245</v>
      </c>
      <c r="B89" t="s">
        <v>318</v>
      </c>
      <c r="C89" t="s">
        <v>317</v>
      </c>
      <c r="D89" t="s">
        <v>139</v>
      </c>
      <c r="E89" s="32">
        <v>44695</v>
      </c>
      <c r="F89" t="s">
        <v>131</v>
      </c>
      <c r="G89" t="str">
        <f>INDEX('коды стран'!$A$2:$A$6, MATCH(F89, 'коды стран'!$B$2:$B$6, 0))</f>
        <v>Узбекистан</v>
      </c>
      <c r="H89" s="32">
        <f t="shared" ca="1" si="1"/>
        <v>46076</v>
      </c>
      <c r="I89">
        <f ca="1">Таблица3[[#This Row],[Текущая дата]]-Продажи[[#This Row],[Дата регистрации клиента]]</f>
        <v>1513</v>
      </c>
      <c r="J89">
        <f ca="1">ROUND((Таблица3[[#This Row],[Текущая дата]] - Продажи[[#This Row],[Дата регистрации клиента]]) / 30, 0)</f>
        <v>50</v>
      </c>
      <c r="K89" t="e">
        <f>LEFT(C89,#REF!- 1)</f>
        <v>#REF!</v>
      </c>
    </row>
    <row r="90" spans="1:11" x14ac:dyDescent="0.3">
      <c r="A90">
        <v>122</v>
      </c>
      <c r="B90" t="s">
        <v>314</v>
      </c>
      <c r="C90" t="s">
        <v>313</v>
      </c>
      <c r="D90" t="s">
        <v>139</v>
      </c>
      <c r="E90" s="32">
        <v>44683</v>
      </c>
      <c r="F90" t="s">
        <v>133</v>
      </c>
      <c r="G90" t="str">
        <f>INDEX('коды стран'!$A$2:$A$6, MATCH(F90, 'коды стран'!$B$2:$B$6, 0))</f>
        <v>Беларусь</v>
      </c>
      <c r="H90" s="32">
        <f t="shared" ca="1" si="1"/>
        <v>46076</v>
      </c>
      <c r="I90">
        <f ca="1">Таблица3[[#This Row],[Текущая дата]]-Продажи[[#This Row],[Дата регистрации клиента]]</f>
        <v>1449</v>
      </c>
      <c r="J90">
        <f ca="1">ROUND((Таблица3[[#This Row],[Текущая дата]] - Продажи[[#This Row],[Дата регистрации клиента]]) / 30, 0)</f>
        <v>48</v>
      </c>
      <c r="K90" t="e">
        <f>LEFT(C90,#REF!- 1)</f>
        <v>#REF!</v>
      </c>
    </row>
    <row r="91" spans="1:11" x14ac:dyDescent="0.3">
      <c r="A91">
        <v>442</v>
      </c>
      <c r="B91" t="s">
        <v>250</v>
      </c>
      <c r="C91" t="s">
        <v>249</v>
      </c>
      <c r="D91" t="s">
        <v>139</v>
      </c>
      <c r="E91" s="32">
        <v>44746</v>
      </c>
      <c r="F91" t="s">
        <v>129</v>
      </c>
      <c r="G91" t="str">
        <f>INDEX('коды стран'!$A$2:$A$6, MATCH(F91, 'коды стран'!$B$2:$B$6, 0))</f>
        <v>Таджикистан</v>
      </c>
      <c r="H91" s="32">
        <f t="shared" ca="1" si="1"/>
        <v>46076</v>
      </c>
      <c r="I91">
        <f ca="1">Таблица3[[#This Row],[Текущая дата]]-Продажи[[#This Row],[Дата регистрации клиента]]</f>
        <v>1235</v>
      </c>
      <c r="J91">
        <f ca="1">ROUND((Таблица3[[#This Row],[Текущая дата]] - Продажи[[#This Row],[Дата регистрации клиента]]) / 30, 0)</f>
        <v>41</v>
      </c>
      <c r="K91" t="e">
        <f>LEFT(C91,#REF!- 1)</f>
        <v>#REF!</v>
      </c>
    </row>
    <row r="92" spans="1:11" x14ac:dyDescent="0.3">
      <c r="A92">
        <v>63</v>
      </c>
      <c r="B92" t="s">
        <v>234</v>
      </c>
      <c r="C92" t="s">
        <v>233</v>
      </c>
      <c r="D92" t="s">
        <v>142</v>
      </c>
      <c r="E92" s="32">
        <v>44684</v>
      </c>
      <c r="F92" t="s">
        <v>127</v>
      </c>
      <c r="G92" t="str">
        <f>INDEX('коды стран'!$A$2:$A$6, MATCH(F92, 'коды стран'!$B$2:$B$6, 0))</f>
        <v>Украина</v>
      </c>
      <c r="H92" s="32">
        <f t="shared" ca="1" si="1"/>
        <v>46076</v>
      </c>
      <c r="I92">
        <f ca="1">Таблица3[[#This Row],[Текущая дата]]-Продажи[[#This Row],[Дата регистрации клиента]]</f>
        <v>1235</v>
      </c>
      <c r="J92">
        <f ca="1">ROUND((Таблица3[[#This Row],[Текущая дата]] - Продажи[[#This Row],[Дата регистрации клиента]]) / 30, 0)</f>
        <v>41</v>
      </c>
      <c r="K92" t="e">
        <f>LEFT(C92,#REF!- 1)</f>
        <v>#REF!</v>
      </c>
    </row>
    <row r="93" spans="1:11" x14ac:dyDescent="0.3">
      <c r="A93">
        <v>343</v>
      </c>
      <c r="B93" t="s">
        <v>202</v>
      </c>
      <c r="C93" t="s">
        <v>201</v>
      </c>
      <c r="D93" t="s">
        <v>139</v>
      </c>
      <c r="E93" s="32">
        <v>44874</v>
      </c>
      <c r="F93" t="s">
        <v>127</v>
      </c>
      <c r="G93" t="str">
        <f>INDEX('коды стран'!$A$2:$A$6, MATCH(F93, 'коды стран'!$B$2:$B$6, 0))</f>
        <v>Украина</v>
      </c>
      <c r="H93" s="32">
        <f t="shared" ca="1" si="1"/>
        <v>46076</v>
      </c>
      <c r="I93">
        <f ca="1">Таблица3[[#This Row],[Текущая дата]]-Продажи[[#This Row],[Дата регистрации клиента]]</f>
        <v>1307</v>
      </c>
      <c r="J93">
        <f ca="1">ROUND((Таблица3[[#This Row],[Текущая дата]] - Продажи[[#This Row],[Дата регистрации клиента]]) / 30, 0)</f>
        <v>44</v>
      </c>
      <c r="K93" t="e">
        <f>LEFT(C93,#REF!- 1)</f>
        <v>#REF!</v>
      </c>
    </row>
    <row r="94" spans="1:11" x14ac:dyDescent="0.3">
      <c r="A94">
        <v>94</v>
      </c>
      <c r="B94" t="s">
        <v>144</v>
      </c>
      <c r="C94" t="s">
        <v>143</v>
      </c>
      <c r="D94" t="s">
        <v>142</v>
      </c>
      <c r="E94" s="32">
        <v>44723</v>
      </c>
      <c r="F94" t="s">
        <v>127</v>
      </c>
      <c r="G94" t="str">
        <f>INDEX('коды стран'!$A$2:$A$6, MATCH(F94, 'коды стран'!$B$2:$B$6, 0))</f>
        <v>Украина</v>
      </c>
      <c r="H94" s="32">
        <f t="shared" ca="1" si="1"/>
        <v>46076</v>
      </c>
      <c r="I94">
        <f ca="1">Таблица3[[#This Row],[Текущая дата]]-Продажи[[#This Row],[Дата регистрации клиента]]</f>
        <v>1491</v>
      </c>
      <c r="J94">
        <f ca="1">ROUND((Таблица3[[#This Row],[Текущая дата]] - Продажи[[#This Row],[Дата регистрации клиента]]) / 30, 0)</f>
        <v>50</v>
      </c>
      <c r="K94" t="e">
        <f>LEFT(C94,#REF!- 1)</f>
        <v>#REF!</v>
      </c>
    </row>
    <row r="95" spans="1:11" x14ac:dyDescent="0.3">
      <c r="A95">
        <v>12</v>
      </c>
      <c r="B95" t="s">
        <v>1004</v>
      </c>
      <c r="C95" t="s">
        <v>1003</v>
      </c>
      <c r="D95" t="s">
        <v>142</v>
      </c>
      <c r="E95" s="32">
        <v>44842</v>
      </c>
      <c r="F95" t="s">
        <v>133</v>
      </c>
      <c r="G95" t="str">
        <f>INDEX('коды стран'!$A$2:$A$6, MATCH(F95, 'коды стран'!$B$2:$B$6, 0))</f>
        <v>Беларусь</v>
      </c>
      <c r="H95" s="32">
        <f t="shared" ca="1" si="1"/>
        <v>46076</v>
      </c>
      <c r="I95">
        <f ca="1">Таблица3[[#This Row],[Текущая дата]]-Продажи[[#This Row],[Дата регистрации клиента]]</f>
        <v>1280</v>
      </c>
      <c r="J95">
        <f ca="1">ROUND((Таблица3[[#This Row],[Текущая дата]] - Продажи[[#This Row],[Дата регистрации клиента]]) / 30, 0)</f>
        <v>43</v>
      </c>
      <c r="K95" t="e">
        <f>LEFT(C95,#REF!- 1)</f>
        <v>#REF!</v>
      </c>
    </row>
    <row r="96" spans="1:11" x14ac:dyDescent="0.3">
      <c r="A96">
        <v>236</v>
      </c>
      <c r="B96" t="s">
        <v>980</v>
      </c>
      <c r="C96" t="s">
        <v>979</v>
      </c>
      <c r="D96" t="s">
        <v>142</v>
      </c>
      <c r="E96" s="32">
        <v>44820</v>
      </c>
      <c r="F96" t="s">
        <v>131</v>
      </c>
      <c r="G96" t="str">
        <f>INDEX('коды стран'!$A$2:$A$6, MATCH(F96, 'коды стран'!$B$2:$B$6, 0))</f>
        <v>Узбекистан</v>
      </c>
      <c r="H96" s="32">
        <f t="shared" ca="1" si="1"/>
        <v>46076</v>
      </c>
      <c r="I96">
        <f ca="1">Таблица3[[#This Row],[Текущая дата]]-Продажи[[#This Row],[Дата регистрации клиента]]</f>
        <v>1323</v>
      </c>
      <c r="J96">
        <f ca="1">ROUND((Таблица3[[#This Row],[Текущая дата]] - Продажи[[#This Row],[Дата регистрации клиента]]) / 30, 0)</f>
        <v>44</v>
      </c>
      <c r="K96" t="e">
        <f>LEFT(C96,#REF!- 1)</f>
        <v>#REF!</v>
      </c>
    </row>
    <row r="97" spans="1:11" x14ac:dyDescent="0.3">
      <c r="A97">
        <v>179</v>
      </c>
      <c r="B97" t="s">
        <v>940</v>
      </c>
      <c r="C97" t="s">
        <v>939</v>
      </c>
      <c r="D97" t="s">
        <v>142</v>
      </c>
      <c r="E97" s="32">
        <v>44833</v>
      </c>
      <c r="F97" t="s">
        <v>135</v>
      </c>
      <c r="G97" t="str">
        <f>INDEX('коды стран'!$A$2:$A$6, MATCH(F97, 'коды стран'!$B$2:$B$6, 0))</f>
        <v>Россия</v>
      </c>
      <c r="H97" s="32">
        <f t="shared" ca="1" si="1"/>
        <v>46076</v>
      </c>
      <c r="I97">
        <f ca="1">Таблица3[[#This Row],[Текущая дата]]-Продажи[[#This Row],[Дата регистрации клиента]]</f>
        <v>1314</v>
      </c>
      <c r="J97">
        <f ca="1">ROUND((Таблица3[[#This Row],[Текущая дата]] - Продажи[[#This Row],[Дата регистрации клиента]]) / 30, 0)</f>
        <v>44</v>
      </c>
      <c r="K97" t="e">
        <f>LEFT(C97,#REF!- 1)</f>
        <v>#REF!</v>
      </c>
    </row>
    <row r="98" spans="1:11" x14ac:dyDescent="0.3">
      <c r="A98">
        <v>270</v>
      </c>
      <c r="B98" t="s">
        <v>920</v>
      </c>
      <c r="C98" t="s">
        <v>919</v>
      </c>
      <c r="D98" t="s">
        <v>142</v>
      </c>
      <c r="E98" s="32">
        <v>44827</v>
      </c>
      <c r="F98" t="s">
        <v>129</v>
      </c>
      <c r="G98" t="str">
        <f>INDEX('коды стран'!$A$2:$A$6, MATCH(F98, 'коды стран'!$B$2:$B$6, 0))</f>
        <v>Таджикистан</v>
      </c>
      <c r="H98" s="32">
        <f t="shared" ca="1" si="1"/>
        <v>46076</v>
      </c>
      <c r="I98">
        <f ca="1">Таблица3[[#This Row],[Текущая дата]]-Продажи[[#This Row],[Дата регистрации клиента]]</f>
        <v>1180</v>
      </c>
      <c r="J98">
        <f ca="1">ROUND((Таблица3[[#This Row],[Текущая дата]] - Продажи[[#This Row],[Дата регистрации клиента]]) / 30, 0)</f>
        <v>39</v>
      </c>
      <c r="K98" t="e">
        <f>LEFT(C98,#REF!- 1)</f>
        <v>#REF!</v>
      </c>
    </row>
    <row r="99" spans="1:11" x14ac:dyDescent="0.3">
      <c r="A99">
        <v>371</v>
      </c>
      <c r="B99" t="s">
        <v>890</v>
      </c>
      <c r="C99" t="s">
        <v>889</v>
      </c>
      <c r="D99" t="s">
        <v>139</v>
      </c>
      <c r="E99" s="32">
        <v>44844</v>
      </c>
      <c r="F99" t="s">
        <v>127</v>
      </c>
      <c r="G99" t="str">
        <f>INDEX('коды стран'!$A$2:$A$6, MATCH(F99, 'коды стран'!$B$2:$B$6, 0))</f>
        <v>Украина</v>
      </c>
      <c r="H99" s="32">
        <f t="shared" ca="1" si="1"/>
        <v>46076</v>
      </c>
      <c r="I99">
        <f ca="1">Таблица3[[#This Row],[Текущая дата]]-Продажи[[#This Row],[Дата регистрации клиента]]</f>
        <v>1309</v>
      </c>
      <c r="J99">
        <f ca="1">ROUND((Таблица3[[#This Row],[Текущая дата]] - Продажи[[#This Row],[Дата регистрации клиента]]) / 30, 0)</f>
        <v>44</v>
      </c>
      <c r="K99" t="e">
        <f>LEFT(C99,#REF!- 1)</f>
        <v>#REF!</v>
      </c>
    </row>
    <row r="100" spans="1:11" x14ac:dyDescent="0.3">
      <c r="A100">
        <v>449</v>
      </c>
      <c r="B100" t="s">
        <v>872</v>
      </c>
      <c r="C100" t="s">
        <v>871</v>
      </c>
      <c r="D100" t="s">
        <v>139</v>
      </c>
      <c r="E100" s="32">
        <v>44645</v>
      </c>
      <c r="F100" t="s">
        <v>129</v>
      </c>
      <c r="G100" t="str">
        <f>INDEX('коды стран'!$A$2:$A$6, MATCH(F100, 'коды стран'!$B$2:$B$6, 0))</f>
        <v>Таджикистан</v>
      </c>
      <c r="H100" s="32">
        <f t="shared" ca="1" si="1"/>
        <v>46076</v>
      </c>
      <c r="I100">
        <f ca="1">Таблица3[[#This Row],[Текущая дата]]-Продажи[[#This Row],[Дата регистрации клиента]]</f>
        <v>1362</v>
      </c>
      <c r="J100">
        <f ca="1">ROUND((Таблица3[[#This Row],[Текущая дата]] - Продажи[[#This Row],[Дата регистрации клиента]]) / 30, 0)</f>
        <v>45</v>
      </c>
      <c r="K100" t="e">
        <f>LEFT(C100,#REF!- 1)</f>
        <v>#REF!</v>
      </c>
    </row>
    <row r="101" spans="1:11" x14ac:dyDescent="0.3">
      <c r="A101">
        <v>130</v>
      </c>
      <c r="B101" t="s">
        <v>850</v>
      </c>
      <c r="C101" t="s">
        <v>849</v>
      </c>
      <c r="D101" t="s">
        <v>139</v>
      </c>
      <c r="E101" s="32">
        <v>44863</v>
      </c>
      <c r="F101" t="s">
        <v>129</v>
      </c>
      <c r="G101" t="str">
        <f>INDEX('коды стран'!$A$2:$A$6, MATCH(F101, 'коды стран'!$B$2:$B$6, 0))</f>
        <v>Таджикистан</v>
      </c>
      <c r="H101" s="32">
        <f t="shared" ca="1" si="1"/>
        <v>46076</v>
      </c>
      <c r="I101">
        <f ca="1">Таблица3[[#This Row],[Текущая дата]]-Продажи[[#This Row],[Дата регистрации клиента]]</f>
        <v>1492</v>
      </c>
      <c r="J101">
        <f ca="1">ROUND((Таблица3[[#This Row],[Текущая дата]] - Продажи[[#This Row],[Дата регистрации клиента]]) / 30, 0)</f>
        <v>50</v>
      </c>
      <c r="K101" t="e">
        <f>LEFT(C101,#REF!- 1)</f>
        <v>#REF!</v>
      </c>
    </row>
    <row r="102" spans="1:11" x14ac:dyDescent="0.3">
      <c r="A102">
        <v>424</v>
      </c>
      <c r="B102" t="s">
        <v>836</v>
      </c>
      <c r="C102" t="s">
        <v>835</v>
      </c>
      <c r="D102" t="s">
        <v>142</v>
      </c>
      <c r="E102" s="32">
        <v>44585</v>
      </c>
      <c r="F102" t="s">
        <v>135</v>
      </c>
      <c r="G102" t="str">
        <f>INDEX('коды стран'!$A$2:$A$6, MATCH(F102, 'коды стран'!$B$2:$B$6, 0))</f>
        <v>Россия</v>
      </c>
      <c r="H102" s="32">
        <f t="shared" ca="1" si="1"/>
        <v>46076</v>
      </c>
      <c r="I102">
        <f ca="1">Таблица3[[#This Row],[Текущая дата]]-Продажи[[#This Row],[Дата регистрации клиента]]</f>
        <v>1471</v>
      </c>
      <c r="J102">
        <f ca="1">ROUND((Таблица3[[#This Row],[Текущая дата]] - Продажи[[#This Row],[Дата регистрации клиента]]) / 30, 0)</f>
        <v>49</v>
      </c>
      <c r="K102" t="e">
        <f>LEFT(C102,#REF!- 1)</f>
        <v>#REF!</v>
      </c>
    </row>
    <row r="103" spans="1:11" x14ac:dyDescent="0.3">
      <c r="A103">
        <v>313</v>
      </c>
      <c r="B103" t="s">
        <v>830</v>
      </c>
      <c r="C103" t="s">
        <v>829</v>
      </c>
      <c r="D103" t="s">
        <v>142</v>
      </c>
      <c r="E103" s="32">
        <v>44896</v>
      </c>
      <c r="F103" t="s">
        <v>131</v>
      </c>
      <c r="G103" t="str">
        <f>INDEX('коды стран'!$A$2:$A$6, MATCH(F103, 'коды стран'!$B$2:$B$6, 0))</f>
        <v>Узбекистан</v>
      </c>
      <c r="H103" s="32">
        <f t="shared" ca="1" si="1"/>
        <v>46076</v>
      </c>
      <c r="I103">
        <f ca="1">Таблица3[[#This Row],[Текущая дата]]-Продажи[[#This Row],[Дата регистрации клиента]]</f>
        <v>1272</v>
      </c>
      <c r="J103">
        <f ca="1">ROUND((Таблица3[[#This Row],[Текущая дата]] - Продажи[[#This Row],[Дата регистрации клиента]]) / 30, 0)</f>
        <v>42</v>
      </c>
      <c r="K103" t="e">
        <f>LEFT(C103,#REF!- 1)</f>
        <v>#REF!</v>
      </c>
    </row>
    <row r="104" spans="1:11" x14ac:dyDescent="0.3">
      <c r="A104">
        <v>301</v>
      </c>
      <c r="B104" t="s">
        <v>828</v>
      </c>
      <c r="C104" t="s">
        <v>827</v>
      </c>
      <c r="D104" t="s">
        <v>142</v>
      </c>
      <c r="E104" s="32">
        <v>44714</v>
      </c>
      <c r="F104" t="s">
        <v>135</v>
      </c>
      <c r="G104" t="str">
        <f>INDEX('коды стран'!$A$2:$A$6, MATCH(F104, 'коды стран'!$B$2:$B$6, 0))</f>
        <v>Россия</v>
      </c>
      <c r="H104" s="32">
        <f t="shared" ca="1" si="1"/>
        <v>46076</v>
      </c>
      <c r="I104">
        <f ca="1">Таблица3[[#This Row],[Текущая дата]]-Продажи[[#This Row],[Дата регистрации клиента]]</f>
        <v>1254</v>
      </c>
      <c r="J104">
        <f ca="1">ROUND((Таблица3[[#This Row],[Текущая дата]] - Продажи[[#This Row],[Дата регистрации клиента]]) / 30, 0)</f>
        <v>42</v>
      </c>
      <c r="K104" t="e">
        <f>LEFT(C104,#REF!- 1)</f>
        <v>#REF!</v>
      </c>
    </row>
    <row r="105" spans="1:11" x14ac:dyDescent="0.3">
      <c r="A105">
        <v>298</v>
      </c>
      <c r="B105" t="s">
        <v>804</v>
      </c>
      <c r="C105" t="s">
        <v>803</v>
      </c>
      <c r="D105" t="s">
        <v>142</v>
      </c>
      <c r="E105" s="32">
        <v>44821</v>
      </c>
      <c r="F105" t="s">
        <v>127</v>
      </c>
      <c r="G105" t="str">
        <f>INDEX('коды стран'!$A$2:$A$6, MATCH(F105, 'коды стран'!$B$2:$B$6, 0))</f>
        <v>Украина</v>
      </c>
      <c r="H105" s="32">
        <f t="shared" ca="1" si="1"/>
        <v>46076</v>
      </c>
      <c r="I105">
        <f ca="1">Таблица3[[#This Row],[Текущая дата]]-Продажи[[#This Row],[Дата регистрации клиента]]</f>
        <v>1506</v>
      </c>
      <c r="J105">
        <f ca="1">ROUND((Таблица3[[#This Row],[Текущая дата]] - Продажи[[#This Row],[Дата регистрации клиента]]) / 30, 0)</f>
        <v>50</v>
      </c>
      <c r="K105" t="e">
        <f>LEFT(C105,#REF!- 1)</f>
        <v>#REF!</v>
      </c>
    </row>
    <row r="106" spans="1:11" x14ac:dyDescent="0.3">
      <c r="A106">
        <v>16</v>
      </c>
      <c r="B106" t="s">
        <v>790</v>
      </c>
      <c r="C106" t="s">
        <v>789</v>
      </c>
      <c r="D106" t="s">
        <v>139</v>
      </c>
      <c r="E106" s="32">
        <v>44713</v>
      </c>
      <c r="F106" t="s">
        <v>127</v>
      </c>
      <c r="G106" t="str">
        <f>INDEX('коды стран'!$A$2:$A$6, MATCH(F106, 'коды стран'!$B$2:$B$6, 0))</f>
        <v>Украина</v>
      </c>
      <c r="H106" s="32">
        <f t="shared" ca="1" si="1"/>
        <v>46076</v>
      </c>
      <c r="I106">
        <f ca="1">Таблица3[[#This Row],[Текущая дата]]-Продажи[[#This Row],[Дата регистрации клиента]]</f>
        <v>1280</v>
      </c>
      <c r="J106">
        <f ca="1">ROUND((Таблица3[[#This Row],[Текущая дата]] - Продажи[[#This Row],[Дата регистрации клиента]]) / 30, 0)</f>
        <v>43</v>
      </c>
      <c r="K106" t="e">
        <f>LEFT(C106,#REF!- 1)</f>
        <v>#REF!</v>
      </c>
    </row>
    <row r="107" spans="1:11" x14ac:dyDescent="0.3">
      <c r="A107">
        <v>149</v>
      </c>
      <c r="B107" t="s">
        <v>786</v>
      </c>
      <c r="C107" t="s">
        <v>785</v>
      </c>
      <c r="D107" t="s">
        <v>142</v>
      </c>
      <c r="E107" s="32">
        <v>44882</v>
      </c>
      <c r="F107" t="s">
        <v>129</v>
      </c>
      <c r="G107" t="str">
        <f>INDEX('коды стран'!$A$2:$A$6, MATCH(F107, 'коды стран'!$B$2:$B$6, 0))</f>
        <v>Таджикистан</v>
      </c>
      <c r="H107" s="32">
        <f t="shared" ca="1" si="1"/>
        <v>46076</v>
      </c>
      <c r="I107">
        <f ca="1">Таблица3[[#This Row],[Текущая дата]]-Продажи[[#This Row],[Дата регистрации клиента]]</f>
        <v>1437</v>
      </c>
      <c r="J107">
        <f ca="1">ROUND((Таблица3[[#This Row],[Текущая дата]] - Продажи[[#This Row],[Дата регистрации клиента]]) / 30, 0)</f>
        <v>48</v>
      </c>
      <c r="K107" t="e">
        <f>LEFT(C107,#REF!- 1)</f>
        <v>#REF!</v>
      </c>
    </row>
    <row r="108" spans="1:11" x14ac:dyDescent="0.3">
      <c r="A108">
        <v>437</v>
      </c>
      <c r="B108" t="s">
        <v>764</v>
      </c>
      <c r="C108" t="s">
        <v>763</v>
      </c>
      <c r="D108" t="s">
        <v>139</v>
      </c>
      <c r="E108" s="32">
        <v>44576</v>
      </c>
      <c r="F108" t="s">
        <v>131</v>
      </c>
      <c r="G108" t="str">
        <f>INDEX('коды стран'!$A$2:$A$6, MATCH(F108, 'коды стран'!$B$2:$B$6, 0))</f>
        <v>Узбекистан</v>
      </c>
      <c r="H108" s="32">
        <f t="shared" ca="1" si="1"/>
        <v>46076</v>
      </c>
      <c r="I108">
        <f ca="1">Таблица3[[#This Row],[Текущая дата]]-Продажи[[#This Row],[Дата регистрации клиента]]</f>
        <v>1333</v>
      </c>
      <c r="J108">
        <f ca="1">ROUND((Таблица3[[#This Row],[Текущая дата]] - Продажи[[#This Row],[Дата регистрации клиента]]) / 30, 0)</f>
        <v>44</v>
      </c>
      <c r="K108" t="e">
        <f>LEFT(C108,#REF!- 1)</f>
        <v>#REF!</v>
      </c>
    </row>
    <row r="109" spans="1:11" x14ac:dyDescent="0.3">
      <c r="A109">
        <v>49</v>
      </c>
      <c r="B109" t="s">
        <v>728</v>
      </c>
      <c r="C109" t="s">
        <v>727</v>
      </c>
      <c r="D109" t="s">
        <v>142</v>
      </c>
      <c r="E109" s="32">
        <v>44672</v>
      </c>
      <c r="F109" t="s">
        <v>129</v>
      </c>
      <c r="G109" t="str">
        <f>INDEX('коды стран'!$A$2:$A$6, MATCH(F109, 'коды стран'!$B$2:$B$6, 0))</f>
        <v>Таджикистан</v>
      </c>
      <c r="H109" s="32">
        <f t="shared" ca="1" si="1"/>
        <v>46076</v>
      </c>
      <c r="I109">
        <f ca="1">Таблица3[[#This Row],[Текущая дата]]-Продажи[[#This Row],[Дата регистрации клиента]]</f>
        <v>1455</v>
      </c>
      <c r="J109">
        <f ca="1">ROUND((Таблица3[[#This Row],[Текущая дата]] - Продажи[[#This Row],[Дата регистрации клиента]]) / 30, 0)</f>
        <v>49</v>
      </c>
      <c r="K109" t="e">
        <f>LEFT(C109,#REF!- 1)</f>
        <v>#REF!</v>
      </c>
    </row>
    <row r="110" spans="1:11" x14ac:dyDescent="0.3">
      <c r="A110">
        <v>172</v>
      </c>
      <c r="B110" t="s">
        <v>716</v>
      </c>
      <c r="C110" t="s">
        <v>715</v>
      </c>
      <c r="D110" t="s">
        <v>139</v>
      </c>
      <c r="E110" s="32">
        <v>44737</v>
      </c>
      <c r="F110" t="s">
        <v>135</v>
      </c>
      <c r="G110" t="str">
        <f>INDEX('коды стран'!$A$2:$A$6, MATCH(F110, 'коды стран'!$B$2:$B$6, 0))</f>
        <v>Россия</v>
      </c>
      <c r="H110" s="32">
        <f t="shared" ca="1" si="1"/>
        <v>46076</v>
      </c>
      <c r="I110">
        <f ca="1">Таблица3[[#This Row],[Текущая дата]]-Продажи[[#This Row],[Дата регистрации клиента]]</f>
        <v>1475</v>
      </c>
      <c r="J110">
        <f ca="1">ROUND((Таблица3[[#This Row],[Текущая дата]] - Продажи[[#This Row],[Дата регистрации клиента]]) / 30, 0)</f>
        <v>49</v>
      </c>
      <c r="K110" t="e">
        <f>LEFT(C110,#REF!- 1)</f>
        <v>#REF!</v>
      </c>
    </row>
    <row r="111" spans="1:11" x14ac:dyDescent="0.3">
      <c r="A111">
        <v>361</v>
      </c>
      <c r="B111" t="s">
        <v>708</v>
      </c>
      <c r="C111" t="s">
        <v>707</v>
      </c>
      <c r="D111" t="s">
        <v>142</v>
      </c>
      <c r="E111" s="32">
        <v>44831</v>
      </c>
      <c r="F111" t="s">
        <v>131</v>
      </c>
      <c r="G111" t="str">
        <f>INDEX('коды стран'!$A$2:$A$6, MATCH(F111, 'коды стран'!$B$2:$B$6, 0))</f>
        <v>Узбекистан</v>
      </c>
      <c r="H111" s="32">
        <f t="shared" ca="1" si="1"/>
        <v>46076</v>
      </c>
      <c r="I111">
        <f ca="1">Таблица3[[#This Row],[Текущая дата]]-Продажи[[#This Row],[Дата регистрации клиента]]</f>
        <v>1256</v>
      </c>
      <c r="J111">
        <f ca="1">ROUND((Таблица3[[#This Row],[Текущая дата]] - Продажи[[#This Row],[Дата регистрации клиента]]) / 30, 0)</f>
        <v>42</v>
      </c>
      <c r="K111" t="e">
        <f>LEFT(C111,#REF!- 1)</f>
        <v>#REF!</v>
      </c>
    </row>
    <row r="112" spans="1:11" x14ac:dyDescent="0.3">
      <c r="A112">
        <v>274</v>
      </c>
      <c r="B112" t="s">
        <v>682</v>
      </c>
      <c r="C112" t="s">
        <v>681</v>
      </c>
      <c r="D112" t="s">
        <v>142</v>
      </c>
      <c r="E112" s="32">
        <v>44607</v>
      </c>
      <c r="F112" t="s">
        <v>135</v>
      </c>
      <c r="G112" t="str">
        <f>INDEX('коды стран'!$A$2:$A$6, MATCH(F112, 'коды стран'!$B$2:$B$6, 0))</f>
        <v>Россия</v>
      </c>
      <c r="H112" s="32">
        <f t="shared" ca="1" si="1"/>
        <v>46076</v>
      </c>
      <c r="I112">
        <f ca="1">Таблица3[[#This Row],[Текущая дата]]-Продажи[[#This Row],[Дата регистрации клиента]]</f>
        <v>1219</v>
      </c>
      <c r="J112">
        <f ca="1">ROUND((Таблица3[[#This Row],[Текущая дата]] - Продажи[[#This Row],[Дата регистрации клиента]]) / 30, 0)</f>
        <v>41</v>
      </c>
      <c r="K112" t="e">
        <f>LEFT(C112,#REF!- 1)</f>
        <v>#REF!</v>
      </c>
    </row>
    <row r="113" spans="1:11" x14ac:dyDescent="0.3">
      <c r="A113">
        <v>354</v>
      </c>
      <c r="B113" t="s">
        <v>672</v>
      </c>
      <c r="C113" t="s">
        <v>671</v>
      </c>
      <c r="D113" t="s">
        <v>139</v>
      </c>
      <c r="E113" s="32">
        <v>44811</v>
      </c>
      <c r="F113" t="s">
        <v>131</v>
      </c>
      <c r="G113" t="str">
        <f>INDEX('коды стран'!$A$2:$A$6, MATCH(F113, 'коды стран'!$B$2:$B$6, 0))</f>
        <v>Узбекистан</v>
      </c>
      <c r="H113" s="32">
        <f t="shared" ca="1" si="1"/>
        <v>46076</v>
      </c>
      <c r="I113">
        <f ca="1">Таблица3[[#This Row],[Текущая дата]]-Продажи[[#This Row],[Дата регистрации клиента]]</f>
        <v>1255</v>
      </c>
      <c r="J113">
        <f ca="1">ROUND((Таблица3[[#This Row],[Текущая дата]] - Продажи[[#This Row],[Дата регистрации клиента]]) / 30, 0)</f>
        <v>42</v>
      </c>
      <c r="K113" t="e">
        <f>LEFT(C113,#REF!- 1)</f>
        <v>#REF!</v>
      </c>
    </row>
    <row r="114" spans="1:11" x14ac:dyDescent="0.3">
      <c r="A114">
        <v>322</v>
      </c>
      <c r="B114" t="s">
        <v>660</v>
      </c>
      <c r="C114" t="s">
        <v>659</v>
      </c>
      <c r="D114" t="s">
        <v>142</v>
      </c>
      <c r="E114" s="32">
        <v>44886</v>
      </c>
      <c r="F114" t="s">
        <v>127</v>
      </c>
      <c r="G114" t="str">
        <f>INDEX('коды стран'!$A$2:$A$6, MATCH(F114, 'коды стран'!$B$2:$B$6, 0))</f>
        <v>Украина</v>
      </c>
      <c r="H114" s="32">
        <f t="shared" ca="1" si="1"/>
        <v>46076</v>
      </c>
      <c r="I114">
        <f ca="1">Таблица3[[#This Row],[Текущая дата]]-Продажи[[#This Row],[Дата регистрации клиента]]</f>
        <v>1477</v>
      </c>
      <c r="J114">
        <f ca="1">ROUND((Таблица3[[#This Row],[Текущая дата]] - Продажи[[#This Row],[Дата регистрации клиента]]) / 30, 0)</f>
        <v>49</v>
      </c>
      <c r="K114" t="e">
        <f>LEFT(C114,#REF!- 1)</f>
        <v>#REF!</v>
      </c>
    </row>
    <row r="115" spans="1:11" x14ac:dyDescent="0.3">
      <c r="A115">
        <v>497</v>
      </c>
      <c r="B115" t="s">
        <v>554</v>
      </c>
      <c r="C115" t="s">
        <v>553</v>
      </c>
      <c r="D115" t="s">
        <v>139</v>
      </c>
      <c r="E115" s="32">
        <v>44826</v>
      </c>
      <c r="F115" t="s">
        <v>131</v>
      </c>
      <c r="G115" t="str">
        <f>INDEX('коды стран'!$A$2:$A$6, MATCH(F115, 'коды стран'!$B$2:$B$6, 0))</f>
        <v>Узбекистан</v>
      </c>
      <c r="H115" s="32">
        <f t="shared" ca="1" si="1"/>
        <v>46076</v>
      </c>
      <c r="I115">
        <f ca="1">Таблица3[[#This Row],[Текущая дата]]-Продажи[[#This Row],[Дата регистрации клиента]]</f>
        <v>1320</v>
      </c>
      <c r="J115">
        <f ca="1">ROUND((Таблица3[[#This Row],[Текущая дата]] - Продажи[[#This Row],[Дата регистрации клиента]]) / 30, 0)</f>
        <v>44</v>
      </c>
      <c r="K115" t="e">
        <f>LEFT(C115,#REF!- 1)</f>
        <v>#REF!</v>
      </c>
    </row>
    <row r="116" spans="1:11" x14ac:dyDescent="0.3">
      <c r="A116">
        <v>277</v>
      </c>
      <c r="B116" t="s">
        <v>534</v>
      </c>
      <c r="C116" t="s">
        <v>533</v>
      </c>
      <c r="D116" t="s">
        <v>142</v>
      </c>
      <c r="E116" s="32">
        <v>44750</v>
      </c>
      <c r="F116" t="s">
        <v>135</v>
      </c>
      <c r="G116" t="str">
        <f>INDEX('коды стран'!$A$2:$A$6, MATCH(F116, 'коды стран'!$B$2:$B$6, 0))</f>
        <v>Россия</v>
      </c>
      <c r="H116" s="32">
        <f t="shared" ca="1" si="1"/>
        <v>46076</v>
      </c>
      <c r="I116">
        <f ca="1">Таблица3[[#This Row],[Текущая дата]]-Продажи[[#This Row],[Дата регистрации клиента]]</f>
        <v>1386</v>
      </c>
      <c r="J116">
        <f ca="1">ROUND((Таблица3[[#This Row],[Текущая дата]] - Продажи[[#This Row],[Дата регистрации клиента]]) / 30, 0)</f>
        <v>46</v>
      </c>
      <c r="K116" t="e">
        <f>LEFT(C116,#REF!- 1)</f>
        <v>#REF!</v>
      </c>
    </row>
    <row r="117" spans="1:11" x14ac:dyDescent="0.3">
      <c r="A117">
        <v>78</v>
      </c>
      <c r="B117" t="s">
        <v>526</v>
      </c>
      <c r="C117" t="s">
        <v>525</v>
      </c>
      <c r="D117" t="s">
        <v>142</v>
      </c>
      <c r="E117" s="32">
        <v>44658</v>
      </c>
      <c r="F117" t="s">
        <v>127</v>
      </c>
      <c r="G117" t="str">
        <f>INDEX('коды стран'!$A$2:$A$6, MATCH(F117, 'коды стран'!$B$2:$B$6, 0))</f>
        <v>Украина</v>
      </c>
      <c r="H117" s="32">
        <f t="shared" ca="1" si="1"/>
        <v>46076</v>
      </c>
      <c r="I117">
        <f ca="1">Таблица3[[#This Row],[Текущая дата]]-Продажи[[#This Row],[Дата регистрации клиента]]</f>
        <v>1175</v>
      </c>
      <c r="J117">
        <f ca="1">ROUND((Таблица3[[#This Row],[Текущая дата]] - Продажи[[#This Row],[Дата регистрации клиента]]) / 30, 0)</f>
        <v>39</v>
      </c>
      <c r="K117" t="e">
        <f>LEFT(C117,#REF!- 1)</f>
        <v>#REF!</v>
      </c>
    </row>
    <row r="118" spans="1:11" x14ac:dyDescent="0.3">
      <c r="A118">
        <v>314</v>
      </c>
      <c r="B118" t="s">
        <v>464</v>
      </c>
      <c r="C118" t="s">
        <v>463</v>
      </c>
      <c r="D118" t="s">
        <v>139</v>
      </c>
      <c r="E118" s="32">
        <v>44899</v>
      </c>
      <c r="F118" t="s">
        <v>135</v>
      </c>
      <c r="G118" t="str">
        <f>INDEX('коды стран'!$A$2:$A$6, MATCH(F118, 'коды стран'!$B$2:$B$6, 0))</f>
        <v>Россия</v>
      </c>
      <c r="H118" s="32">
        <f t="shared" ca="1" si="1"/>
        <v>46076</v>
      </c>
      <c r="I118">
        <f ca="1">Таблица3[[#This Row],[Текущая дата]]-Продажи[[#This Row],[Дата регистрации клиента]]</f>
        <v>1205</v>
      </c>
      <c r="J118">
        <f ca="1">ROUND((Таблица3[[#This Row],[Текущая дата]] - Продажи[[#This Row],[Дата регистрации клиента]]) / 30, 0)</f>
        <v>40</v>
      </c>
      <c r="K118" t="e">
        <f>LEFT(C118,#REF!- 1)</f>
        <v>#REF!</v>
      </c>
    </row>
    <row r="119" spans="1:11" x14ac:dyDescent="0.3">
      <c r="A119">
        <v>257</v>
      </c>
      <c r="B119" t="s">
        <v>432</v>
      </c>
      <c r="C119" t="s">
        <v>431</v>
      </c>
      <c r="D119" t="s">
        <v>139</v>
      </c>
      <c r="E119" s="32">
        <v>44701</v>
      </c>
      <c r="F119" t="s">
        <v>135</v>
      </c>
      <c r="G119" t="str">
        <f>INDEX('коды стран'!$A$2:$A$6, MATCH(F119, 'коды стран'!$B$2:$B$6, 0))</f>
        <v>Россия</v>
      </c>
      <c r="H119" s="32">
        <f t="shared" ca="1" si="1"/>
        <v>46076</v>
      </c>
      <c r="I119">
        <f ca="1">Таблица3[[#This Row],[Текущая дата]]-Продажи[[#This Row],[Дата регистрации клиента]]</f>
        <v>1356</v>
      </c>
      <c r="J119">
        <f ca="1">ROUND((Таблица3[[#This Row],[Текущая дата]] - Продажи[[#This Row],[Дата регистрации клиента]]) / 30, 0)</f>
        <v>45</v>
      </c>
      <c r="K119" t="e">
        <f>LEFT(C119,#REF!- 1)</f>
        <v>#REF!</v>
      </c>
    </row>
    <row r="120" spans="1:11" x14ac:dyDescent="0.3">
      <c r="A120">
        <v>67</v>
      </c>
      <c r="B120" t="s">
        <v>364</v>
      </c>
      <c r="C120" t="s">
        <v>363</v>
      </c>
      <c r="D120" t="s">
        <v>142</v>
      </c>
      <c r="E120" s="32">
        <v>44731</v>
      </c>
      <c r="F120" t="s">
        <v>131</v>
      </c>
      <c r="G120" t="str">
        <f>INDEX('коды стран'!$A$2:$A$6, MATCH(F120, 'коды стран'!$B$2:$B$6, 0))</f>
        <v>Узбекистан</v>
      </c>
      <c r="H120" s="32">
        <f t="shared" ca="1" si="1"/>
        <v>46076</v>
      </c>
      <c r="I120">
        <f ca="1">Таблица3[[#This Row],[Текущая дата]]-Продажи[[#This Row],[Дата регистрации клиента]]</f>
        <v>1363</v>
      </c>
      <c r="J120">
        <f ca="1">ROUND((Таблица3[[#This Row],[Текущая дата]] - Продажи[[#This Row],[Дата регистрации клиента]]) / 30, 0)</f>
        <v>45</v>
      </c>
      <c r="K120" t="e">
        <f>LEFT(C120,#REF!- 1)</f>
        <v>#REF!</v>
      </c>
    </row>
    <row r="121" spans="1:11" x14ac:dyDescent="0.3">
      <c r="A121">
        <v>40</v>
      </c>
      <c r="B121" t="s">
        <v>320</v>
      </c>
      <c r="C121" t="s">
        <v>319</v>
      </c>
      <c r="D121" t="s">
        <v>139</v>
      </c>
      <c r="E121" s="32">
        <v>44855</v>
      </c>
      <c r="F121" t="s">
        <v>135</v>
      </c>
      <c r="G121" t="str">
        <f>INDEX('коды стран'!$A$2:$A$6, MATCH(F121, 'коды стран'!$B$2:$B$6, 0))</f>
        <v>Россия</v>
      </c>
      <c r="H121" s="32">
        <f t="shared" ca="1" si="1"/>
        <v>46076</v>
      </c>
      <c r="I121">
        <f ca="1">Таблица3[[#This Row],[Текущая дата]]-Продажи[[#This Row],[Дата регистрации клиента]]</f>
        <v>1365</v>
      </c>
      <c r="J121">
        <f ca="1">ROUND((Таблица3[[#This Row],[Текущая дата]] - Продажи[[#This Row],[Дата регистрации клиента]]) / 30, 0)</f>
        <v>46</v>
      </c>
      <c r="K121" t="e">
        <f>LEFT(C121,#REF!- 1)</f>
        <v>#REF!</v>
      </c>
    </row>
    <row r="122" spans="1:11" x14ac:dyDescent="0.3">
      <c r="A122">
        <v>485</v>
      </c>
      <c r="B122" t="s">
        <v>302</v>
      </c>
      <c r="C122" t="s">
        <v>301</v>
      </c>
      <c r="D122" t="s">
        <v>139</v>
      </c>
      <c r="E122" s="32">
        <v>44723</v>
      </c>
      <c r="F122" t="s">
        <v>135</v>
      </c>
      <c r="G122" t="str">
        <f>INDEX('коды стран'!$A$2:$A$6, MATCH(F122, 'коды стран'!$B$2:$B$6, 0))</f>
        <v>Россия</v>
      </c>
      <c r="H122" s="32">
        <f t="shared" ca="1" si="1"/>
        <v>46076</v>
      </c>
      <c r="I122">
        <f ca="1">Таблица3[[#This Row],[Текущая дата]]-Продажи[[#This Row],[Дата регистрации клиента]]</f>
        <v>1194</v>
      </c>
      <c r="J122">
        <f ca="1">ROUND((Таблица3[[#This Row],[Текущая дата]] - Продажи[[#This Row],[Дата регистрации клиента]]) / 30, 0)</f>
        <v>40</v>
      </c>
      <c r="K122" t="e">
        <f>LEFT(C122,#REF!- 1)</f>
        <v>#REF!</v>
      </c>
    </row>
    <row r="123" spans="1:11" x14ac:dyDescent="0.3">
      <c r="A123">
        <v>345</v>
      </c>
      <c r="B123" t="s">
        <v>272</v>
      </c>
      <c r="C123" t="s">
        <v>271</v>
      </c>
      <c r="D123" t="s">
        <v>142</v>
      </c>
      <c r="E123" s="32">
        <v>44705</v>
      </c>
      <c r="F123" t="s">
        <v>133</v>
      </c>
      <c r="G123" t="str">
        <f>INDEX('коды стран'!$A$2:$A$6, MATCH(F123, 'коды стран'!$B$2:$B$6, 0))</f>
        <v>Беларусь</v>
      </c>
      <c r="H123" s="32">
        <f t="shared" ca="1" si="1"/>
        <v>46076</v>
      </c>
      <c r="I123">
        <f ca="1">Таблица3[[#This Row],[Текущая дата]]-Продажи[[#This Row],[Дата регистрации клиента]]</f>
        <v>1314</v>
      </c>
      <c r="J123">
        <f ca="1">ROUND((Таблица3[[#This Row],[Текущая дата]] - Продажи[[#This Row],[Дата регистрации клиента]]) / 30, 0)</f>
        <v>44</v>
      </c>
      <c r="K123" t="e">
        <f>LEFT(C123,#REF!- 1)</f>
        <v>#REF!</v>
      </c>
    </row>
    <row r="124" spans="1:11" x14ac:dyDescent="0.3">
      <c r="A124">
        <v>7</v>
      </c>
      <c r="B124" t="s">
        <v>268</v>
      </c>
      <c r="C124" t="s">
        <v>267</v>
      </c>
      <c r="D124" t="s">
        <v>142</v>
      </c>
      <c r="E124" s="32">
        <v>44893</v>
      </c>
      <c r="F124" t="s">
        <v>135</v>
      </c>
      <c r="G124" t="str">
        <f>INDEX('коды стран'!$A$2:$A$6, MATCH(F124, 'коды стран'!$B$2:$B$6, 0))</f>
        <v>Россия</v>
      </c>
      <c r="H124" s="32">
        <f t="shared" ca="1" si="1"/>
        <v>46076</v>
      </c>
      <c r="I124">
        <f ca="1">Таблица3[[#This Row],[Текущая дата]]-Продажи[[#This Row],[Дата регистрации клиента]]</f>
        <v>1254</v>
      </c>
      <c r="J124">
        <f ca="1">ROUND((Таблица3[[#This Row],[Текущая дата]] - Продажи[[#This Row],[Дата регистрации клиента]]) / 30, 0)</f>
        <v>42</v>
      </c>
      <c r="K124" t="e">
        <f>LEFT(C124,#REF!- 1)</f>
        <v>#REF!</v>
      </c>
    </row>
    <row r="125" spans="1:11" x14ac:dyDescent="0.3">
      <c r="A125">
        <v>36</v>
      </c>
      <c r="B125" t="s">
        <v>242</v>
      </c>
      <c r="C125" t="s">
        <v>241</v>
      </c>
      <c r="D125" t="s">
        <v>139</v>
      </c>
      <c r="E125" s="32">
        <v>44700</v>
      </c>
      <c r="F125" t="s">
        <v>135</v>
      </c>
      <c r="G125" t="str">
        <f>INDEX('коды стран'!$A$2:$A$6, MATCH(F125, 'коды стран'!$B$2:$B$6, 0))</f>
        <v>Россия</v>
      </c>
      <c r="H125" s="32">
        <f t="shared" ca="1" si="1"/>
        <v>46076</v>
      </c>
      <c r="I125">
        <f ca="1">Таблица3[[#This Row],[Текущая дата]]-Продажи[[#This Row],[Дата регистрации клиента]]</f>
        <v>1513</v>
      </c>
      <c r="J125">
        <f ca="1">ROUND((Таблица3[[#This Row],[Текущая дата]] - Продажи[[#This Row],[Дата регистрации клиента]]) / 30, 0)</f>
        <v>50</v>
      </c>
      <c r="K125" t="e">
        <f>LEFT(C125,#REF!- 1)</f>
        <v>#REF!</v>
      </c>
    </row>
    <row r="126" spans="1:11" x14ac:dyDescent="0.3">
      <c r="A126">
        <v>262</v>
      </c>
      <c r="B126" t="s">
        <v>218</v>
      </c>
      <c r="C126" t="s">
        <v>217</v>
      </c>
      <c r="D126" t="s">
        <v>142</v>
      </c>
      <c r="E126" s="32">
        <v>44778</v>
      </c>
      <c r="F126" t="s">
        <v>129</v>
      </c>
      <c r="G126" t="str">
        <f>INDEX('коды стран'!$A$2:$A$6, MATCH(F126, 'коды стран'!$B$2:$B$6, 0))</f>
        <v>Таджикистан</v>
      </c>
      <c r="H126" s="32">
        <f t="shared" ca="1" si="1"/>
        <v>46076</v>
      </c>
      <c r="I126">
        <f ca="1">Таблица3[[#This Row],[Текущая дата]]-Продажи[[#This Row],[Дата регистрации клиента]]</f>
        <v>1386</v>
      </c>
      <c r="J126">
        <f ca="1">ROUND((Таблица3[[#This Row],[Текущая дата]] - Продажи[[#This Row],[Дата регистрации клиента]]) / 30, 0)</f>
        <v>46</v>
      </c>
      <c r="K126" t="e">
        <f>LEFT(C126,#REF!- 1)</f>
        <v>#REF!</v>
      </c>
    </row>
    <row r="127" spans="1:11" x14ac:dyDescent="0.3">
      <c r="A127">
        <v>48</v>
      </c>
      <c r="B127" t="s">
        <v>184</v>
      </c>
      <c r="C127" t="s">
        <v>183</v>
      </c>
      <c r="D127" t="s">
        <v>139</v>
      </c>
      <c r="E127" s="32">
        <v>44856</v>
      </c>
      <c r="F127" t="s">
        <v>131</v>
      </c>
      <c r="G127" t="str">
        <f>INDEX('коды стран'!$A$2:$A$6, MATCH(F127, 'коды стран'!$B$2:$B$6, 0))</f>
        <v>Узбекистан</v>
      </c>
      <c r="H127" s="32">
        <f t="shared" ca="1" si="1"/>
        <v>46076</v>
      </c>
      <c r="I127">
        <f ca="1">Таблица3[[#This Row],[Текущая дата]]-Продажи[[#This Row],[Дата регистрации клиента]]</f>
        <v>1187</v>
      </c>
      <c r="J127">
        <f ca="1">ROUND((Таблица3[[#This Row],[Текущая дата]] - Продажи[[#This Row],[Дата регистрации клиента]]) / 30, 0)</f>
        <v>40</v>
      </c>
      <c r="K127" t="e">
        <f>LEFT(C127,#REF!- 1)</f>
        <v>#REF!</v>
      </c>
    </row>
    <row r="128" spans="1:11" x14ac:dyDescent="0.3">
      <c r="A128">
        <v>95</v>
      </c>
      <c r="B128" t="s">
        <v>148</v>
      </c>
      <c r="C128" t="s">
        <v>147</v>
      </c>
      <c r="D128" t="s">
        <v>139</v>
      </c>
      <c r="E128" s="32">
        <v>44704</v>
      </c>
      <c r="F128" t="s">
        <v>131</v>
      </c>
      <c r="G128" t="str">
        <f>INDEX('коды стран'!$A$2:$A$6, MATCH(F128, 'коды стран'!$B$2:$B$6, 0))</f>
        <v>Узбекистан</v>
      </c>
      <c r="H128" s="32">
        <f t="shared" ca="1" si="1"/>
        <v>46076</v>
      </c>
      <c r="I128">
        <f ca="1">Таблица3[[#This Row],[Текущая дата]]-Продажи[[#This Row],[Дата регистрации клиента]]</f>
        <v>1362</v>
      </c>
      <c r="J128">
        <f ca="1">ROUND((Таблица3[[#This Row],[Текущая дата]] - Продажи[[#This Row],[Дата регистрации клиента]]) / 30, 0)</f>
        <v>45</v>
      </c>
      <c r="K128" t="e">
        <f>LEFT(C128,#REF!- 1)</f>
        <v>#REF!</v>
      </c>
    </row>
    <row r="129" spans="1:11" x14ac:dyDescent="0.3">
      <c r="A129">
        <v>414</v>
      </c>
      <c r="B129" t="s">
        <v>982</v>
      </c>
      <c r="C129" t="s">
        <v>981</v>
      </c>
      <c r="D129" t="s">
        <v>139</v>
      </c>
      <c r="E129" s="32">
        <v>44794</v>
      </c>
      <c r="F129" t="s">
        <v>133</v>
      </c>
      <c r="G129" t="str">
        <f>INDEX('коды стран'!$A$2:$A$6, MATCH(F129, 'коды стран'!$B$2:$B$6, 0))</f>
        <v>Беларусь</v>
      </c>
      <c r="H129" s="32">
        <f t="shared" ca="1" si="1"/>
        <v>46076</v>
      </c>
      <c r="I129">
        <f ca="1">Таблица3[[#This Row],[Текущая дата]]-Продажи[[#This Row],[Дата регистрации клиента]]</f>
        <v>1506</v>
      </c>
      <c r="J129">
        <f ca="1">ROUND((Таблица3[[#This Row],[Текущая дата]] - Продажи[[#This Row],[Дата регистрации клиента]]) / 30, 0)</f>
        <v>50</v>
      </c>
      <c r="K129" t="e">
        <f>LEFT(C129,#REF!- 1)</f>
        <v>#REF!</v>
      </c>
    </row>
    <row r="130" spans="1:11" x14ac:dyDescent="0.3">
      <c r="A130">
        <v>422</v>
      </c>
      <c r="B130" t="s">
        <v>958</v>
      </c>
      <c r="C130" t="s">
        <v>957</v>
      </c>
      <c r="D130" t="s">
        <v>139</v>
      </c>
      <c r="E130" s="32">
        <v>44784</v>
      </c>
      <c r="F130" t="s">
        <v>127</v>
      </c>
      <c r="G130" t="str">
        <f>INDEX('коды стран'!$A$2:$A$6, MATCH(F130, 'коды стран'!$B$2:$B$6, 0))</f>
        <v>Украина</v>
      </c>
      <c r="H130" s="32">
        <f t="shared" ref="H130:H193" ca="1" si="2">TODAY()</f>
        <v>46076</v>
      </c>
      <c r="I130">
        <f ca="1">Таблица3[[#This Row],[Текущая дата]]-Продажи[[#This Row],[Дата регистрации клиента]]</f>
        <v>1444</v>
      </c>
      <c r="J130">
        <f ca="1">ROUND((Таблица3[[#This Row],[Текущая дата]] - Продажи[[#This Row],[Дата регистрации клиента]]) / 30, 0)</f>
        <v>48</v>
      </c>
      <c r="K130" t="e">
        <f>LEFT(C130,#REF!- 1)</f>
        <v>#REF!</v>
      </c>
    </row>
    <row r="131" spans="1:11" x14ac:dyDescent="0.3">
      <c r="A131">
        <v>310</v>
      </c>
      <c r="B131" t="s">
        <v>942</v>
      </c>
      <c r="C131" t="s">
        <v>941</v>
      </c>
      <c r="D131" t="s">
        <v>139</v>
      </c>
      <c r="E131" s="32">
        <v>44807</v>
      </c>
      <c r="F131" t="s">
        <v>129</v>
      </c>
      <c r="G131" t="str">
        <f>INDEX('коды стран'!$A$2:$A$6, MATCH(F131, 'коды стран'!$B$2:$B$6, 0))</f>
        <v>Таджикистан</v>
      </c>
      <c r="H131" s="32">
        <f t="shared" ca="1" si="2"/>
        <v>46076</v>
      </c>
      <c r="I131">
        <f ca="1">Таблица3[[#This Row],[Текущая дата]]-Продажи[[#This Row],[Дата регистрации клиента]]</f>
        <v>1503</v>
      </c>
      <c r="J131">
        <f ca="1">ROUND((Таблица3[[#This Row],[Текущая дата]] - Продажи[[#This Row],[Дата регистрации клиента]]) / 30, 0)</f>
        <v>50</v>
      </c>
      <c r="K131" t="e">
        <f>LEFT(C131,#REF!- 1)</f>
        <v>#REF!</v>
      </c>
    </row>
    <row r="132" spans="1:11" x14ac:dyDescent="0.3">
      <c r="A132">
        <v>382</v>
      </c>
      <c r="B132" t="s">
        <v>898</v>
      </c>
      <c r="C132" t="s">
        <v>897</v>
      </c>
      <c r="D132" t="s">
        <v>142</v>
      </c>
      <c r="E132" s="32">
        <v>44850</v>
      </c>
      <c r="F132" t="s">
        <v>133</v>
      </c>
      <c r="G132" t="str">
        <f>INDEX('коды стран'!$A$2:$A$6, MATCH(F132, 'коды стран'!$B$2:$B$6, 0))</f>
        <v>Беларусь</v>
      </c>
      <c r="H132" s="32">
        <f t="shared" ca="1" si="2"/>
        <v>46076</v>
      </c>
      <c r="I132">
        <f ca="1">Таблица3[[#This Row],[Текущая дата]]-Продажи[[#This Row],[Дата регистрации клиента]]</f>
        <v>1342</v>
      </c>
      <c r="J132">
        <f ca="1">ROUND((Таблица3[[#This Row],[Текущая дата]] - Продажи[[#This Row],[Дата регистрации клиента]]) / 30, 0)</f>
        <v>45</v>
      </c>
      <c r="K132" t="e">
        <f>LEFT(C132,#REF!- 1)</f>
        <v>#REF!</v>
      </c>
    </row>
    <row r="133" spans="1:11" x14ac:dyDescent="0.3">
      <c r="A133">
        <v>317</v>
      </c>
      <c r="B133" t="s">
        <v>870</v>
      </c>
      <c r="C133" t="s">
        <v>869</v>
      </c>
      <c r="D133" t="s">
        <v>139</v>
      </c>
      <c r="E133" s="32">
        <v>44770</v>
      </c>
      <c r="F133" t="s">
        <v>135</v>
      </c>
      <c r="G133" t="str">
        <f>INDEX('коды стран'!$A$2:$A$6, MATCH(F133, 'коды стран'!$B$2:$B$6, 0))</f>
        <v>Россия</v>
      </c>
      <c r="H133" s="32">
        <f t="shared" ca="1" si="2"/>
        <v>46076</v>
      </c>
      <c r="I133">
        <f ca="1">Таблица3[[#This Row],[Текущая дата]]-Продажи[[#This Row],[Дата регистрации клиента]]</f>
        <v>1160</v>
      </c>
      <c r="J133">
        <f ca="1">ROUND((Таблица3[[#This Row],[Текущая дата]] - Продажи[[#This Row],[Дата регистрации клиента]]) / 30, 0)</f>
        <v>39</v>
      </c>
      <c r="K133" t="e">
        <f>LEFT(C133,#REF!- 1)</f>
        <v>#REF!</v>
      </c>
    </row>
    <row r="134" spans="1:11" x14ac:dyDescent="0.3">
      <c r="A134">
        <v>111</v>
      </c>
      <c r="B134" t="s">
        <v>822</v>
      </c>
      <c r="C134" t="s">
        <v>821</v>
      </c>
      <c r="D134" t="s">
        <v>142</v>
      </c>
      <c r="E134" s="32">
        <v>44804</v>
      </c>
      <c r="F134" t="s">
        <v>131</v>
      </c>
      <c r="G134" t="str">
        <f>INDEX('коды стран'!$A$2:$A$6, MATCH(F134, 'коды стран'!$B$2:$B$6, 0))</f>
        <v>Узбекистан</v>
      </c>
      <c r="H134" s="32">
        <f t="shared" ca="1" si="2"/>
        <v>46076</v>
      </c>
      <c r="I134">
        <f ca="1">Таблица3[[#This Row],[Текущая дата]]-Продажи[[#This Row],[Дата регистрации клиента]]</f>
        <v>1187</v>
      </c>
      <c r="J134">
        <f ca="1">ROUND((Таблица3[[#This Row],[Текущая дата]] - Продажи[[#This Row],[Дата регистрации клиента]]) / 30, 0)</f>
        <v>40</v>
      </c>
      <c r="K134" t="e">
        <f>LEFT(C134,#REF!- 1)</f>
        <v>#REF!</v>
      </c>
    </row>
    <row r="135" spans="1:11" x14ac:dyDescent="0.3">
      <c r="A135">
        <v>333</v>
      </c>
      <c r="B135" t="s">
        <v>806</v>
      </c>
      <c r="C135" t="s">
        <v>805</v>
      </c>
      <c r="D135" t="s">
        <v>142</v>
      </c>
      <c r="E135" s="32">
        <v>44857</v>
      </c>
      <c r="F135" t="s">
        <v>135</v>
      </c>
      <c r="G135" t="str">
        <f>INDEX('коды стран'!$A$2:$A$6, MATCH(F135, 'коды стран'!$B$2:$B$6, 0))</f>
        <v>Россия</v>
      </c>
      <c r="H135" s="32">
        <f t="shared" ca="1" si="2"/>
        <v>46076</v>
      </c>
      <c r="I135">
        <f ca="1">Таблица3[[#This Row],[Текущая дата]]-Продажи[[#This Row],[Дата регистрации клиента]]</f>
        <v>1495</v>
      </c>
      <c r="J135">
        <f ca="1">ROUND((Таблица3[[#This Row],[Текущая дата]] - Продажи[[#This Row],[Дата регистрации клиента]]) / 30, 0)</f>
        <v>50</v>
      </c>
      <c r="K135" t="e">
        <f>LEFT(C135,#REF!- 1)</f>
        <v>#REF!</v>
      </c>
    </row>
    <row r="136" spans="1:11" x14ac:dyDescent="0.3">
      <c r="A136">
        <v>321</v>
      </c>
      <c r="B136" t="s">
        <v>800</v>
      </c>
      <c r="C136" t="s">
        <v>799</v>
      </c>
      <c r="D136" t="s">
        <v>139</v>
      </c>
      <c r="E136" s="32">
        <v>44756</v>
      </c>
      <c r="F136" t="s">
        <v>129</v>
      </c>
      <c r="G136" t="str">
        <f>INDEX('коды стран'!$A$2:$A$6, MATCH(F136, 'коды стран'!$B$2:$B$6, 0))</f>
        <v>Таджикистан</v>
      </c>
      <c r="H136" s="32">
        <f t="shared" ca="1" si="2"/>
        <v>46076</v>
      </c>
      <c r="I136">
        <f ca="1">Таблица3[[#This Row],[Текущая дата]]-Продажи[[#This Row],[Дата регистрации клиента]]</f>
        <v>1500</v>
      </c>
      <c r="J136">
        <f ca="1">ROUND((Таблица3[[#This Row],[Текущая дата]] - Продажи[[#This Row],[Дата регистрации клиента]]) / 30, 0)</f>
        <v>50</v>
      </c>
      <c r="K136" t="e">
        <f>LEFT(C136,#REF!- 1)</f>
        <v>#REF!</v>
      </c>
    </row>
    <row r="137" spans="1:11" x14ac:dyDescent="0.3">
      <c r="A137">
        <v>366</v>
      </c>
      <c r="B137" t="s">
        <v>720</v>
      </c>
      <c r="C137" t="s">
        <v>719</v>
      </c>
      <c r="D137" t="s">
        <v>139</v>
      </c>
      <c r="E137" s="32">
        <v>44827</v>
      </c>
      <c r="F137" t="s">
        <v>131</v>
      </c>
      <c r="G137" t="str">
        <f>INDEX('коды стран'!$A$2:$A$6, MATCH(F137, 'коды стран'!$B$2:$B$6, 0))</f>
        <v>Узбекистан</v>
      </c>
      <c r="H137" s="32">
        <f t="shared" ca="1" si="2"/>
        <v>46076</v>
      </c>
      <c r="I137">
        <f ca="1">Таблица3[[#This Row],[Текущая дата]]-Продажи[[#This Row],[Дата регистрации клиента]]</f>
        <v>1457</v>
      </c>
      <c r="J137">
        <f ca="1">ROUND((Таблица3[[#This Row],[Текущая дата]] - Продажи[[#This Row],[Дата регистрации клиента]]) / 30, 0)</f>
        <v>49</v>
      </c>
      <c r="K137" t="e">
        <f>LEFT(C137,#REF!- 1)</f>
        <v>#REF!</v>
      </c>
    </row>
    <row r="138" spans="1:11" x14ac:dyDescent="0.3">
      <c r="A138">
        <v>65</v>
      </c>
      <c r="B138" t="s">
        <v>692</v>
      </c>
      <c r="C138" t="s">
        <v>691</v>
      </c>
      <c r="D138" t="s">
        <v>139</v>
      </c>
      <c r="E138" s="32">
        <v>44623</v>
      </c>
      <c r="F138" t="s">
        <v>127</v>
      </c>
      <c r="G138" t="str">
        <f>INDEX('коды стран'!$A$2:$A$6, MATCH(F138, 'коды стран'!$B$2:$B$6, 0))</f>
        <v>Украина</v>
      </c>
      <c r="H138" s="32">
        <f t="shared" ca="1" si="2"/>
        <v>46076</v>
      </c>
      <c r="I138">
        <f ca="1">Таблица3[[#This Row],[Текущая дата]]-Продажи[[#This Row],[Дата регистрации клиента]]</f>
        <v>1216</v>
      </c>
      <c r="J138">
        <f ca="1">ROUND((Таблица3[[#This Row],[Текущая дата]] - Продажи[[#This Row],[Дата регистрации клиента]]) / 30, 0)</f>
        <v>41</v>
      </c>
      <c r="K138" t="e">
        <f>LEFT(C138,#REF!- 1)</f>
        <v>#REF!</v>
      </c>
    </row>
    <row r="139" spans="1:11" x14ac:dyDescent="0.3">
      <c r="A139">
        <v>156</v>
      </c>
      <c r="B139" t="s">
        <v>652</v>
      </c>
      <c r="C139" t="s">
        <v>651</v>
      </c>
      <c r="D139" t="s">
        <v>142</v>
      </c>
      <c r="E139" s="32">
        <v>44905</v>
      </c>
      <c r="F139" t="s">
        <v>127</v>
      </c>
      <c r="G139" t="str">
        <f>INDEX('коды стран'!$A$2:$A$6, MATCH(F139, 'коды стран'!$B$2:$B$6, 0))</f>
        <v>Украина</v>
      </c>
      <c r="H139" s="32">
        <f t="shared" ca="1" si="2"/>
        <v>46076</v>
      </c>
      <c r="I139">
        <f ca="1">Таблица3[[#This Row],[Текущая дата]]-Продажи[[#This Row],[Дата регистрации клиента]]</f>
        <v>1307</v>
      </c>
      <c r="J139">
        <f ca="1">ROUND((Таблица3[[#This Row],[Текущая дата]] - Продажи[[#This Row],[Дата регистрации клиента]]) / 30, 0)</f>
        <v>44</v>
      </c>
      <c r="K139" t="e">
        <f>LEFT(C139,#REF!- 1)</f>
        <v>#REF!</v>
      </c>
    </row>
    <row r="140" spans="1:11" x14ac:dyDescent="0.3">
      <c r="A140">
        <v>168</v>
      </c>
      <c r="B140" t="s">
        <v>626</v>
      </c>
      <c r="C140" t="s">
        <v>625</v>
      </c>
      <c r="D140" t="s">
        <v>142</v>
      </c>
      <c r="E140" s="32">
        <v>44706</v>
      </c>
      <c r="F140" t="s">
        <v>131</v>
      </c>
      <c r="G140" t="str">
        <f>INDEX('коды стран'!$A$2:$A$6, MATCH(F140, 'коды стран'!$B$2:$B$6, 0))</f>
        <v>Узбекистан</v>
      </c>
      <c r="H140" s="32">
        <f t="shared" ca="1" si="2"/>
        <v>46076</v>
      </c>
      <c r="I140">
        <f ca="1">Таблица3[[#This Row],[Текущая дата]]-Продажи[[#This Row],[Дата регистрации клиента]]</f>
        <v>1193</v>
      </c>
      <c r="J140">
        <f ca="1">ROUND((Таблица3[[#This Row],[Текущая дата]] - Продажи[[#This Row],[Дата регистрации клиента]]) / 30, 0)</f>
        <v>40</v>
      </c>
      <c r="K140" t="e">
        <f>LEFT(C140,#REF!- 1)</f>
        <v>#REF!</v>
      </c>
    </row>
    <row r="141" spans="1:11" x14ac:dyDescent="0.3">
      <c r="A141">
        <v>121</v>
      </c>
      <c r="B141" t="s">
        <v>624</v>
      </c>
      <c r="C141" t="s">
        <v>623</v>
      </c>
      <c r="D141" t="s">
        <v>142</v>
      </c>
      <c r="E141" s="32">
        <v>44763</v>
      </c>
      <c r="F141" t="s">
        <v>135</v>
      </c>
      <c r="G141" t="str">
        <f>INDEX('коды стран'!$A$2:$A$6, MATCH(F141, 'коды стран'!$B$2:$B$6, 0))</f>
        <v>Россия</v>
      </c>
      <c r="H141" s="32">
        <f t="shared" ca="1" si="2"/>
        <v>46076</v>
      </c>
      <c r="I141">
        <f ca="1">Таблица3[[#This Row],[Текущая дата]]-Продажи[[#This Row],[Дата регистрации клиента]]</f>
        <v>1209</v>
      </c>
      <c r="J141">
        <f ca="1">ROUND((Таблица3[[#This Row],[Текущая дата]] - Продажи[[#This Row],[Дата регистрации клиента]]) / 30, 0)</f>
        <v>40</v>
      </c>
      <c r="K141" t="e">
        <f>LEFT(C141,#REF!- 1)</f>
        <v>#REF!</v>
      </c>
    </row>
    <row r="142" spans="1:11" x14ac:dyDescent="0.3">
      <c r="A142">
        <v>107</v>
      </c>
      <c r="B142" t="s">
        <v>614</v>
      </c>
      <c r="C142" t="s">
        <v>613</v>
      </c>
      <c r="D142" t="s">
        <v>139</v>
      </c>
      <c r="E142" s="32">
        <v>44744</v>
      </c>
      <c r="F142" t="s">
        <v>129</v>
      </c>
      <c r="G142" t="str">
        <f>INDEX('коды стран'!$A$2:$A$6, MATCH(F142, 'коды стран'!$B$2:$B$6, 0))</f>
        <v>Таджикистан</v>
      </c>
      <c r="H142" s="32">
        <f t="shared" ca="1" si="2"/>
        <v>46076</v>
      </c>
      <c r="I142">
        <f ca="1">Таблица3[[#This Row],[Текущая дата]]-Продажи[[#This Row],[Дата регистрации клиента]]</f>
        <v>1249</v>
      </c>
      <c r="J142">
        <f ca="1">ROUND((Таблица3[[#This Row],[Текущая дата]] - Продажи[[#This Row],[Дата регистрации клиента]]) / 30, 0)</f>
        <v>42</v>
      </c>
      <c r="K142" t="e">
        <f>LEFT(C142,#REF!- 1)</f>
        <v>#REF!</v>
      </c>
    </row>
    <row r="143" spans="1:11" x14ac:dyDescent="0.3">
      <c r="A143">
        <v>480</v>
      </c>
      <c r="B143" t="s">
        <v>594</v>
      </c>
      <c r="C143" t="s">
        <v>593</v>
      </c>
      <c r="D143" t="s">
        <v>142</v>
      </c>
      <c r="E143" s="32">
        <v>44568</v>
      </c>
      <c r="F143" t="s">
        <v>131</v>
      </c>
      <c r="G143" t="str">
        <f>INDEX('коды стран'!$A$2:$A$6, MATCH(F143, 'коды стран'!$B$2:$B$6, 0))</f>
        <v>Узбекистан</v>
      </c>
      <c r="H143" s="32">
        <f t="shared" ca="1" si="2"/>
        <v>46076</v>
      </c>
      <c r="I143">
        <f ca="1">Таблица3[[#This Row],[Текущая дата]]-Продажи[[#This Row],[Дата регистрации клиента]]</f>
        <v>1207</v>
      </c>
      <c r="J143">
        <f ca="1">ROUND((Таблица3[[#This Row],[Текущая дата]] - Продажи[[#This Row],[Дата регистрации клиента]]) / 30, 0)</f>
        <v>40</v>
      </c>
      <c r="K143" t="e">
        <f>LEFT(C143,#REF!- 1)</f>
        <v>#REF!</v>
      </c>
    </row>
    <row r="144" spans="1:11" x14ac:dyDescent="0.3">
      <c r="A144">
        <v>341</v>
      </c>
      <c r="B144" t="s">
        <v>586</v>
      </c>
      <c r="C144" t="s">
        <v>585</v>
      </c>
      <c r="D144" t="s">
        <v>139</v>
      </c>
      <c r="E144" s="32">
        <v>44724</v>
      </c>
      <c r="F144" t="s">
        <v>135</v>
      </c>
      <c r="G144" t="str">
        <f>INDEX('коды стран'!$A$2:$A$6, MATCH(F144, 'коды стран'!$B$2:$B$6, 0))</f>
        <v>Россия</v>
      </c>
      <c r="H144" s="32">
        <f t="shared" ca="1" si="2"/>
        <v>46076</v>
      </c>
      <c r="I144">
        <f ca="1">Таблица3[[#This Row],[Текущая дата]]-Продажи[[#This Row],[Дата регистрации клиента]]</f>
        <v>1314</v>
      </c>
      <c r="J144">
        <f ca="1">ROUND((Таблица3[[#This Row],[Текущая дата]] - Продажи[[#This Row],[Дата регистрации клиента]]) / 30, 0)</f>
        <v>44</v>
      </c>
      <c r="K144" t="e">
        <f>LEFT(C144,#REF!- 1)</f>
        <v>#REF!</v>
      </c>
    </row>
    <row r="145" spans="1:11" x14ac:dyDescent="0.3">
      <c r="A145">
        <v>463</v>
      </c>
      <c r="B145" t="s">
        <v>584</v>
      </c>
      <c r="C145" t="s">
        <v>583</v>
      </c>
      <c r="D145" t="s">
        <v>139</v>
      </c>
      <c r="E145" s="32">
        <v>44869</v>
      </c>
      <c r="F145" t="s">
        <v>127</v>
      </c>
      <c r="G145" t="str">
        <f>INDEX('коды стран'!$A$2:$A$6, MATCH(F145, 'коды стран'!$B$2:$B$6, 0))</f>
        <v>Украина</v>
      </c>
      <c r="H145" s="32">
        <f t="shared" ca="1" si="2"/>
        <v>46076</v>
      </c>
      <c r="I145">
        <f ca="1">Таблица3[[#This Row],[Текущая дата]]-Продажи[[#This Row],[Дата регистрации клиента]]</f>
        <v>1513</v>
      </c>
      <c r="J145">
        <f ca="1">ROUND((Таблица3[[#This Row],[Текущая дата]] - Продажи[[#This Row],[Дата регистрации клиента]]) / 30, 0)</f>
        <v>50</v>
      </c>
      <c r="K145" t="e">
        <f>LEFT(C145,#REF!- 1)</f>
        <v>#REF!</v>
      </c>
    </row>
    <row r="146" spans="1:11" x14ac:dyDescent="0.3">
      <c r="A146">
        <v>117</v>
      </c>
      <c r="B146" t="s">
        <v>546</v>
      </c>
      <c r="C146" t="s">
        <v>545</v>
      </c>
      <c r="D146" t="s">
        <v>142</v>
      </c>
      <c r="E146" s="32">
        <v>44706</v>
      </c>
      <c r="F146" t="s">
        <v>127</v>
      </c>
      <c r="G146" t="str">
        <f>INDEX('коды стран'!$A$2:$A$6, MATCH(F146, 'коды стран'!$B$2:$B$6, 0))</f>
        <v>Украина</v>
      </c>
      <c r="H146" s="32">
        <f t="shared" ca="1" si="2"/>
        <v>46076</v>
      </c>
      <c r="I146">
        <f ca="1">Таблица3[[#This Row],[Текущая дата]]-Продажи[[#This Row],[Дата регистрации клиента]]</f>
        <v>1280</v>
      </c>
      <c r="J146">
        <f ca="1">ROUND((Таблица3[[#This Row],[Текущая дата]] - Продажи[[#This Row],[Дата регистрации клиента]]) / 30, 0)</f>
        <v>43</v>
      </c>
      <c r="K146" t="e">
        <f>LEFT(C146,#REF!- 1)</f>
        <v>#REF!</v>
      </c>
    </row>
    <row r="147" spans="1:11" x14ac:dyDescent="0.3">
      <c r="A147">
        <v>56</v>
      </c>
      <c r="B147" t="s">
        <v>502</v>
      </c>
      <c r="C147" t="s">
        <v>501</v>
      </c>
      <c r="D147" t="s">
        <v>139</v>
      </c>
      <c r="E147" s="32">
        <v>44662</v>
      </c>
      <c r="F147" t="s">
        <v>129</v>
      </c>
      <c r="G147" t="str">
        <f>INDEX('коды стран'!$A$2:$A$6, MATCH(F147, 'коды стран'!$B$2:$B$6, 0))</f>
        <v>Таджикистан</v>
      </c>
      <c r="H147" s="32">
        <f t="shared" ca="1" si="2"/>
        <v>46076</v>
      </c>
      <c r="I147">
        <f ca="1">Таблица3[[#This Row],[Текущая дата]]-Продажи[[#This Row],[Дата регистрации клиента]]</f>
        <v>1506</v>
      </c>
      <c r="J147">
        <f ca="1">ROUND((Таблица3[[#This Row],[Текущая дата]] - Продажи[[#This Row],[Дата регистрации клиента]]) / 30, 0)</f>
        <v>50</v>
      </c>
      <c r="K147" t="e">
        <f>LEFT(C147,#REF!- 1)</f>
        <v>#REF!</v>
      </c>
    </row>
    <row r="148" spans="1:11" x14ac:dyDescent="0.3">
      <c r="A148">
        <v>10</v>
      </c>
      <c r="B148" t="s">
        <v>500</v>
      </c>
      <c r="C148" t="s">
        <v>499</v>
      </c>
      <c r="D148" t="s">
        <v>139</v>
      </c>
      <c r="E148" s="32">
        <v>44881</v>
      </c>
      <c r="F148" t="s">
        <v>127</v>
      </c>
      <c r="G148" t="str">
        <f>INDEX('коды стран'!$A$2:$A$6, MATCH(F148, 'коды стран'!$B$2:$B$6, 0))</f>
        <v>Украина</v>
      </c>
      <c r="H148" s="32">
        <f t="shared" ca="1" si="2"/>
        <v>46076</v>
      </c>
      <c r="I148">
        <f ca="1">Таблица3[[#This Row],[Текущая дата]]-Продажи[[#This Row],[Дата регистрации клиента]]</f>
        <v>1261</v>
      </c>
      <c r="J148">
        <f ca="1">ROUND((Таблица3[[#This Row],[Текущая дата]] - Продажи[[#This Row],[Дата регистрации клиента]]) / 30, 0)</f>
        <v>42</v>
      </c>
      <c r="K148" t="e">
        <f>LEFT(C148,#REF!- 1)</f>
        <v>#REF!</v>
      </c>
    </row>
    <row r="149" spans="1:11" x14ac:dyDescent="0.3">
      <c r="A149">
        <v>432</v>
      </c>
      <c r="B149" t="s">
        <v>446</v>
      </c>
      <c r="C149" t="s">
        <v>445</v>
      </c>
      <c r="D149" t="s">
        <v>139</v>
      </c>
      <c r="E149" s="32">
        <v>44718</v>
      </c>
      <c r="F149" t="s">
        <v>129</v>
      </c>
      <c r="G149" t="str">
        <f>INDEX('коды стран'!$A$2:$A$6, MATCH(F149, 'коды стран'!$B$2:$B$6, 0))</f>
        <v>Таджикистан</v>
      </c>
      <c r="H149" s="32">
        <f t="shared" ca="1" si="2"/>
        <v>46076</v>
      </c>
      <c r="I149">
        <f ca="1">Таблица3[[#This Row],[Текущая дата]]-Продажи[[#This Row],[Дата регистрации клиента]]</f>
        <v>1411</v>
      </c>
      <c r="J149">
        <f ca="1">ROUND((Таблица3[[#This Row],[Текущая дата]] - Продажи[[#This Row],[Дата регистрации клиента]]) / 30, 0)</f>
        <v>47</v>
      </c>
      <c r="K149" t="e">
        <f>LEFT(C149,#REF!- 1)</f>
        <v>#REF!</v>
      </c>
    </row>
    <row r="150" spans="1:11" x14ac:dyDescent="0.3">
      <c r="A150">
        <v>220</v>
      </c>
      <c r="B150" t="s">
        <v>370</v>
      </c>
      <c r="C150" t="s">
        <v>369</v>
      </c>
      <c r="D150" t="s">
        <v>139</v>
      </c>
      <c r="E150" s="32">
        <v>44570</v>
      </c>
      <c r="F150" t="s">
        <v>127</v>
      </c>
      <c r="G150" t="str">
        <f>INDEX('коды стран'!$A$2:$A$6, MATCH(F150, 'коды стран'!$B$2:$B$6, 0))</f>
        <v>Украина</v>
      </c>
      <c r="H150" s="32">
        <f t="shared" ca="1" si="2"/>
        <v>46076</v>
      </c>
      <c r="I150">
        <f ca="1">Таблица3[[#This Row],[Текущая дата]]-Продажи[[#This Row],[Дата регистрации клиента]]</f>
        <v>1428</v>
      </c>
      <c r="J150">
        <f ca="1">ROUND((Таблица3[[#This Row],[Текущая дата]] - Продажи[[#This Row],[Дата регистрации клиента]]) / 30, 0)</f>
        <v>48</v>
      </c>
      <c r="K150" t="e">
        <f>LEFT(C150,#REF!- 1)</f>
        <v>#REF!</v>
      </c>
    </row>
    <row r="151" spans="1:11" x14ac:dyDescent="0.3">
      <c r="A151">
        <v>135</v>
      </c>
      <c r="B151" t="s">
        <v>348</v>
      </c>
      <c r="C151" t="s">
        <v>347</v>
      </c>
      <c r="D151" t="s">
        <v>142</v>
      </c>
      <c r="E151" s="32">
        <v>44602</v>
      </c>
      <c r="F151" t="s">
        <v>135</v>
      </c>
      <c r="G151" t="str">
        <f>INDEX('коды стран'!$A$2:$A$6, MATCH(F151, 'коды стран'!$B$2:$B$6, 0))</f>
        <v>Россия</v>
      </c>
      <c r="H151" s="32">
        <f t="shared" ca="1" si="2"/>
        <v>46076</v>
      </c>
      <c r="I151">
        <f ca="1">Таблица3[[#This Row],[Текущая дата]]-Продажи[[#This Row],[Дата регистрации клиента]]</f>
        <v>1455</v>
      </c>
      <c r="J151">
        <f ca="1">ROUND((Таблица3[[#This Row],[Текущая дата]] - Продажи[[#This Row],[Дата регистрации клиента]]) / 30, 0)</f>
        <v>49</v>
      </c>
      <c r="K151" t="e">
        <f>LEFT(C151,#REF!- 1)</f>
        <v>#REF!</v>
      </c>
    </row>
    <row r="152" spans="1:11" x14ac:dyDescent="0.3">
      <c r="A152">
        <v>173</v>
      </c>
      <c r="B152" t="s">
        <v>304</v>
      </c>
      <c r="C152" t="s">
        <v>303</v>
      </c>
      <c r="D152" t="s">
        <v>139</v>
      </c>
      <c r="E152" s="32">
        <v>44673</v>
      </c>
      <c r="F152" t="s">
        <v>135</v>
      </c>
      <c r="G152" t="str">
        <f>INDEX('коды стран'!$A$2:$A$6, MATCH(F152, 'коды стран'!$B$2:$B$6, 0))</f>
        <v>Россия</v>
      </c>
      <c r="H152" s="32">
        <f t="shared" ca="1" si="2"/>
        <v>46076</v>
      </c>
      <c r="I152">
        <f ca="1">Таблица3[[#This Row],[Текущая дата]]-Продажи[[#This Row],[Дата регистрации клиента]]</f>
        <v>1244</v>
      </c>
      <c r="J152">
        <f ca="1">ROUND((Таблица3[[#This Row],[Текущая дата]] - Продажи[[#This Row],[Дата регистрации клиента]]) / 30, 0)</f>
        <v>41</v>
      </c>
      <c r="K152" t="e">
        <f>LEFT(C152,#REF!- 1)</f>
        <v>#REF!</v>
      </c>
    </row>
    <row r="153" spans="1:11" x14ac:dyDescent="0.3">
      <c r="A153">
        <v>401</v>
      </c>
      <c r="B153" t="s">
        <v>300</v>
      </c>
      <c r="C153" t="s">
        <v>299</v>
      </c>
      <c r="D153" t="s">
        <v>139</v>
      </c>
      <c r="E153" s="32">
        <v>44856</v>
      </c>
      <c r="F153" t="s">
        <v>135</v>
      </c>
      <c r="G153" t="str">
        <f>INDEX('коды стран'!$A$2:$A$6, MATCH(F153, 'коды стран'!$B$2:$B$6, 0))</f>
        <v>Россия</v>
      </c>
      <c r="H153" s="32">
        <f t="shared" ca="1" si="2"/>
        <v>46076</v>
      </c>
      <c r="I153">
        <f ca="1">Таблица3[[#This Row],[Текущая дата]]-Продажи[[#This Row],[Дата регистрации клиента]]</f>
        <v>1359</v>
      </c>
      <c r="J153">
        <f ca="1">ROUND((Таблица3[[#This Row],[Текущая дата]] - Продажи[[#This Row],[Дата регистрации клиента]]) / 30, 0)</f>
        <v>45</v>
      </c>
      <c r="K153" t="e">
        <f>LEFT(C153,#REF!- 1)</f>
        <v>#REF!</v>
      </c>
    </row>
    <row r="154" spans="1:11" x14ac:dyDescent="0.3">
      <c r="A154">
        <v>498</v>
      </c>
      <c r="B154" t="s">
        <v>294</v>
      </c>
      <c r="C154" t="s">
        <v>293</v>
      </c>
      <c r="D154" t="s">
        <v>142</v>
      </c>
      <c r="E154" s="32">
        <v>44721</v>
      </c>
      <c r="F154" t="s">
        <v>127</v>
      </c>
      <c r="G154" t="str">
        <f>INDEX('коды стран'!$A$2:$A$6, MATCH(F154, 'коды стран'!$B$2:$B$6, 0))</f>
        <v>Украина</v>
      </c>
      <c r="H154" s="32">
        <f t="shared" ca="1" si="2"/>
        <v>46076</v>
      </c>
      <c r="I154">
        <f ca="1">Таблица3[[#This Row],[Текущая дата]]-Продажи[[#This Row],[Дата регистрации клиента]]</f>
        <v>1403</v>
      </c>
      <c r="J154">
        <f ca="1">ROUND((Таблица3[[#This Row],[Текущая дата]] - Продажи[[#This Row],[Дата регистрации клиента]]) / 30, 0)</f>
        <v>47</v>
      </c>
      <c r="K154" t="e">
        <f>LEFT(C154,#REF!- 1)</f>
        <v>#REF!</v>
      </c>
    </row>
    <row r="155" spans="1:11" x14ac:dyDescent="0.3">
      <c r="A155">
        <v>403</v>
      </c>
      <c r="B155" t="s">
        <v>290</v>
      </c>
      <c r="C155" t="s">
        <v>289</v>
      </c>
      <c r="D155" t="s">
        <v>139</v>
      </c>
      <c r="E155" s="32">
        <v>44594</v>
      </c>
      <c r="F155" t="s">
        <v>135</v>
      </c>
      <c r="G155" t="str">
        <f>INDEX('коды стран'!$A$2:$A$6, MATCH(F155, 'коды стран'!$B$2:$B$6, 0))</f>
        <v>Россия</v>
      </c>
      <c r="H155" s="32">
        <f t="shared" ca="1" si="2"/>
        <v>46076</v>
      </c>
      <c r="I155">
        <f ca="1">Таблица3[[#This Row],[Текущая дата]]-Продажи[[#This Row],[Дата регистрации клиента]]</f>
        <v>1201</v>
      </c>
      <c r="J155">
        <f ca="1">ROUND((Таблица3[[#This Row],[Текущая дата]] - Продажи[[#This Row],[Дата регистрации клиента]]) / 30, 0)</f>
        <v>40</v>
      </c>
      <c r="K155" t="e">
        <f>LEFT(C155,#REF!- 1)</f>
        <v>#REF!</v>
      </c>
    </row>
    <row r="156" spans="1:11" x14ac:dyDescent="0.3">
      <c r="A156">
        <v>70</v>
      </c>
      <c r="B156" t="s">
        <v>274</v>
      </c>
      <c r="C156" t="s">
        <v>273</v>
      </c>
      <c r="D156" t="s">
        <v>142</v>
      </c>
      <c r="E156" s="32">
        <v>44591</v>
      </c>
      <c r="F156" t="s">
        <v>127</v>
      </c>
      <c r="G156" t="str">
        <f>INDEX('коды стран'!$A$2:$A$6, MATCH(F156, 'коды стран'!$B$2:$B$6, 0))</f>
        <v>Украина</v>
      </c>
      <c r="H156" s="32">
        <f t="shared" ca="1" si="2"/>
        <v>46076</v>
      </c>
      <c r="I156">
        <f ca="1">Таблица3[[#This Row],[Текущая дата]]-Продажи[[#This Row],[Дата регистрации клиента]]</f>
        <v>1444</v>
      </c>
      <c r="J156">
        <f ca="1">ROUND((Таблица3[[#This Row],[Текущая дата]] - Продажи[[#This Row],[Дата регистрации клиента]]) / 30, 0)</f>
        <v>48</v>
      </c>
      <c r="K156" t="e">
        <f>LEFT(C156,#REF!- 1)</f>
        <v>#REF!</v>
      </c>
    </row>
    <row r="157" spans="1:11" x14ac:dyDescent="0.3">
      <c r="A157">
        <v>260</v>
      </c>
      <c r="B157" t="s">
        <v>228</v>
      </c>
      <c r="C157" t="s">
        <v>227</v>
      </c>
      <c r="D157" t="s">
        <v>142</v>
      </c>
      <c r="E157" s="32">
        <v>44729</v>
      </c>
      <c r="F157" t="s">
        <v>127</v>
      </c>
      <c r="G157" t="str">
        <f>INDEX('коды стран'!$A$2:$A$6, MATCH(F157, 'коды стран'!$B$2:$B$6, 0))</f>
        <v>Украина</v>
      </c>
      <c r="H157" s="32">
        <f t="shared" ca="1" si="2"/>
        <v>46076</v>
      </c>
      <c r="I157">
        <f ca="1">Таблица3[[#This Row],[Текущая дата]]-Продажи[[#This Row],[Дата регистрации клиента]]</f>
        <v>1508</v>
      </c>
      <c r="J157">
        <f ca="1">ROUND((Таблица3[[#This Row],[Текущая дата]] - Продажи[[#This Row],[Дата регистрации клиента]]) / 30, 0)</f>
        <v>50</v>
      </c>
      <c r="K157" t="e">
        <f>LEFT(C157,#REF!- 1)</f>
        <v>#REF!</v>
      </c>
    </row>
    <row r="158" spans="1:11" x14ac:dyDescent="0.3">
      <c r="A158">
        <v>435</v>
      </c>
      <c r="B158" t="s">
        <v>220</v>
      </c>
      <c r="C158" t="s">
        <v>219</v>
      </c>
      <c r="D158" t="s">
        <v>139</v>
      </c>
      <c r="E158" s="32">
        <v>44618</v>
      </c>
      <c r="F158" t="s">
        <v>131</v>
      </c>
      <c r="G158" t="str">
        <f>INDEX('коды стран'!$A$2:$A$6, MATCH(F158, 'коды стран'!$B$2:$B$6, 0))</f>
        <v>Узбекистан</v>
      </c>
      <c r="H158" s="32">
        <f t="shared" ca="1" si="2"/>
        <v>46076</v>
      </c>
      <c r="I158">
        <f ca="1">Таблица3[[#This Row],[Текущая дата]]-Продажи[[#This Row],[Дата регистрации клиента]]</f>
        <v>1220</v>
      </c>
      <c r="J158">
        <f ca="1">ROUND((Таблица3[[#This Row],[Текущая дата]] - Продажи[[#This Row],[Дата регистрации клиента]]) / 30, 0)</f>
        <v>41</v>
      </c>
      <c r="K158" t="e">
        <f>LEFT(C158,#REF!- 1)</f>
        <v>#REF!</v>
      </c>
    </row>
    <row r="159" spans="1:11" x14ac:dyDescent="0.3">
      <c r="A159">
        <v>400</v>
      </c>
      <c r="B159" t="s">
        <v>166</v>
      </c>
      <c r="C159" t="s">
        <v>165</v>
      </c>
      <c r="D159" t="s">
        <v>142</v>
      </c>
      <c r="E159" s="32">
        <v>44765</v>
      </c>
      <c r="F159" t="s">
        <v>133</v>
      </c>
      <c r="G159" t="str">
        <f>INDEX('коды стран'!$A$2:$A$6, MATCH(F159, 'коды стран'!$B$2:$B$6, 0))</f>
        <v>Беларусь</v>
      </c>
      <c r="H159" s="32">
        <f t="shared" ca="1" si="2"/>
        <v>46076</v>
      </c>
      <c r="I159">
        <f ca="1">Таблица3[[#This Row],[Текущая дата]]-Продажи[[#This Row],[Дата регистрации клиента]]</f>
        <v>1348</v>
      </c>
      <c r="J159">
        <f ca="1">ROUND((Таблица3[[#This Row],[Текущая дата]] - Продажи[[#This Row],[Дата регистрации клиента]]) / 30, 0)</f>
        <v>45</v>
      </c>
      <c r="K159" t="e">
        <f>LEFT(C159,#REF!- 1)</f>
        <v>#REF!</v>
      </c>
    </row>
    <row r="160" spans="1:11" x14ac:dyDescent="0.3">
      <c r="A160">
        <v>200</v>
      </c>
      <c r="B160" t="s">
        <v>150</v>
      </c>
      <c r="C160" t="s">
        <v>149</v>
      </c>
      <c r="D160" t="s">
        <v>142</v>
      </c>
      <c r="E160" s="32">
        <v>44783</v>
      </c>
      <c r="F160" t="s">
        <v>131</v>
      </c>
      <c r="G160" t="str">
        <f>INDEX('коды стран'!$A$2:$A$6, MATCH(F160, 'коды стран'!$B$2:$B$6, 0))</f>
        <v>Узбекистан</v>
      </c>
      <c r="H160" s="32">
        <f t="shared" ca="1" si="2"/>
        <v>46076</v>
      </c>
      <c r="I160">
        <f ca="1">Таблица3[[#This Row],[Текущая дата]]-Продажи[[#This Row],[Дата регистрации клиента]]</f>
        <v>1274</v>
      </c>
      <c r="J160">
        <f ca="1">ROUND((Таблица3[[#This Row],[Текущая дата]] - Продажи[[#This Row],[Дата регистрации клиента]]) / 30, 0)</f>
        <v>42</v>
      </c>
      <c r="K160" t="e">
        <f>LEFT(C160,#REF!- 1)</f>
        <v>#REF!</v>
      </c>
    </row>
    <row r="161" spans="1:11" x14ac:dyDescent="0.3">
      <c r="A161">
        <v>481</v>
      </c>
      <c r="B161" t="s">
        <v>970</v>
      </c>
      <c r="C161" t="s">
        <v>969</v>
      </c>
      <c r="D161" t="s">
        <v>142</v>
      </c>
      <c r="E161" s="32">
        <v>44756</v>
      </c>
      <c r="F161" t="s">
        <v>133</v>
      </c>
      <c r="G161" t="str">
        <f>INDEX('коды стран'!$A$2:$A$6, MATCH(F161, 'коды стран'!$B$2:$B$6, 0))</f>
        <v>Беларусь</v>
      </c>
      <c r="H161" s="32">
        <f t="shared" ca="1" si="2"/>
        <v>46076</v>
      </c>
      <c r="I161">
        <f ca="1">Таблица3[[#This Row],[Текущая дата]]-Продажи[[#This Row],[Дата регистрации клиента]]</f>
        <v>1513</v>
      </c>
      <c r="J161">
        <f ca="1">ROUND((Таблица3[[#This Row],[Текущая дата]] - Продажи[[#This Row],[Дата регистрации клиента]]) / 30, 0)</f>
        <v>50</v>
      </c>
      <c r="K161" t="e">
        <f>LEFT(C161,#REF!- 1)</f>
        <v>#REF!</v>
      </c>
    </row>
    <row r="162" spans="1:11" x14ac:dyDescent="0.3">
      <c r="A162">
        <v>324</v>
      </c>
      <c r="B162" t="s">
        <v>944</v>
      </c>
      <c r="C162" t="s">
        <v>943</v>
      </c>
      <c r="D162" t="s">
        <v>139</v>
      </c>
      <c r="E162" s="32">
        <v>44761</v>
      </c>
      <c r="F162" t="s">
        <v>131</v>
      </c>
      <c r="G162" t="str">
        <f>INDEX('коды стран'!$A$2:$A$6, MATCH(F162, 'коды стран'!$B$2:$B$6, 0))</f>
        <v>Узбекистан</v>
      </c>
      <c r="H162" s="32">
        <f t="shared" ca="1" si="2"/>
        <v>46076</v>
      </c>
      <c r="I162">
        <f ca="1">Таблица3[[#This Row],[Текущая дата]]-Продажи[[#This Row],[Дата регистрации клиента]]</f>
        <v>1301</v>
      </c>
      <c r="J162">
        <f ca="1">ROUND((Таблица3[[#This Row],[Текущая дата]] - Продажи[[#This Row],[Дата регистрации клиента]]) / 30, 0)</f>
        <v>43</v>
      </c>
      <c r="K162" t="e">
        <f>LEFT(C162,#REF!- 1)</f>
        <v>#REF!</v>
      </c>
    </row>
    <row r="163" spans="1:11" x14ac:dyDescent="0.3">
      <c r="A163">
        <v>239</v>
      </c>
      <c r="B163" t="s">
        <v>934</v>
      </c>
      <c r="C163" t="s">
        <v>933</v>
      </c>
      <c r="D163" t="s">
        <v>139</v>
      </c>
      <c r="E163" s="32">
        <v>44767</v>
      </c>
      <c r="F163" t="s">
        <v>131</v>
      </c>
      <c r="G163" t="str">
        <f>INDEX('коды стран'!$A$2:$A$6, MATCH(F163, 'коды стран'!$B$2:$B$6, 0))</f>
        <v>Узбекистан</v>
      </c>
      <c r="H163" s="32">
        <f t="shared" ca="1" si="2"/>
        <v>46076</v>
      </c>
      <c r="I163">
        <f ca="1">Таблица3[[#This Row],[Текущая дата]]-Продажи[[#This Row],[Дата регистрации клиента]]</f>
        <v>1154</v>
      </c>
      <c r="J163">
        <f ca="1">ROUND((Таблица3[[#This Row],[Текущая дата]] - Продажи[[#This Row],[Дата регистрации клиента]]) / 30, 0)</f>
        <v>38</v>
      </c>
      <c r="K163" t="e">
        <f>LEFT(C163,#REF!- 1)</f>
        <v>#REF!</v>
      </c>
    </row>
    <row r="164" spans="1:11" x14ac:dyDescent="0.3">
      <c r="A164">
        <v>229</v>
      </c>
      <c r="B164" t="s">
        <v>914</v>
      </c>
      <c r="C164" t="s">
        <v>913</v>
      </c>
      <c r="D164" t="s">
        <v>139</v>
      </c>
      <c r="E164" s="32">
        <v>44766</v>
      </c>
      <c r="F164" t="s">
        <v>133</v>
      </c>
      <c r="G164" t="str">
        <f>INDEX('коды стран'!$A$2:$A$6, MATCH(F164, 'коды стран'!$B$2:$B$6, 0))</f>
        <v>Беларусь</v>
      </c>
      <c r="H164" s="32">
        <f t="shared" ca="1" si="2"/>
        <v>46076</v>
      </c>
      <c r="I164">
        <f ca="1">Таблица3[[#This Row],[Текущая дата]]-Продажи[[#This Row],[Дата регистрации клиента]]</f>
        <v>1404</v>
      </c>
      <c r="J164">
        <f ca="1">ROUND((Таблица3[[#This Row],[Текущая дата]] - Продажи[[#This Row],[Дата регистрации клиента]]) / 30, 0)</f>
        <v>47</v>
      </c>
      <c r="K164" t="e">
        <f>LEFT(C164,#REF!- 1)</f>
        <v>#REF!</v>
      </c>
    </row>
    <row r="165" spans="1:11" x14ac:dyDescent="0.3">
      <c r="A165">
        <v>407</v>
      </c>
      <c r="B165" t="s">
        <v>910</v>
      </c>
      <c r="C165" t="s">
        <v>909</v>
      </c>
      <c r="D165" t="s">
        <v>142</v>
      </c>
      <c r="E165" s="32">
        <v>44621</v>
      </c>
      <c r="F165" t="s">
        <v>133</v>
      </c>
      <c r="G165" t="str">
        <f>INDEX('коды стран'!$A$2:$A$6, MATCH(F165, 'коды стран'!$B$2:$B$6, 0))</f>
        <v>Беларусь</v>
      </c>
      <c r="H165" s="32">
        <f t="shared" ca="1" si="2"/>
        <v>46076</v>
      </c>
      <c r="I165">
        <f ca="1">Таблица3[[#This Row],[Текущая дата]]-Продажи[[#This Row],[Дата регистрации клиента]]</f>
        <v>1244</v>
      </c>
      <c r="J165">
        <f ca="1">ROUND((Таблица3[[#This Row],[Текущая дата]] - Продажи[[#This Row],[Дата регистрации клиента]]) / 30, 0)</f>
        <v>41</v>
      </c>
      <c r="K165" t="e">
        <f>LEFT(C165,#REF!- 1)</f>
        <v>#REF!</v>
      </c>
    </row>
    <row r="166" spans="1:11" x14ac:dyDescent="0.3">
      <c r="A166">
        <v>493</v>
      </c>
      <c r="B166" t="s">
        <v>908</v>
      </c>
      <c r="C166" t="s">
        <v>907</v>
      </c>
      <c r="D166" t="s">
        <v>142</v>
      </c>
      <c r="E166" s="32">
        <v>44855</v>
      </c>
      <c r="F166" t="s">
        <v>127</v>
      </c>
      <c r="G166" t="str">
        <f>INDEX('коды стран'!$A$2:$A$6, MATCH(F166, 'коды стран'!$B$2:$B$6, 0))</f>
        <v>Украина</v>
      </c>
      <c r="H166" s="32">
        <f t="shared" ca="1" si="2"/>
        <v>46076</v>
      </c>
      <c r="I166">
        <f ca="1">Таблица3[[#This Row],[Текущая дата]]-Продажи[[#This Row],[Дата регистрации клиента]]</f>
        <v>1378</v>
      </c>
      <c r="J166">
        <f ca="1">ROUND((Таблица3[[#This Row],[Текущая дата]] - Продажи[[#This Row],[Дата регистрации клиента]]) / 30, 0)</f>
        <v>46</v>
      </c>
      <c r="K166" t="e">
        <f>LEFT(C166,#REF!- 1)</f>
        <v>#REF!</v>
      </c>
    </row>
    <row r="167" spans="1:11" x14ac:dyDescent="0.3">
      <c r="A167">
        <v>171</v>
      </c>
      <c r="B167" t="s">
        <v>886</v>
      </c>
      <c r="C167" t="s">
        <v>885</v>
      </c>
      <c r="D167" t="s">
        <v>142</v>
      </c>
      <c r="E167" s="32">
        <v>44710</v>
      </c>
      <c r="F167" t="s">
        <v>135</v>
      </c>
      <c r="G167" t="str">
        <f>INDEX('коды стран'!$A$2:$A$6, MATCH(F167, 'коды стран'!$B$2:$B$6, 0))</f>
        <v>Россия</v>
      </c>
      <c r="H167" s="32">
        <f t="shared" ca="1" si="2"/>
        <v>46076</v>
      </c>
      <c r="I167">
        <f ca="1">Таблица3[[#This Row],[Текущая дата]]-Продажи[[#This Row],[Дата регистрации клиента]]</f>
        <v>1383</v>
      </c>
      <c r="J167">
        <f ca="1">ROUND((Таблица3[[#This Row],[Текущая дата]] - Продажи[[#This Row],[Дата регистрации клиента]]) / 30, 0)</f>
        <v>46</v>
      </c>
      <c r="K167" t="e">
        <f>LEFT(C167,#REF!- 1)</f>
        <v>#REF!</v>
      </c>
    </row>
    <row r="168" spans="1:11" x14ac:dyDescent="0.3">
      <c r="A168">
        <v>252</v>
      </c>
      <c r="B168" t="s">
        <v>862</v>
      </c>
      <c r="C168" t="s">
        <v>861</v>
      </c>
      <c r="D168" t="s">
        <v>139</v>
      </c>
      <c r="E168" s="32">
        <v>44643</v>
      </c>
      <c r="F168" t="s">
        <v>135</v>
      </c>
      <c r="G168" t="str">
        <f>INDEX('коды стран'!$A$2:$A$6, MATCH(F168, 'коды стран'!$B$2:$B$6, 0))</f>
        <v>Россия</v>
      </c>
      <c r="H168" s="32">
        <f t="shared" ca="1" si="2"/>
        <v>46076</v>
      </c>
      <c r="I168">
        <f ca="1">Таблица3[[#This Row],[Текущая дата]]-Продажи[[#This Row],[Дата регистрации клиента]]</f>
        <v>1310</v>
      </c>
      <c r="J168">
        <f ca="1">ROUND((Таблица3[[#This Row],[Текущая дата]] - Продажи[[#This Row],[Дата регистрации клиента]]) / 30, 0)</f>
        <v>44</v>
      </c>
      <c r="K168" t="e">
        <f>LEFT(C168,#REF!- 1)</f>
        <v>#REF!</v>
      </c>
    </row>
    <row r="169" spans="1:11" x14ac:dyDescent="0.3">
      <c r="A169">
        <v>392</v>
      </c>
      <c r="B169" t="s">
        <v>860</v>
      </c>
      <c r="C169" t="s">
        <v>859</v>
      </c>
      <c r="D169" t="s">
        <v>139</v>
      </c>
      <c r="E169" s="32">
        <v>44919</v>
      </c>
      <c r="F169" t="s">
        <v>135</v>
      </c>
      <c r="G169" t="str">
        <f>INDEX('коды стран'!$A$2:$A$6, MATCH(F169, 'коды стран'!$B$2:$B$6, 0))</f>
        <v>Россия</v>
      </c>
      <c r="H169" s="32">
        <f t="shared" ca="1" si="2"/>
        <v>46076</v>
      </c>
      <c r="I169">
        <f ca="1">Таблица3[[#This Row],[Текущая дата]]-Продажи[[#This Row],[Дата регистрации клиента]]</f>
        <v>1348</v>
      </c>
      <c r="J169">
        <f ca="1">ROUND((Таблица3[[#This Row],[Текущая дата]] - Продажи[[#This Row],[Дата регистрации клиента]]) / 30, 0)</f>
        <v>45</v>
      </c>
      <c r="K169" t="e">
        <f>LEFT(C169,#REF!- 1)</f>
        <v>#REF!</v>
      </c>
    </row>
    <row r="170" spans="1:11" x14ac:dyDescent="0.3">
      <c r="A170">
        <v>167</v>
      </c>
      <c r="B170" t="s">
        <v>846</v>
      </c>
      <c r="C170" t="s">
        <v>845</v>
      </c>
      <c r="D170" t="s">
        <v>142</v>
      </c>
      <c r="E170" s="32">
        <v>44563</v>
      </c>
      <c r="F170" t="s">
        <v>131</v>
      </c>
      <c r="G170" t="str">
        <f>INDEX('коды стран'!$A$2:$A$6, MATCH(F170, 'коды стран'!$B$2:$B$6, 0))</f>
        <v>Узбекистан</v>
      </c>
      <c r="H170" s="32">
        <f t="shared" ca="1" si="2"/>
        <v>46076</v>
      </c>
      <c r="I170">
        <f ca="1">Таблица3[[#This Row],[Текущая дата]]-Продажи[[#This Row],[Дата регистрации клиента]]</f>
        <v>1249</v>
      </c>
      <c r="J170">
        <f ca="1">ROUND((Таблица3[[#This Row],[Текущая дата]] - Продажи[[#This Row],[Дата регистрации клиента]]) / 30, 0)</f>
        <v>42</v>
      </c>
      <c r="K170" t="e">
        <f>LEFT(C170,#REF!- 1)</f>
        <v>#REF!</v>
      </c>
    </row>
    <row r="171" spans="1:11" x14ac:dyDescent="0.3">
      <c r="A171">
        <v>359</v>
      </c>
      <c r="B171" t="s">
        <v>826</v>
      </c>
      <c r="C171" t="s">
        <v>825</v>
      </c>
      <c r="D171" t="s">
        <v>139</v>
      </c>
      <c r="E171" s="32">
        <v>44584</v>
      </c>
      <c r="F171" t="s">
        <v>135</v>
      </c>
      <c r="G171" t="str">
        <f>INDEX('коды стран'!$A$2:$A$6, MATCH(F171, 'коды стран'!$B$2:$B$6, 0))</f>
        <v>Россия</v>
      </c>
      <c r="H171" s="32">
        <f t="shared" ca="1" si="2"/>
        <v>46076</v>
      </c>
      <c r="I171">
        <f ca="1">Таблица3[[#This Row],[Текущая дата]]-Продажи[[#This Row],[Дата регистрации клиента]]</f>
        <v>1346</v>
      </c>
      <c r="J171">
        <f ca="1">ROUND((Таблица3[[#This Row],[Текущая дата]] - Продажи[[#This Row],[Дата регистрации клиента]]) / 30, 0)</f>
        <v>45</v>
      </c>
      <c r="K171" t="e">
        <f>LEFT(C171,#REF!- 1)</f>
        <v>#REF!</v>
      </c>
    </row>
    <row r="172" spans="1:11" x14ac:dyDescent="0.3">
      <c r="A172">
        <v>126</v>
      </c>
      <c r="B172" t="s">
        <v>820</v>
      </c>
      <c r="C172" t="s">
        <v>819</v>
      </c>
      <c r="D172" t="s">
        <v>142</v>
      </c>
      <c r="E172" s="32">
        <v>44822</v>
      </c>
      <c r="F172" t="s">
        <v>131</v>
      </c>
      <c r="G172" t="str">
        <f>INDEX('коды стран'!$A$2:$A$6, MATCH(F172, 'коды стран'!$B$2:$B$6, 0))</f>
        <v>Узбекистан</v>
      </c>
      <c r="H172" s="32">
        <f t="shared" ca="1" si="2"/>
        <v>46076</v>
      </c>
      <c r="I172">
        <f ca="1">Таблица3[[#This Row],[Текущая дата]]-Продажи[[#This Row],[Дата регистрации клиента]]</f>
        <v>1339</v>
      </c>
      <c r="J172">
        <f ca="1">ROUND((Таблица3[[#This Row],[Текущая дата]] - Продажи[[#This Row],[Дата регистрации клиента]]) / 30, 0)</f>
        <v>45</v>
      </c>
      <c r="K172" t="e">
        <f>LEFT(C172,#REF!- 1)</f>
        <v>#REF!</v>
      </c>
    </row>
    <row r="173" spans="1:11" x14ac:dyDescent="0.3">
      <c r="A173">
        <v>356</v>
      </c>
      <c r="B173" t="s">
        <v>818</v>
      </c>
      <c r="C173" t="s">
        <v>817</v>
      </c>
      <c r="D173" t="s">
        <v>139</v>
      </c>
      <c r="E173" s="32">
        <v>44570</v>
      </c>
      <c r="F173" t="s">
        <v>129</v>
      </c>
      <c r="G173" t="str">
        <f>INDEX('коды стран'!$A$2:$A$6, MATCH(F173, 'коды стран'!$B$2:$B$6, 0))</f>
        <v>Таджикистан</v>
      </c>
      <c r="H173" s="32">
        <f t="shared" ca="1" si="2"/>
        <v>46076</v>
      </c>
      <c r="I173">
        <f ca="1">Таблица3[[#This Row],[Текущая дата]]-Продажи[[#This Row],[Дата регистрации клиента]]</f>
        <v>1159</v>
      </c>
      <c r="J173">
        <f ca="1">ROUND((Таблица3[[#This Row],[Текущая дата]] - Продажи[[#This Row],[Дата регистрации клиента]]) / 30, 0)</f>
        <v>39</v>
      </c>
      <c r="K173" t="e">
        <f>LEFT(C173,#REF!- 1)</f>
        <v>#REF!</v>
      </c>
    </row>
    <row r="174" spans="1:11" x14ac:dyDescent="0.3">
      <c r="A174">
        <v>162</v>
      </c>
      <c r="B174" t="s">
        <v>814</v>
      </c>
      <c r="C174" t="s">
        <v>813</v>
      </c>
      <c r="D174" t="s">
        <v>139</v>
      </c>
      <c r="E174" s="32">
        <v>44639</v>
      </c>
      <c r="F174" t="s">
        <v>129</v>
      </c>
      <c r="G174" t="str">
        <f>INDEX('коды стран'!$A$2:$A$6, MATCH(F174, 'коды стран'!$B$2:$B$6, 0))</f>
        <v>Таджикистан</v>
      </c>
      <c r="H174" s="32">
        <f t="shared" ca="1" si="2"/>
        <v>46076</v>
      </c>
      <c r="I174">
        <f ca="1">Таблица3[[#This Row],[Текущая дата]]-Продажи[[#This Row],[Дата регистрации клиента]]</f>
        <v>1186</v>
      </c>
      <c r="J174">
        <f ca="1">ROUND((Таблица3[[#This Row],[Текущая дата]] - Продажи[[#This Row],[Дата регистрации клиента]]) / 30, 0)</f>
        <v>40</v>
      </c>
      <c r="K174" t="e">
        <f>LEFT(C174,#REF!- 1)</f>
        <v>#REF!</v>
      </c>
    </row>
    <row r="175" spans="1:11" x14ac:dyDescent="0.3">
      <c r="A175">
        <v>114</v>
      </c>
      <c r="B175" t="s">
        <v>782</v>
      </c>
      <c r="C175" t="s">
        <v>781</v>
      </c>
      <c r="D175" t="s">
        <v>142</v>
      </c>
      <c r="E175" s="32">
        <v>44889</v>
      </c>
      <c r="F175" t="s">
        <v>135</v>
      </c>
      <c r="G175" t="str">
        <f>INDEX('коды стран'!$A$2:$A$6, MATCH(F175, 'коды стран'!$B$2:$B$6, 0))</f>
        <v>Россия</v>
      </c>
      <c r="H175" s="32">
        <f t="shared" ca="1" si="2"/>
        <v>46076</v>
      </c>
      <c r="I175">
        <f ca="1">Таблица3[[#This Row],[Текущая дата]]-Продажи[[#This Row],[Дата регистрации клиента]]</f>
        <v>1440</v>
      </c>
      <c r="J175">
        <f ca="1">ROUND((Таблица3[[#This Row],[Текущая дата]] - Продажи[[#This Row],[Дата регистрации клиента]]) / 30, 0)</f>
        <v>48</v>
      </c>
      <c r="K175" t="e">
        <f>LEFT(C175,#REF!- 1)</f>
        <v>#REF!</v>
      </c>
    </row>
    <row r="176" spans="1:11" x14ac:dyDescent="0.3">
      <c r="A176">
        <v>388</v>
      </c>
      <c r="B176" t="s">
        <v>766</v>
      </c>
      <c r="C176" t="s">
        <v>765</v>
      </c>
      <c r="D176" t="s">
        <v>142</v>
      </c>
      <c r="E176" s="32">
        <v>44581</v>
      </c>
      <c r="F176" t="s">
        <v>135</v>
      </c>
      <c r="G176" t="str">
        <f>INDEX('коды стран'!$A$2:$A$6, MATCH(F176, 'коды стран'!$B$2:$B$6, 0))</f>
        <v>Россия</v>
      </c>
      <c r="H176" s="32">
        <f t="shared" ca="1" si="2"/>
        <v>46076</v>
      </c>
      <c r="I176">
        <f ca="1">Таблица3[[#This Row],[Текущая дата]]-Продажи[[#This Row],[Дата регистрации клиента]]</f>
        <v>1245</v>
      </c>
      <c r="J176">
        <f ca="1">ROUND((Таблица3[[#This Row],[Текущая дата]] - Продажи[[#This Row],[Дата регистрации клиента]]) / 30, 0)</f>
        <v>42</v>
      </c>
      <c r="K176" t="e">
        <f>LEFT(C176,#REF!- 1)</f>
        <v>#REF!</v>
      </c>
    </row>
    <row r="177" spans="1:11" x14ac:dyDescent="0.3">
      <c r="A177">
        <v>153</v>
      </c>
      <c r="B177" t="s">
        <v>734</v>
      </c>
      <c r="C177" t="s">
        <v>733</v>
      </c>
      <c r="D177" t="s">
        <v>139</v>
      </c>
      <c r="E177" s="32">
        <v>44802</v>
      </c>
      <c r="F177" t="s">
        <v>135</v>
      </c>
      <c r="G177" t="str">
        <f>INDEX('коды стран'!$A$2:$A$6, MATCH(F177, 'коды стран'!$B$2:$B$6, 0))</f>
        <v>Россия</v>
      </c>
      <c r="H177" s="32">
        <f t="shared" ca="1" si="2"/>
        <v>46076</v>
      </c>
      <c r="I177">
        <f ca="1">Таблица3[[#This Row],[Текущая дата]]-Продажи[[#This Row],[Дата регистрации клиента]]</f>
        <v>1305</v>
      </c>
      <c r="J177">
        <f ca="1">ROUND((Таблица3[[#This Row],[Текущая дата]] - Продажи[[#This Row],[Дата регистрации клиента]]) / 30, 0)</f>
        <v>44</v>
      </c>
      <c r="K177" t="e">
        <f>LEFT(C177,#REF!- 1)</f>
        <v>#REF!</v>
      </c>
    </row>
    <row r="178" spans="1:11" x14ac:dyDescent="0.3">
      <c r="A178">
        <v>202</v>
      </c>
      <c r="B178" t="s">
        <v>724</v>
      </c>
      <c r="C178" t="s">
        <v>723</v>
      </c>
      <c r="D178" t="s">
        <v>139</v>
      </c>
      <c r="E178" s="32">
        <v>44766</v>
      </c>
      <c r="F178" t="s">
        <v>133</v>
      </c>
      <c r="G178" t="str">
        <f>INDEX('коды стран'!$A$2:$A$6, MATCH(F178, 'коды стран'!$B$2:$B$6, 0))</f>
        <v>Беларусь</v>
      </c>
      <c r="H178" s="32">
        <f t="shared" ca="1" si="2"/>
        <v>46076</v>
      </c>
      <c r="I178">
        <f ca="1">Таблица3[[#This Row],[Текущая дата]]-Продажи[[#This Row],[Дата регистрации клиента]]</f>
        <v>1375</v>
      </c>
      <c r="J178">
        <f ca="1">ROUND((Таблица3[[#This Row],[Текущая дата]] - Продажи[[#This Row],[Дата регистрации клиента]]) / 30, 0)</f>
        <v>46</v>
      </c>
      <c r="K178" t="e">
        <f>LEFT(C178,#REF!- 1)</f>
        <v>#REF!</v>
      </c>
    </row>
    <row r="179" spans="1:11" x14ac:dyDescent="0.3">
      <c r="A179">
        <v>255</v>
      </c>
      <c r="B179" t="s">
        <v>688</v>
      </c>
      <c r="C179" t="s">
        <v>687</v>
      </c>
      <c r="D179" t="s">
        <v>142</v>
      </c>
      <c r="E179" s="32">
        <v>44793</v>
      </c>
      <c r="F179" t="s">
        <v>127</v>
      </c>
      <c r="G179" t="str">
        <f>INDEX('коды стран'!$A$2:$A$6, MATCH(F179, 'коды стран'!$B$2:$B$6, 0))</f>
        <v>Украина</v>
      </c>
      <c r="H179" s="32">
        <f t="shared" ca="1" si="2"/>
        <v>46076</v>
      </c>
      <c r="I179">
        <f ca="1">Таблица3[[#This Row],[Текущая дата]]-Продажи[[#This Row],[Дата регистрации клиента]]</f>
        <v>1373</v>
      </c>
      <c r="J179">
        <f ca="1">ROUND((Таблица3[[#This Row],[Текущая дата]] - Продажи[[#This Row],[Дата регистрации клиента]]) / 30, 0)</f>
        <v>46</v>
      </c>
      <c r="K179" t="e">
        <f>LEFT(C179,#REF!- 1)</f>
        <v>#REF!</v>
      </c>
    </row>
    <row r="180" spans="1:11" x14ac:dyDescent="0.3">
      <c r="A180">
        <v>259</v>
      </c>
      <c r="B180" t="s">
        <v>676</v>
      </c>
      <c r="C180" t="s">
        <v>675</v>
      </c>
      <c r="D180" t="s">
        <v>142</v>
      </c>
      <c r="E180" s="32">
        <v>44707</v>
      </c>
      <c r="F180" t="s">
        <v>133</v>
      </c>
      <c r="G180" t="str">
        <f>INDEX('коды стран'!$A$2:$A$6, MATCH(F180, 'коды стран'!$B$2:$B$6, 0))</f>
        <v>Беларусь</v>
      </c>
      <c r="H180" s="32">
        <f t="shared" ca="1" si="2"/>
        <v>46076</v>
      </c>
      <c r="I180">
        <f ca="1">Таблица3[[#This Row],[Текущая дата]]-Продажи[[#This Row],[Дата регистрации клиента]]</f>
        <v>1274</v>
      </c>
      <c r="J180">
        <f ca="1">ROUND((Таблица3[[#This Row],[Текущая дата]] - Продажи[[#This Row],[Дата регистрации клиента]]) / 30, 0)</f>
        <v>42</v>
      </c>
      <c r="K180" t="e">
        <f>LEFT(C180,#REF!- 1)</f>
        <v>#REF!</v>
      </c>
    </row>
    <row r="181" spans="1:11" x14ac:dyDescent="0.3">
      <c r="A181">
        <v>62</v>
      </c>
      <c r="B181" t="s">
        <v>658</v>
      </c>
      <c r="C181" t="s">
        <v>657</v>
      </c>
      <c r="D181" t="s">
        <v>139</v>
      </c>
      <c r="E181" s="32">
        <v>44671</v>
      </c>
      <c r="F181" t="s">
        <v>135</v>
      </c>
      <c r="G181" t="str">
        <f>INDEX('коды стран'!$A$2:$A$6, MATCH(F181, 'коды стран'!$B$2:$B$6, 0))</f>
        <v>Россия</v>
      </c>
      <c r="H181" s="32">
        <f t="shared" ca="1" si="2"/>
        <v>46076</v>
      </c>
      <c r="I181">
        <f ca="1">Таблица3[[#This Row],[Текущая дата]]-Продажи[[#This Row],[Дата регистрации клиента]]</f>
        <v>1183</v>
      </c>
      <c r="J181">
        <f ca="1">ROUND((Таблица3[[#This Row],[Текущая дата]] - Продажи[[#This Row],[Дата регистрации клиента]]) / 30, 0)</f>
        <v>39</v>
      </c>
      <c r="K181" t="e">
        <f>LEFT(C181,#REF!- 1)</f>
        <v>#REF!</v>
      </c>
    </row>
    <row r="182" spans="1:11" x14ac:dyDescent="0.3">
      <c r="A182">
        <v>478</v>
      </c>
      <c r="B182" t="s">
        <v>642</v>
      </c>
      <c r="C182" t="s">
        <v>641</v>
      </c>
      <c r="D182" t="s">
        <v>139</v>
      </c>
      <c r="E182" s="32">
        <v>44726</v>
      </c>
      <c r="F182" t="s">
        <v>127</v>
      </c>
      <c r="G182" t="str">
        <f>INDEX('коды стран'!$A$2:$A$6, MATCH(F182, 'коды стран'!$B$2:$B$6, 0))</f>
        <v>Украина</v>
      </c>
      <c r="H182" s="32">
        <f t="shared" ca="1" si="2"/>
        <v>46076</v>
      </c>
      <c r="I182">
        <f ca="1">Таблица3[[#This Row],[Текущая дата]]-Продажи[[#This Row],[Дата регистрации клиента]]</f>
        <v>1219</v>
      </c>
      <c r="J182">
        <f ca="1">ROUND((Таблица3[[#This Row],[Текущая дата]] - Продажи[[#This Row],[Дата регистрации клиента]]) / 30, 0)</f>
        <v>41</v>
      </c>
      <c r="K182" t="e">
        <f>LEFT(C182,#REF!- 1)</f>
        <v>#REF!</v>
      </c>
    </row>
    <row r="183" spans="1:11" x14ac:dyDescent="0.3">
      <c r="A183">
        <v>405</v>
      </c>
      <c r="B183" t="s">
        <v>622</v>
      </c>
      <c r="C183" t="s">
        <v>621</v>
      </c>
      <c r="D183" t="s">
        <v>139</v>
      </c>
      <c r="E183" s="32">
        <v>44798</v>
      </c>
      <c r="F183" t="s">
        <v>127</v>
      </c>
      <c r="G183" t="str">
        <f>INDEX('коды стран'!$A$2:$A$6, MATCH(F183, 'коды стран'!$B$2:$B$6, 0))</f>
        <v>Украина</v>
      </c>
      <c r="H183" s="32">
        <f t="shared" ca="1" si="2"/>
        <v>46076</v>
      </c>
      <c r="I183">
        <f ca="1">Таблица3[[#This Row],[Текущая дата]]-Продажи[[#This Row],[Дата регистрации клиента]]</f>
        <v>1460</v>
      </c>
      <c r="J183">
        <f ca="1">ROUND((Таблица3[[#This Row],[Текущая дата]] - Продажи[[#This Row],[Дата регистрации клиента]]) / 30, 0)</f>
        <v>49</v>
      </c>
      <c r="K183" t="e">
        <f>LEFT(C183,#REF!- 1)</f>
        <v>#REF!</v>
      </c>
    </row>
    <row r="184" spans="1:11" x14ac:dyDescent="0.3">
      <c r="A184">
        <v>51</v>
      </c>
      <c r="B184" t="s">
        <v>612</v>
      </c>
      <c r="C184" t="s">
        <v>611</v>
      </c>
      <c r="D184" t="s">
        <v>139</v>
      </c>
      <c r="E184" s="32">
        <v>44605</v>
      </c>
      <c r="F184" t="s">
        <v>131</v>
      </c>
      <c r="G184" t="str">
        <f>INDEX('коды стран'!$A$2:$A$6, MATCH(F184, 'коды стран'!$B$2:$B$6, 0))</f>
        <v>Узбекистан</v>
      </c>
      <c r="H184" s="32">
        <f t="shared" ca="1" si="2"/>
        <v>46076</v>
      </c>
      <c r="I184">
        <f ca="1">Таблица3[[#This Row],[Текущая дата]]-Продажи[[#This Row],[Дата регистрации клиента]]</f>
        <v>1492</v>
      </c>
      <c r="J184">
        <f ca="1">ROUND((Таблица3[[#This Row],[Текущая дата]] - Продажи[[#This Row],[Дата регистрации клиента]]) / 30, 0)</f>
        <v>50</v>
      </c>
      <c r="K184" t="e">
        <f>LEFT(C184,#REF!- 1)</f>
        <v>#REF!</v>
      </c>
    </row>
    <row r="185" spans="1:11" x14ac:dyDescent="0.3">
      <c r="A185">
        <v>9</v>
      </c>
      <c r="B185" t="s">
        <v>610</v>
      </c>
      <c r="C185" t="s">
        <v>609</v>
      </c>
      <c r="D185" t="s">
        <v>142</v>
      </c>
      <c r="E185" s="32">
        <v>44900</v>
      </c>
      <c r="F185" t="s">
        <v>129</v>
      </c>
      <c r="G185" t="str">
        <f>INDEX('коды стран'!$A$2:$A$6, MATCH(F185, 'коды стран'!$B$2:$B$6, 0))</f>
        <v>Таджикистан</v>
      </c>
      <c r="H185" s="32">
        <f t="shared" ca="1" si="2"/>
        <v>46076</v>
      </c>
      <c r="I185">
        <f ca="1">Таблица3[[#This Row],[Текущая дата]]-Продажи[[#This Row],[Дата регистрации клиента]]</f>
        <v>1323</v>
      </c>
      <c r="J185">
        <f ca="1">ROUND((Таблица3[[#This Row],[Текущая дата]] - Продажи[[#This Row],[Дата регистрации клиента]]) / 30, 0)</f>
        <v>44</v>
      </c>
      <c r="K185" t="e">
        <f>LEFT(C185,#REF!- 1)</f>
        <v>#REF!</v>
      </c>
    </row>
    <row r="186" spans="1:11" x14ac:dyDescent="0.3">
      <c r="A186">
        <v>110</v>
      </c>
      <c r="B186" t="s">
        <v>606</v>
      </c>
      <c r="C186" t="s">
        <v>605</v>
      </c>
      <c r="D186" t="s">
        <v>139</v>
      </c>
      <c r="E186" s="32">
        <v>44580</v>
      </c>
      <c r="F186" t="s">
        <v>131</v>
      </c>
      <c r="G186" t="str">
        <f>INDEX('коды стран'!$A$2:$A$6, MATCH(F186, 'коды стран'!$B$2:$B$6, 0))</f>
        <v>Узбекистан</v>
      </c>
      <c r="H186" s="32">
        <f t="shared" ca="1" si="2"/>
        <v>46076</v>
      </c>
      <c r="I186">
        <f ca="1">Таблица3[[#This Row],[Текущая дата]]-Продажи[[#This Row],[Дата регистрации клиента]]</f>
        <v>1390</v>
      </c>
      <c r="J186">
        <f ca="1">ROUND((Таблица3[[#This Row],[Текущая дата]] - Продажи[[#This Row],[Дата регистрации клиента]]) / 30, 0)</f>
        <v>46</v>
      </c>
      <c r="K186" t="e">
        <f>LEFT(C186,#REF!- 1)</f>
        <v>#REF!</v>
      </c>
    </row>
    <row r="187" spans="1:11" x14ac:dyDescent="0.3">
      <c r="A187">
        <v>302</v>
      </c>
      <c r="B187" t="s">
        <v>588</v>
      </c>
      <c r="C187" t="s">
        <v>587</v>
      </c>
      <c r="D187" t="s">
        <v>139</v>
      </c>
      <c r="E187" s="32">
        <v>44859</v>
      </c>
      <c r="F187" t="s">
        <v>135</v>
      </c>
      <c r="G187" t="str">
        <f>INDEX('коды стран'!$A$2:$A$6, MATCH(F187, 'коды стран'!$B$2:$B$6, 0))</f>
        <v>Россия</v>
      </c>
      <c r="H187" s="32">
        <f t="shared" ca="1" si="2"/>
        <v>46076</v>
      </c>
      <c r="I187">
        <f ca="1">Таблица3[[#This Row],[Текущая дата]]-Продажи[[#This Row],[Дата регистрации клиента]]</f>
        <v>1508</v>
      </c>
      <c r="J187">
        <f ca="1">ROUND((Таблица3[[#This Row],[Текущая дата]] - Продажи[[#This Row],[Дата регистрации клиента]]) / 30, 0)</f>
        <v>50</v>
      </c>
      <c r="K187" t="e">
        <f>LEFT(C187,#REF!- 1)</f>
        <v>#REF!</v>
      </c>
    </row>
    <row r="188" spans="1:11" x14ac:dyDescent="0.3">
      <c r="A188">
        <v>1</v>
      </c>
      <c r="B188" t="s">
        <v>566</v>
      </c>
      <c r="C188" t="s">
        <v>565</v>
      </c>
      <c r="D188" t="s">
        <v>142</v>
      </c>
      <c r="E188" s="32">
        <v>44585</v>
      </c>
      <c r="F188" t="s">
        <v>135</v>
      </c>
      <c r="G188" t="str">
        <f>INDEX('коды стран'!$A$2:$A$6, MATCH(F188, 'коды стран'!$B$2:$B$6, 0))</f>
        <v>Россия</v>
      </c>
      <c r="H188" s="32">
        <f t="shared" ca="1" si="2"/>
        <v>46076</v>
      </c>
      <c r="I188">
        <f ca="1">Таблица3[[#This Row],[Текущая дата]]-Продажи[[#This Row],[Дата регистрации клиента]]</f>
        <v>1201</v>
      </c>
      <c r="J188">
        <f ca="1">ROUND((Таблица3[[#This Row],[Текущая дата]] - Продажи[[#This Row],[Дата регистрации клиента]]) / 30, 0)</f>
        <v>40</v>
      </c>
      <c r="K188" t="e">
        <f>LEFT(C188,#REF!- 1)</f>
        <v>#REF!</v>
      </c>
    </row>
    <row r="189" spans="1:11" x14ac:dyDescent="0.3">
      <c r="A189">
        <v>109</v>
      </c>
      <c r="B189" t="s">
        <v>530</v>
      </c>
      <c r="C189" t="s">
        <v>529</v>
      </c>
      <c r="D189" t="s">
        <v>142</v>
      </c>
      <c r="E189" s="32">
        <v>44732</v>
      </c>
      <c r="F189" t="s">
        <v>127</v>
      </c>
      <c r="G189" t="str">
        <f>INDEX('коды стран'!$A$2:$A$6, MATCH(F189, 'коды стран'!$B$2:$B$6, 0))</f>
        <v>Украина</v>
      </c>
      <c r="H189" s="32">
        <f t="shared" ca="1" si="2"/>
        <v>46076</v>
      </c>
      <c r="I189">
        <f ca="1">Таблица3[[#This Row],[Текущая дата]]-Продажи[[#This Row],[Дата регистрации клиента]]</f>
        <v>1218</v>
      </c>
      <c r="J189">
        <f ca="1">ROUND((Таблица3[[#This Row],[Текущая дата]] - Продажи[[#This Row],[Дата регистрации клиента]]) / 30, 0)</f>
        <v>41</v>
      </c>
      <c r="K189" t="e">
        <f>LEFT(C189,#REF!- 1)</f>
        <v>#REF!</v>
      </c>
    </row>
    <row r="190" spans="1:11" x14ac:dyDescent="0.3">
      <c r="A190">
        <v>157</v>
      </c>
      <c r="B190" t="s">
        <v>510</v>
      </c>
      <c r="C190" t="s">
        <v>509</v>
      </c>
      <c r="D190" t="s">
        <v>139</v>
      </c>
      <c r="E190" s="32">
        <v>44783</v>
      </c>
      <c r="F190" t="s">
        <v>135</v>
      </c>
      <c r="G190" t="str">
        <f>INDEX('коды стран'!$A$2:$A$6, MATCH(F190, 'коды стран'!$B$2:$B$6, 0))</f>
        <v>Россия</v>
      </c>
      <c r="H190" s="32">
        <f t="shared" ca="1" si="2"/>
        <v>46076</v>
      </c>
      <c r="I190">
        <f ca="1">Таблица3[[#This Row],[Текущая дата]]-Продажи[[#This Row],[Дата регистрации клиента]]</f>
        <v>1453</v>
      </c>
      <c r="J190">
        <f ca="1">ROUND((Таблица3[[#This Row],[Текущая дата]] - Продажи[[#This Row],[Дата регистрации клиента]]) / 30, 0)</f>
        <v>48</v>
      </c>
      <c r="K190" t="e">
        <f>LEFT(C190,#REF!- 1)</f>
        <v>#REF!</v>
      </c>
    </row>
    <row r="191" spans="1:11" x14ac:dyDescent="0.3">
      <c r="A191">
        <v>479</v>
      </c>
      <c r="B191" t="s">
        <v>506</v>
      </c>
      <c r="C191" t="s">
        <v>505</v>
      </c>
      <c r="D191" t="s">
        <v>142</v>
      </c>
      <c r="E191" s="32">
        <v>44793</v>
      </c>
      <c r="F191" t="s">
        <v>135</v>
      </c>
      <c r="G191" t="str">
        <f>INDEX('коды стран'!$A$2:$A$6, MATCH(F191, 'коды стран'!$B$2:$B$6, 0))</f>
        <v>Россия</v>
      </c>
      <c r="H191" s="32">
        <f t="shared" ca="1" si="2"/>
        <v>46076</v>
      </c>
      <c r="I191">
        <f ca="1">Таблица3[[#This Row],[Текущая дата]]-Продажи[[#This Row],[Дата регистрации клиента]]</f>
        <v>1440</v>
      </c>
      <c r="J191">
        <f ca="1">ROUND((Таблица3[[#This Row],[Текущая дата]] - Продажи[[#This Row],[Дата регистрации клиента]]) / 30, 0)</f>
        <v>48</v>
      </c>
      <c r="K191" t="e">
        <f>LEFT(C191,#REF!- 1)</f>
        <v>#REF!</v>
      </c>
    </row>
    <row r="192" spans="1:11" x14ac:dyDescent="0.3">
      <c r="A192">
        <v>233</v>
      </c>
      <c r="B192" t="s">
        <v>458</v>
      </c>
      <c r="C192" t="s">
        <v>457</v>
      </c>
      <c r="D192" t="s">
        <v>142</v>
      </c>
      <c r="E192" s="32">
        <v>44616</v>
      </c>
      <c r="F192" t="s">
        <v>129</v>
      </c>
      <c r="G192" t="str">
        <f>INDEX('коды стран'!$A$2:$A$6, MATCH(F192, 'коды стран'!$B$2:$B$6, 0))</f>
        <v>Таджикистан</v>
      </c>
      <c r="H192" s="32">
        <f t="shared" ca="1" si="2"/>
        <v>46076</v>
      </c>
      <c r="I192">
        <f ca="1">Таблица3[[#This Row],[Текущая дата]]-Продажи[[#This Row],[Дата регистрации клиента]]</f>
        <v>1481</v>
      </c>
      <c r="J192">
        <f ca="1">ROUND((Таблица3[[#This Row],[Текущая дата]] - Продажи[[#This Row],[Дата регистрации клиента]]) / 30, 0)</f>
        <v>49</v>
      </c>
      <c r="K192" t="e">
        <f>LEFT(C192,#REF!- 1)</f>
        <v>#REF!</v>
      </c>
    </row>
    <row r="193" spans="1:11" x14ac:dyDescent="0.3">
      <c r="A193">
        <v>367</v>
      </c>
      <c r="B193" t="s">
        <v>420</v>
      </c>
      <c r="C193" t="s">
        <v>419</v>
      </c>
      <c r="D193" t="s">
        <v>139</v>
      </c>
      <c r="E193" s="32">
        <v>44867</v>
      </c>
      <c r="F193" t="s">
        <v>129</v>
      </c>
      <c r="G193" t="str">
        <f>INDEX('коды стран'!$A$2:$A$6, MATCH(F193, 'коды стран'!$B$2:$B$6, 0))</f>
        <v>Таджикистан</v>
      </c>
      <c r="H193" s="32">
        <f t="shared" ca="1" si="2"/>
        <v>46076</v>
      </c>
      <c r="I193">
        <f ca="1">Таблица3[[#This Row],[Текущая дата]]-Продажи[[#This Row],[Дата регистрации клиента]]</f>
        <v>1283</v>
      </c>
      <c r="J193">
        <f ca="1">ROUND((Таблица3[[#This Row],[Текущая дата]] - Продажи[[#This Row],[Дата регистрации клиента]]) / 30, 0)</f>
        <v>43</v>
      </c>
      <c r="K193" t="e">
        <f>LEFT(C193,#REF!- 1)</f>
        <v>#REF!</v>
      </c>
    </row>
    <row r="194" spans="1:11" x14ac:dyDescent="0.3">
      <c r="A194">
        <v>17</v>
      </c>
      <c r="B194" t="s">
        <v>376</v>
      </c>
      <c r="C194" t="s">
        <v>375</v>
      </c>
      <c r="D194" t="s">
        <v>139</v>
      </c>
      <c r="E194" s="32">
        <v>44877</v>
      </c>
      <c r="F194" t="s">
        <v>129</v>
      </c>
      <c r="G194" t="str">
        <f>INDEX('коды стран'!$A$2:$A$6, MATCH(F194, 'коды стран'!$B$2:$B$6, 0))</f>
        <v>Таджикистан</v>
      </c>
      <c r="H194" s="32">
        <f t="shared" ref="H194:H257" ca="1" si="3">TODAY()</f>
        <v>46076</v>
      </c>
      <c r="I194">
        <f ca="1">Таблица3[[#This Row],[Текущая дата]]-Продажи[[#This Row],[Дата регистрации клиента]]</f>
        <v>1293</v>
      </c>
      <c r="J194">
        <f ca="1">ROUND((Таблица3[[#This Row],[Текущая дата]] - Продажи[[#This Row],[Дата регистрации клиента]]) / 30, 0)</f>
        <v>43</v>
      </c>
      <c r="K194" t="e">
        <f>LEFT(C194,#REF!- 1)</f>
        <v>#REF!</v>
      </c>
    </row>
    <row r="195" spans="1:11" x14ac:dyDescent="0.3">
      <c r="A195">
        <v>444</v>
      </c>
      <c r="B195" t="s">
        <v>342</v>
      </c>
      <c r="C195" t="s">
        <v>341</v>
      </c>
      <c r="D195" t="s">
        <v>142</v>
      </c>
      <c r="E195" s="32">
        <v>44688</v>
      </c>
      <c r="F195" t="s">
        <v>135</v>
      </c>
      <c r="G195" t="str">
        <f>INDEX('коды стран'!$A$2:$A$6, MATCH(F195, 'коды стран'!$B$2:$B$6, 0))</f>
        <v>Россия</v>
      </c>
      <c r="H195" s="32">
        <f t="shared" ca="1" si="3"/>
        <v>46076</v>
      </c>
      <c r="I195">
        <f ca="1">Таблица3[[#This Row],[Текущая дата]]-Продажи[[#This Row],[Дата регистрации клиента]]</f>
        <v>1323</v>
      </c>
      <c r="J195">
        <f ca="1">ROUND((Таблица3[[#This Row],[Текущая дата]] - Продажи[[#This Row],[Дата регистрации клиента]]) / 30, 0)</f>
        <v>44</v>
      </c>
      <c r="K195" t="e">
        <f>LEFT(C195,#REF!- 1)</f>
        <v>#REF!</v>
      </c>
    </row>
    <row r="196" spans="1:11" x14ac:dyDescent="0.3">
      <c r="A196">
        <v>214</v>
      </c>
      <c r="B196" t="s">
        <v>328</v>
      </c>
      <c r="C196" t="s">
        <v>327</v>
      </c>
      <c r="D196" t="s">
        <v>142</v>
      </c>
      <c r="E196" s="32">
        <v>44601</v>
      </c>
      <c r="F196" t="s">
        <v>135</v>
      </c>
      <c r="G196" t="str">
        <f>INDEX('коды стран'!$A$2:$A$6, MATCH(F196, 'коды стран'!$B$2:$B$6, 0))</f>
        <v>Россия</v>
      </c>
      <c r="H196" s="32">
        <f t="shared" ca="1" si="3"/>
        <v>46076</v>
      </c>
      <c r="I196">
        <f ca="1">Таблица3[[#This Row],[Текущая дата]]-Продажи[[#This Row],[Дата регистрации клиента]]</f>
        <v>1393</v>
      </c>
      <c r="J196">
        <f ca="1">ROUND((Таблица3[[#This Row],[Текущая дата]] - Продажи[[#This Row],[Дата регистрации клиента]]) / 30, 0)</f>
        <v>46</v>
      </c>
      <c r="K196" t="e">
        <f>LEFT(C196,#REF!- 1)</f>
        <v>#REF!</v>
      </c>
    </row>
    <row r="197" spans="1:11" x14ac:dyDescent="0.3">
      <c r="A197">
        <v>466</v>
      </c>
      <c r="B197" t="s">
        <v>316</v>
      </c>
      <c r="C197" t="s">
        <v>315</v>
      </c>
      <c r="D197" t="s">
        <v>142</v>
      </c>
      <c r="E197" s="32">
        <v>44772</v>
      </c>
      <c r="F197" t="s">
        <v>133</v>
      </c>
      <c r="G197" t="str">
        <f>INDEX('коды стран'!$A$2:$A$6, MATCH(F197, 'коды стран'!$B$2:$B$6, 0))</f>
        <v>Беларусь</v>
      </c>
      <c r="H197" s="32">
        <f t="shared" ca="1" si="3"/>
        <v>46076</v>
      </c>
      <c r="I197">
        <f ca="1">Таблица3[[#This Row],[Текущая дата]]-Продажи[[#This Row],[Дата регистрации клиента]]</f>
        <v>1511</v>
      </c>
      <c r="J197">
        <f ca="1">ROUND((Таблица3[[#This Row],[Текущая дата]] - Продажи[[#This Row],[Дата регистрации клиента]]) / 30, 0)</f>
        <v>50</v>
      </c>
      <c r="K197" t="e">
        <f>LEFT(C197,#REF!- 1)</f>
        <v>#REF!</v>
      </c>
    </row>
    <row r="198" spans="1:11" x14ac:dyDescent="0.3">
      <c r="A198">
        <v>199</v>
      </c>
      <c r="B198" t="s">
        <v>312</v>
      </c>
      <c r="C198" t="s">
        <v>311</v>
      </c>
      <c r="D198" t="s">
        <v>142</v>
      </c>
      <c r="E198" s="32">
        <v>44715</v>
      </c>
      <c r="F198" t="s">
        <v>131</v>
      </c>
      <c r="G198" t="str">
        <f>INDEX('коды стран'!$A$2:$A$6, MATCH(F198, 'коды стран'!$B$2:$B$6, 0))</f>
        <v>Узбекистан</v>
      </c>
      <c r="H198" s="32">
        <f t="shared" ca="1" si="3"/>
        <v>46076</v>
      </c>
      <c r="I198">
        <f ca="1">Таблица3[[#This Row],[Текущая дата]]-Продажи[[#This Row],[Дата регистрации клиента]]</f>
        <v>1469</v>
      </c>
      <c r="J198">
        <f ca="1">ROUND((Таблица3[[#This Row],[Текущая дата]] - Продажи[[#This Row],[Дата регистрации клиента]]) / 30, 0)</f>
        <v>49</v>
      </c>
      <c r="K198" t="e">
        <f>LEFT(C198,#REF!- 1)</f>
        <v>#REF!</v>
      </c>
    </row>
    <row r="199" spans="1:11" x14ac:dyDescent="0.3">
      <c r="A199">
        <v>197</v>
      </c>
      <c r="B199" t="s">
        <v>284</v>
      </c>
      <c r="C199" t="s">
        <v>283</v>
      </c>
      <c r="D199" t="s">
        <v>139</v>
      </c>
      <c r="E199" s="32">
        <v>44785</v>
      </c>
      <c r="F199" t="s">
        <v>127</v>
      </c>
      <c r="G199" t="str">
        <f>INDEX('коды стран'!$A$2:$A$6, MATCH(F199, 'коды стран'!$B$2:$B$6, 0))</f>
        <v>Украина</v>
      </c>
      <c r="H199" s="32">
        <f t="shared" ca="1" si="3"/>
        <v>46076</v>
      </c>
      <c r="I199">
        <f ca="1">Таблица3[[#This Row],[Текущая дата]]-Продажи[[#This Row],[Дата регистрации клиента]]</f>
        <v>1281</v>
      </c>
      <c r="J199">
        <f ca="1">ROUND((Таблица3[[#This Row],[Текущая дата]] - Продажи[[#This Row],[Дата регистрации клиента]]) / 30, 0)</f>
        <v>43</v>
      </c>
      <c r="K199" t="e">
        <f>LEFT(C199,#REF!- 1)</f>
        <v>#REF!</v>
      </c>
    </row>
    <row r="200" spans="1:11" x14ac:dyDescent="0.3">
      <c r="A200">
        <v>242</v>
      </c>
      <c r="B200" t="s">
        <v>278</v>
      </c>
      <c r="C200" t="s">
        <v>277</v>
      </c>
      <c r="D200" t="s">
        <v>139</v>
      </c>
      <c r="E200" s="32">
        <v>44747</v>
      </c>
      <c r="F200" t="s">
        <v>135</v>
      </c>
      <c r="G200" t="str">
        <f>INDEX('коды стран'!$A$2:$A$6, MATCH(F200, 'коды стран'!$B$2:$B$6, 0))</f>
        <v>Россия</v>
      </c>
      <c r="H200" s="32">
        <f t="shared" ca="1" si="3"/>
        <v>46076</v>
      </c>
      <c r="I200">
        <f ca="1">Таблица3[[#This Row],[Текущая дата]]-Продажи[[#This Row],[Дата регистрации клиента]]</f>
        <v>1320</v>
      </c>
      <c r="J200">
        <f ca="1">ROUND((Таблица3[[#This Row],[Текущая дата]] - Продажи[[#This Row],[Дата регистрации клиента]]) / 30, 0)</f>
        <v>44</v>
      </c>
      <c r="K200" t="e">
        <f>LEFT(C200,#REF!- 1)</f>
        <v>#REF!</v>
      </c>
    </row>
    <row r="201" spans="1:11" x14ac:dyDescent="0.3">
      <c r="A201">
        <v>79</v>
      </c>
      <c r="B201" t="s">
        <v>276</v>
      </c>
      <c r="C201" t="s">
        <v>275</v>
      </c>
      <c r="D201" t="s">
        <v>139</v>
      </c>
      <c r="E201" s="32">
        <v>44716</v>
      </c>
      <c r="F201" t="s">
        <v>129</v>
      </c>
      <c r="G201" t="str">
        <f>INDEX('коды стран'!$A$2:$A$6, MATCH(F201, 'коды стран'!$B$2:$B$6, 0))</f>
        <v>Таджикистан</v>
      </c>
      <c r="H201" s="32">
        <f t="shared" ca="1" si="3"/>
        <v>46076</v>
      </c>
      <c r="I201">
        <f ca="1">Таблица3[[#This Row],[Текущая дата]]-Продажи[[#This Row],[Дата регистрации клиента]]</f>
        <v>1306</v>
      </c>
      <c r="J201">
        <f ca="1">ROUND((Таблица3[[#This Row],[Текущая дата]] - Продажи[[#This Row],[Дата регистрации клиента]]) / 30, 0)</f>
        <v>44</v>
      </c>
      <c r="K201" t="e">
        <f>LEFT(C201,#REF!- 1)</f>
        <v>#REF!</v>
      </c>
    </row>
    <row r="202" spans="1:11" x14ac:dyDescent="0.3">
      <c r="A202">
        <v>83</v>
      </c>
      <c r="B202" t="s">
        <v>264</v>
      </c>
      <c r="C202" t="s">
        <v>263</v>
      </c>
      <c r="D202" t="s">
        <v>142</v>
      </c>
      <c r="E202" s="32">
        <v>44739</v>
      </c>
      <c r="F202" t="s">
        <v>129</v>
      </c>
      <c r="G202" t="str">
        <f>INDEX('коды стран'!$A$2:$A$6, MATCH(F202, 'коды стран'!$B$2:$B$6, 0))</f>
        <v>Таджикистан</v>
      </c>
      <c r="H202" s="32">
        <f t="shared" ca="1" si="3"/>
        <v>46076</v>
      </c>
      <c r="I202">
        <f ca="1">Таблица3[[#This Row],[Текущая дата]]-Продажи[[#This Row],[Дата регистрации клиента]]</f>
        <v>1383</v>
      </c>
      <c r="J202">
        <f ca="1">ROUND((Таблица3[[#This Row],[Текущая дата]] - Продажи[[#This Row],[Дата регистрации клиента]]) / 30, 0)</f>
        <v>46</v>
      </c>
      <c r="K202" t="e">
        <f>LEFT(C202,#REF!- 1)</f>
        <v>#REF!</v>
      </c>
    </row>
    <row r="203" spans="1:11" x14ac:dyDescent="0.3">
      <c r="A203">
        <v>473</v>
      </c>
      <c r="B203" t="s">
        <v>188</v>
      </c>
      <c r="C203" t="s">
        <v>187</v>
      </c>
      <c r="D203" t="s">
        <v>142</v>
      </c>
      <c r="E203" s="32">
        <v>44799</v>
      </c>
      <c r="F203" t="s">
        <v>135</v>
      </c>
      <c r="G203" t="str">
        <f>INDEX('коды стран'!$A$2:$A$6, MATCH(F203, 'коды стран'!$B$2:$B$6, 0))</f>
        <v>Россия</v>
      </c>
      <c r="H203" s="32">
        <f t="shared" ca="1" si="3"/>
        <v>46076</v>
      </c>
      <c r="I203">
        <f ca="1">Таблица3[[#This Row],[Текущая дата]]-Продажи[[#This Row],[Дата регистрации клиента]]</f>
        <v>1323</v>
      </c>
      <c r="J203">
        <f ca="1">ROUND((Таблица3[[#This Row],[Текущая дата]] - Продажи[[#This Row],[Дата регистрации клиента]]) / 30, 0)</f>
        <v>44</v>
      </c>
      <c r="K203" t="e">
        <f>LEFT(C203,#REF!- 1)</f>
        <v>#REF!</v>
      </c>
    </row>
    <row r="204" spans="1:11" x14ac:dyDescent="0.3">
      <c r="A204">
        <v>488</v>
      </c>
      <c r="B204" t="s">
        <v>170</v>
      </c>
      <c r="C204" t="s">
        <v>169</v>
      </c>
      <c r="D204" t="s">
        <v>142</v>
      </c>
      <c r="E204" s="32">
        <v>44738</v>
      </c>
      <c r="F204" t="s">
        <v>133</v>
      </c>
      <c r="G204" t="str">
        <f>INDEX('коды стран'!$A$2:$A$6, MATCH(F204, 'коды стран'!$B$2:$B$6, 0))</f>
        <v>Беларусь</v>
      </c>
      <c r="H204" s="32">
        <f t="shared" ca="1" si="3"/>
        <v>46076</v>
      </c>
      <c r="I204">
        <f ca="1">Таблица3[[#This Row],[Текущая дата]]-Продажи[[#This Row],[Дата регистрации клиента]]</f>
        <v>1403</v>
      </c>
      <c r="J204">
        <f ca="1">ROUND((Таблица3[[#This Row],[Текущая дата]] - Продажи[[#This Row],[Дата регистрации клиента]]) / 30, 0)</f>
        <v>47</v>
      </c>
      <c r="K204" t="e">
        <f>LEFT(C204,#REF!- 1)</f>
        <v>#REF!</v>
      </c>
    </row>
    <row r="205" spans="1:11" x14ac:dyDescent="0.3">
      <c r="A205">
        <v>315</v>
      </c>
      <c r="B205" t="s">
        <v>1008</v>
      </c>
      <c r="C205" t="s">
        <v>1007</v>
      </c>
      <c r="D205" t="s">
        <v>142</v>
      </c>
      <c r="E205" s="32">
        <v>44747</v>
      </c>
      <c r="F205" t="s">
        <v>131</v>
      </c>
      <c r="G205" t="str">
        <f>INDEX('коды стран'!$A$2:$A$6, MATCH(F205, 'коды стран'!$B$2:$B$6, 0))</f>
        <v>Узбекистан</v>
      </c>
      <c r="H205" s="32">
        <f t="shared" ca="1" si="3"/>
        <v>46076</v>
      </c>
      <c r="I205">
        <f ca="1">Таблица3[[#This Row],[Текущая дата]]-Продажи[[#This Row],[Дата регистрации клиента]]</f>
        <v>1369</v>
      </c>
      <c r="J205">
        <f ca="1">ROUND((Таблица3[[#This Row],[Текущая дата]] - Продажи[[#This Row],[Дата регистрации клиента]]) / 30, 0)</f>
        <v>46</v>
      </c>
      <c r="K205" t="e">
        <f>LEFT(C205,#REF!- 1)</f>
        <v>#REF!</v>
      </c>
    </row>
    <row r="206" spans="1:11" x14ac:dyDescent="0.3">
      <c r="A206">
        <v>253</v>
      </c>
      <c r="B206" t="s">
        <v>1006</v>
      </c>
      <c r="C206" t="s">
        <v>1005</v>
      </c>
      <c r="D206" t="s">
        <v>142</v>
      </c>
      <c r="E206" s="32">
        <v>44750</v>
      </c>
      <c r="F206" s="30" t="s">
        <v>133</v>
      </c>
      <c r="G206" t="str">
        <f>INDEX('коды стран'!$A$2:$A$6, MATCH(F206, 'коды стран'!$B$2:$B$6, 0))</f>
        <v>Беларусь</v>
      </c>
      <c r="H206" s="32">
        <f t="shared" ca="1" si="3"/>
        <v>46076</v>
      </c>
      <c r="I206">
        <f ca="1">Таблица3[[#This Row],[Текущая дата]]-Продажи[[#This Row],[Дата регистрации клиента]]</f>
        <v>1201</v>
      </c>
      <c r="J206">
        <f ca="1">ROUND((Таблица3[[#This Row],[Текущая дата]] - Продажи[[#This Row],[Дата регистрации клиента]]) / 30, 0)</f>
        <v>40</v>
      </c>
      <c r="K206" t="e">
        <f>LEFT(C206,#REF!- 1)</f>
        <v>#REF!</v>
      </c>
    </row>
    <row r="207" spans="1:11" x14ac:dyDescent="0.3">
      <c r="A207">
        <v>477</v>
      </c>
      <c r="B207" t="s">
        <v>996</v>
      </c>
      <c r="C207" t="s">
        <v>995</v>
      </c>
      <c r="D207" t="s">
        <v>142</v>
      </c>
      <c r="E207" s="32">
        <v>44738</v>
      </c>
      <c r="F207" t="s">
        <v>131</v>
      </c>
      <c r="G207" t="str">
        <f>INDEX('коды стран'!$A$2:$A$6, MATCH(F207, 'коды стран'!$B$2:$B$6, 0))</f>
        <v>Узбекистан</v>
      </c>
      <c r="H207" s="32">
        <f t="shared" ca="1" si="3"/>
        <v>46076</v>
      </c>
      <c r="I207">
        <f ca="1">Таблица3[[#This Row],[Текущая дата]]-Продажи[[#This Row],[Дата регистрации клиента]]</f>
        <v>1339</v>
      </c>
      <c r="J207">
        <f ca="1">ROUND((Таблица3[[#This Row],[Текущая дата]] - Продажи[[#This Row],[Дата регистрации клиента]]) / 30, 0)</f>
        <v>45</v>
      </c>
      <c r="K207" t="e">
        <f>LEFT(C207,#REF!- 1)</f>
        <v>#REF!</v>
      </c>
    </row>
    <row r="208" spans="1:11" x14ac:dyDescent="0.3">
      <c r="A208">
        <v>397</v>
      </c>
      <c r="B208" t="s">
        <v>966</v>
      </c>
      <c r="C208" t="s">
        <v>965</v>
      </c>
      <c r="D208" t="s">
        <v>139</v>
      </c>
      <c r="E208" s="32">
        <v>44728</v>
      </c>
      <c r="F208" t="s">
        <v>133</v>
      </c>
      <c r="G208" t="str">
        <f>INDEX('коды стран'!$A$2:$A$6, MATCH(F208, 'коды стран'!$B$2:$B$6, 0))</f>
        <v>Беларусь</v>
      </c>
      <c r="H208" s="32">
        <f t="shared" ca="1" si="3"/>
        <v>46076</v>
      </c>
      <c r="I208">
        <f ca="1">Таблица3[[#This Row],[Текущая дата]]-Продажи[[#This Row],[Дата регистрации клиента]]</f>
        <v>1213</v>
      </c>
      <c r="J208">
        <f ca="1">ROUND((Таблица3[[#This Row],[Текущая дата]] - Продажи[[#This Row],[Дата регистрации клиента]]) / 30, 0)</f>
        <v>40</v>
      </c>
      <c r="K208" t="e">
        <f>LEFT(C208,#REF!- 1)</f>
        <v>#REF!</v>
      </c>
    </row>
    <row r="209" spans="1:11" x14ac:dyDescent="0.3">
      <c r="A209">
        <v>134</v>
      </c>
      <c r="B209" t="s">
        <v>856</v>
      </c>
      <c r="C209" t="s">
        <v>855</v>
      </c>
      <c r="D209" t="s">
        <v>142</v>
      </c>
      <c r="E209" s="32">
        <v>44753</v>
      </c>
      <c r="F209" t="s">
        <v>135</v>
      </c>
      <c r="G209" t="str">
        <f>INDEX('коды стран'!$A$2:$A$6, MATCH(F209, 'коды стран'!$B$2:$B$6, 0))</f>
        <v>Россия</v>
      </c>
      <c r="H209" s="32">
        <f t="shared" ca="1" si="3"/>
        <v>46076</v>
      </c>
      <c r="I209">
        <f ca="1">Таблица3[[#This Row],[Текущая дата]]-Продажи[[#This Row],[Дата регистрации клиента]]</f>
        <v>1265</v>
      </c>
      <c r="J209">
        <f ca="1">ROUND((Таблица3[[#This Row],[Текущая дата]] - Продажи[[#This Row],[Дата регистрации клиента]]) / 30, 0)</f>
        <v>42</v>
      </c>
      <c r="K209" t="e">
        <f>LEFT(C209,#REF!- 1)</f>
        <v>#REF!</v>
      </c>
    </row>
    <row r="210" spans="1:11" x14ac:dyDescent="0.3">
      <c r="A210">
        <v>472</v>
      </c>
      <c r="B210" t="s">
        <v>796</v>
      </c>
      <c r="C210" t="s">
        <v>795</v>
      </c>
      <c r="D210" t="s">
        <v>139</v>
      </c>
      <c r="E210" s="32">
        <v>44901</v>
      </c>
      <c r="F210" t="s">
        <v>127</v>
      </c>
      <c r="G210" t="str">
        <f>INDEX('коды стран'!$A$2:$A$6, MATCH(F210, 'коды стран'!$B$2:$B$6, 0))</f>
        <v>Украина</v>
      </c>
      <c r="H210" s="32">
        <f t="shared" ca="1" si="3"/>
        <v>46076</v>
      </c>
      <c r="I210">
        <f ca="1">Таблица3[[#This Row],[Текущая дата]]-Продажи[[#This Row],[Дата регистрации клиента]]</f>
        <v>1423</v>
      </c>
      <c r="J210">
        <f ca="1">ROUND((Таблица3[[#This Row],[Текущая дата]] - Продажи[[#This Row],[Дата регистрации клиента]]) / 30, 0)</f>
        <v>47</v>
      </c>
      <c r="K210" t="e">
        <f>LEFT(C210,#REF!- 1)</f>
        <v>#REF!</v>
      </c>
    </row>
    <row r="211" spans="1:11" x14ac:dyDescent="0.3">
      <c r="A211">
        <v>247</v>
      </c>
      <c r="B211" t="s">
        <v>748</v>
      </c>
      <c r="C211" t="s">
        <v>747</v>
      </c>
      <c r="D211" t="s">
        <v>142</v>
      </c>
      <c r="E211" s="32">
        <v>44762</v>
      </c>
      <c r="F211" t="s">
        <v>131</v>
      </c>
      <c r="G211" t="str">
        <f>INDEX('коды стран'!$A$2:$A$6, MATCH(F211, 'коды стран'!$B$2:$B$6, 0))</f>
        <v>Узбекистан</v>
      </c>
      <c r="H211" s="32">
        <f t="shared" ca="1" si="3"/>
        <v>46076</v>
      </c>
      <c r="I211">
        <f ca="1">Таблица3[[#This Row],[Текущая дата]]-Продажи[[#This Row],[Дата регистрации клиента]]</f>
        <v>1162</v>
      </c>
      <c r="J211">
        <f ca="1">ROUND((Таблица3[[#This Row],[Текущая дата]] - Продажи[[#This Row],[Дата регистрации клиента]]) / 30, 0)</f>
        <v>39</v>
      </c>
      <c r="K211" t="e">
        <f>LEFT(C211,#REF!- 1)</f>
        <v>#REF!</v>
      </c>
    </row>
    <row r="212" spans="1:11" x14ac:dyDescent="0.3">
      <c r="A212">
        <v>106</v>
      </c>
      <c r="B212" t="s">
        <v>694</v>
      </c>
      <c r="C212" t="s">
        <v>693</v>
      </c>
      <c r="D212" t="s">
        <v>142</v>
      </c>
      <c r="E212" s="32">
        <v>44858</v>
      </c>
      <c r="F212" t="s">
        <v>127</v>
      </c>
      <c r="G212" t="str">
        <f>INDEX('коды стран'!$A$2:$A$6, MATCH(F212, 'коды стран'!$B$2:$B$6, 0))</f>
        <v>Украина</v>
      </c>
      <c r="H212" s="32">
        <f t="shared" ca="1" si="3"/>
        <v>46076</v>
      </c>
      <c r="I212">
        <f ca="1">Таблица3[[#This Row],[Текущая дата]]-Продажи[[#This Row],[Дата регистрации клиента]]</f>
        <v>1306</v>
      </c>
      <c r="J212">
        <f ca="1">ROUND((Таблица3[[#This Row],[Текущая дата]] - Продажи[[#This Row],[Дата регистрации клиента]]) / 30, 0)</f>
        <v>44</v>
      </c>
      <c r="K212" t="e">
        <f>LEFT(C212,#REF!- 1)</f>
        <v>#REF!</v>
      </c>
    </row>
    <row r="213" spans="1:11" x14ac:dyDescent="0.3">
      <c r="A213">
        <v>337</v>
      </c>
      <c r="B213" t="s">
        <v>674</v>
      </c>
      <c r="C213" t="s">
        <v>673</v>
      </c>
      <c r="D213" t="s">
        <v>142</v>
      </c>
      <c r="E213" s="32">
        <v>44875</v>
      </c>
      <c r="F213" t="s">
        <v>135</v>
      </c>
      <c r="G213" t="str">
        <f>INDEX('коды стран'!$A$2:$A$6, MATCH(F213, 'коды стран'!$B$2:$B$6, 0))</f>
        <v>Россия</v>
      </c>
      <c r="H213" s="32">
        <f t="shared" ca="1" si="3"/>
        <v>46076</v>
      </c>
      <c r="I213">
        <f ca="1">Таблица3[[#This Row],[Текущая дата]]-Продажи[[#This Row],[Дата регистрации клиента]]</f>
        <v>1282</v>
      </c>
      <c r="J213">
        <f ca="1">ROUND((Таблица3[[#This Row],[Текущая дата]] - Продажи[[#This Row],[Дата регистрации клиента]]) / 30, 0)</f>
        <v>43</v>
      </c>
      <c r="K213" t="e">
        <f>LEFT(C213,#REF!- 1)</f>
        <v>#REF!</v>
      </c>
    </row>
    <row r="214" spans="1:11" x14ac:dyDescent="0.3">
      <c r="A214">
        <v>329</v>
      </c>
      <c r="B214" t="s">
        <v>670</v>
      </c>
      <c r="C214" t="s">
        <v>669</v>
      </c>
      <c r="D214" t="s">
        <v>142</v>
      </c>
      <c r="E214" s="32">
        <v>44653</v>
      </c>
      <c r="F214" t="s">
        <v>133</v>
      </c>
      <c r="G214" t="str">
        <f>INDEX('коды стран'!$A$2:$A$6, MATCH(F214, 'коды стран'!$B$2:$B$6, 0))</f>
        <v>Беларусь</v>
      </c>
      <c r="H214" s="32">
        <f t="shared" ca="1" si="3"/>
        <v>46076</v>
      </c>
      <c r="I214">
        <f ca="1">Таблица3[[#This Row],[Текущая дата]]-Продажи[[#This Row],[Дата регистрации клиента]]</f>
        <v>1289</v>
      </c>
      <c r="J214">
        <f ca="1">ROUND((Таблица3[[#This Row],[Текущая дата]] - Продажи[[#This Row],[Дата регистрации клиента]]) / 30, 0)</f>
        <v>43</v>
      </c>
      <c r="K214" t="e">
        <f>LEFT(C214,#REF!- 1)</f>
        <v>#REF!</v>
      </c>
    </row>
    <row r="215" spans="1:11" x14ac:dyDescent="0.3">
      <c r="A215">
        <v>186</v>
      </c>
      <c r="B215" t="s">
        <v>668</v>
      </c>
      <c r="C215" t="s">
        <v>667</v>
      </c>
      <c r="D215" t="s">
        <v>139</v>
      </c>
      <c r="E215" s="32">
        <v>44914</v>
      </c>
      <c r="F215" t="s">
        <v>133</v>
      </c>
      <c r="G215" t="str">
        <f>INDEX('коды стран'!$A$2:$A$6, MATCH(F215, 'коды стран'!$B$2:$B$6, 0))</f>
        <v>Беларусь</v>
      </c>
      <c r="H215" s="32">
        <f t="shared" ca="1" si="3"/>
        <v>46076</v>
      </c>
      <c r="I215">
        <f ca="1">Таблица3[[#This Row],[Текущая дата]]-Продажи[[#This Row],[Дата регистрации клиента]]</f>
        <v>1506</v>
      </c>
      <c r="J215">
        <f ca="1">ROUND((Таблица3[[#This Row],[Текущая дата]] - Продажи[[#This Row],[Дата регистрации клиента]]) / 30, 0)</f>
        <v>50</v>
      </c>
      <c r="K215" t="e">
        <f>LEFT(C215,#REF!- 1)</f>
        <v>#REF!</v>
      </c>
    </row>
    <row r="216" spans="1:11" x14ac:dyDescent="0.3">
      <c r="A216">
        <v>308</v>
      </c>
      <c r="B216" t="s">
        <v>598</v>
      </c>
      <c r="C216" t="s">
        <v>597</v>
      </c>
      <c r="D216" t="s">
        <v>142</v>
      </c>
      <c r="E216" s="32">
        <v>44562</v>
      </c>
      <c r="F216" t="s">
        <v>133</v>
      </c>
      <c r="G216" t="str">
        <f>INDEX('коды стран'!$A$2:$A$6, MATCH(F216, 'коды стран'!$B$2:$B$6, 0))</f>
        <v>Беларусь</v>
      </c>
      <c r="H216" s="32">
        <f t="shared" ca="1" si="3"/>
        <v>46076</v>
      </c>
      <c r="I216">
        <f ca="1">Таблица3[[#This Row],[Текущая дата]]-Продажи[[#This Row],[Дата регистрации клиента]]</f>
        <v>1390</v>
      </c>
      <c r="J216">
        <f ca="1">ROUND((Таблица3[[#This Row],[Текущая дата]] - Продажи[[#This Row],[Дата регистрации клиента]]) / 30, 0)</f>
        <v>46</v>
      </c>
      <c r="K216" t="e">
        <f>LEFT(C216,#REF!- 1)</f>
        <v>#REF!</v>
      </c>
    </row>
    <row r="217" spans="1:11" x14ac:dyDescent="0.3">
      <c r="A217">
        <v>98</v>
      </c>
      <c r="B217" t="s">
        <v>564</v>
      </c>
      <c r="C217" t="s">
        <v>563</v>
      </c>
      <c r="D217" t="s">
        <v>142</v>
      </c>
      <c r="E217" s="32">
        <v>44637</v>
      </c>
      <c r="F217" t="s">
        <v>135</v>
      </c>
      <c r="G217" t="str">
        <f>INDEX('коды стран'!$A$2:$A$6, MATCH(F217, 'коды стран'!$B$2:$B$6, 0))</f>
        <v>Россия</v>
      </c>
      <c r="H217" s="32">
        <f t="shared" ca="1" si="3"/>
        <v>46076</v>
      </c>
      <c r="I217">
        <f ca="1">Таблица3[[#This Row],[Текущая дата]]-Продажи[[#This Row],[Дата регистрации клиента]]</f>
        <v>1468</v>
      </c>
      <c r="J217">
        <f ca="1">ROUND((Таблица3[[#This Row],[Текущая дата]] - Продажи[[#This Row],[Дата регистрации клиента]]) / 30, 0)</f>
        <v>49</v>
      </c>
      <c r="K217" t="e">
        <f>LEFT(C217,#REF!- 1)</f>
        <v>#REF!</v>
      </c>
    </row>
    <row r="218" spans="1:11" x14ac:dyDescent="0.3">
      <c r="A218">
        <v>187</v>
      </c>
      <c r="B218" t="s">
        <v>544</v>
      </c>
      <c r="C218" t="s">
        <v>543</v>
      </c>
      <c r="D218" t="s">
        <v>142</v>
      </c>
      <c r="E218" s="32">
        <v>44848</v>
      </c>
      <c r="F218" t="s">
        <v>135</v>
      </c>
      <c r="G218" t="str">
        <f>INDEX('коды стран'!$A$2:$A$6, MATCH(F218, 'коды стран'!$B$2:$B$6, 0))</f>
        <v>Россия</v>
      </c>
      <c r="H218" s="32">
        <f t="shared" ca="1" si="3"/>
        <v>46076</v>
      </c>
      <c r="I218">
        <f ca="1">Таблица3[[#This Row],[Текущая дата]]-Продажи[[#This Row],[Дата регистрации клиента]]</f>
        <v>1190</v>
      </c>
      <c r="J218">
        <f ca="1">ROUND((Таблица3[[#This Row],[Текущая дата]] - Продажи[[#This Row],[Дата регистрации клиента]]) / 30, 0)</f>
        <v>40</v>
      </c>
      <c r="K218" t="e">
        <f>LEFT(C218,#REF!- 1)</f>
        <v>#REF!</v>
      </c>
    </row>
    <row r="219" spans="1:11" x14ac:dyDescent="0.3">
      <c r="A219">
        <v>174</v>
      </c>
      <c r="B219" t="s">
        <v>498</v>
      </c>
      <c r="C219" t="s">
        <v>497</v>
      </c>
      <c r="D219" t="s">
        <v>142</v>
      </c>
      <c r="E219" s="32">
        <v>44779</v>
      </c>
      <c r="F219" t="s">
        <v>129</v>
      </c>
      <c r="G219" t="str">
        <f>INDEX('коды стран'!$A$2:$A$6, MATCH(F219, 'коды стран'!$B$2:$B$6, 0))</f>
        <v>Таджикистан</v>
      </c>
      <c r="H219" s="32">
        <f t="shared" ca="1" si="3"/>
        <v>46076</v>
      </c>
      <c r="I219">
        <f ca="1">Таблица3[[#This Row],[Текущая дата]]-Продажи[[#This Row],[Дата регистрации клиента]]</f>
        <v>1405</v>
      </c>
      <c r="J219">
        <f ca="1">ROUND((Таблица3[[#This Row],[Текущая дата]] - Продажи[[#This Row],[Дата регистрации клиента]]) / 30, 0)</f>
        <v>47</v>
      </c>
      <c r="K219" t="e">
        <f>LEFT(C219,#REF!- 1)</f>
        <v>#REF!</v>
      </c>
    </row>
    <row r="220" spans="1:11" x14ac:dyDescent="0.3">
      <c r="A220">
        <v>18</v>
      </c>
      <c r="B220" t="s">
        <v>492</v>
      </c>
      <c r="C220" t="s">
        <v>491</v>
      </c>
      <c r="D220" t="s">
        <v>139</v>
      </c>
      <c r="E220" s="32">
        <v>44578</v>
      </c>
      <c r="F220" t="s">
        <v>127</v>
      </c>
      <c r="G220" t="str">
        <f>INDEX('коды стран'!$A$2:$A$6, MATCH(F220, 'коды стран'!$B$2:$B$6, 0))</f>
        <v>Украина</v>
      </c>
      <c r="H220" s="32">
        <f t="shared" ca="1" si="3"/>
        <v>46076</v>
      </c>
      <c r="I220">
        <f ca="1">Таблица3[[#This Row],[Текущая дата]]-Продажи[[#This Row],[Дата регистрации клиента]]</f>
        <v>1488</v>
      </c>
      <c r="J220">
        <f ca="1">ROUND((Таблица3[[#This Row],[Текущая дата]] - Продажи[[#This Row],[Дата регистрации клиента]]) / 30, 0)</f>
        <v>50</v>
      </c>
      <c r="K220" t="e">
        <f>LEFT(C220,#REF!- 1)</f>
        <v>#REF!</v>
      </c>
    </row>
    <row r="221" spans="1:11" x14ac:dyDescent="0.3">
      <c r="A221">
        <v>101</v>
      </c>
      <c r="B221" t="s">
        <v>436</v>
      </c>
      <c r="C221" t="s">
        <v>435</v>
      </c>
      <c r="D221" t="s">
        <v>139</v>
      </c>
      <c r="E221" s="32">
        <v>44727</v>
      </c>
      <c r="F221" t="s">
        <v>135</v>
      </c>
      <c r="G221" t="str">
        <f>INDEX('коды стран'!$A$2:$A$6, MATCH(F221, 'коды стран'!$B$2:$B$6, 0))</f>
        <v>Россия</v>
      </c>
      <c r="H221" s="32">
        <f t="shared" ca="1" si="3"/>
        <v>46076</v>
      </c>
      <c r="I221">
        <f ca="1">Таблица3[[#This Row],[Текущая дата]]-Продажи[[#This Row],[Дата регистрации клиента]]</f>
        <v>1366</v>
      </c>
      <c r="J221">
        <f ca="1">ROUND((Таблица3[[#This Row],[Текущая дата]] - Продажи[[#This Row],[Дата регистрации клиента]]) / 30, 0)</f>
        <v>46</v>
      </c>
      <c r="K221" t="e">
        <f>LEFT(C221,#REF!- 1)</f>
        <v>#REF!</v>
      </c>
    </row>
    <row r="222" spans="1:11" x14ac:dyDescent="0.3">
      <c r="A222">
        <v>306</v>
      </c>
      <c r="B222" t="s">
        <v>424</v>
      </c>
      <c r="C222" t="s">
        <v>423</v>
      </c>
      <c r="D222" t="s">
        <v>142</v>
      </c>
      <c r="E222" s="32">
        <v>44872</v>
      </c>
      <c r="F222" t="s">
        <v>127</v>
      </c>
      <c r="G222" t="str">
        <f>INDEX('коды стран'!$A$2:$A$6, MATCH(F222, 'коды стран'!$B$2:$B$6, 0))</f>
        <v>Украина</v>
      </c>
      <c r="H222" s="32">
        <f t="shared" ca="1" si="3"/>
        <v>46076</v>
      </c>
      <c r="I222">
        <f ca="1">Таблица3[[#This Row],[Текущая дата]]-Продажи[[#This Row],[Дата регистрации клиента]]</f>
        <v>1157</v>
      </c>
      <c r="J222">
        <f ca="1">ROUND((Таблица3[[#This Row],[Текущая дата]] - Продажи[[#This Row],[Дата регистрации клиента]]) / 30, 0)</f>
        <v>39</v>
      </c>
      <c r="K222" t="e">
        <f>LEFT(C222,#REF!- 1)</f>
        <v>#REF!</v>
      </c>
    </row>
    <row r="223" spans="1:11" x14ac:dyDescent="0.3">
      <c r="A223">
        <v>138</v>
      </c>
      <c r="B223" t="s">
        <v>418</v>
      </c>
      <c r="C223" t="s">
        <v>417</v>
      </c>
      <c r="D223" t="s">
        <v>142</v>
      </c>
      <c r="E223" s="32">
        <v>44723</v>
      </c>
      <c r="F223" t="s">
        <v>127</v>
      </c>
      <c r="G223" t="str">
        <f>INDEX('коды стран'!$A$2:$A$6, MATCH(F223, 'коды стран'!$B$2:$B$6, 0))</f>
        <v>Украина</v>
      </c>
      <c r="H223" s="32">
        <f t="shared" ca="1" si="3"/>
        <v>46076</v>
      </c>
      <c r="I223">
        <f ca="1">Таблица3[[#This Row],[Текущая дата]]-Продажи[[#This Row],[Дата регистрации клиента]]</f>
        <v>1310</v>
      </c>
      <c r="J223">
        <f ca="1">ROUND((Таблица3[[#This Row],[Текущая дата]] - Продажи[[#This Row],[Дата регистрации клиента]]) / 30, 0)</f>
        <v>44</v>
      </c>
      <c r="K223" t="e">
        <f>LEFT(C223,#REF!- 1)</f>
        <v>#REF!</v>
      </c>
    </row>
    <row r="224" spans="1:11" x14ac:dyDescent="0.3">
      <c r="A224">
        <v>279</v>
      </c>
      <c r="B224" t="s">
        <v>346</v>
      </c>
      <c r="C224" t="s">
        <v>345</v>
      </c>
      <c r="D224" t="s">
        <v>142</v>
      </c>
      <c r="E224" s="32">
        <v>44786</v>
      </c>
      <c r="F224" t="s">
        <v>131</v>
      </c>
      <c r="G224" t="str">
        <f>INDEX('коды стран'!$A$2:$A$6, MATCH(F224, 'коды стран'!$B$2:$B$6, 0))</f>
        <v>Узбекистан</v>
      </c>
      <c r="H224" s="32">
        <f t="shared" ca="1" si="3"/>
        <v>46076</v>
      </c>
      <c r="I224">
        <f ca="1">Таблица3[[#This Row],[Текущая дата]]-Продажи[[#This Row],[Дата регистрации клиента]]</f>
        <v>1326</v>
      </c>
      <c r="J224">
        <f ca="1">ROUND((Таблица3[[#This Row],[Текущая дата]] - Продажи[[#This Row],[Дата регистрации клиента]]) / 30, 0)</f>
        <v>44</v>
      </c>
      <c r="K224" t="e">
        <f>LEFT(C224,#REF!- 1)</f>
        <v>#REF!</v>
      </c>
    </row>
    <row r="225" spans="1:11" x14ac:dyDescent="0.3">
      <c r="A225">
        <v>272</v>
      </c>
      <c r="B225" t="s">
        <v>332</v>
      </c>
      <c r="C225" t="s">
        <v>331</v>
      </c>
      <c r="D225" t="s">
        <v>139</v>
      </c>
      <c r="E225" s="32">
        <v>44668</v>
      </c>
      <c r="F225" t="s">
        <v>129</v>
      </c>
      <c r="G225" t="str">
        <f>INDEX('коды стран'!$A$2:$A$6, MATCH(F225, 'коды стран'!$B$2:$B$6, 0))</f>
        <v>Таджикистан</v>
      </c>
      <c r="H225" s="32">
        <f t="shared" ca="1" si="3"/>
        <v>46076</v>
      </c>
      <c r="I225">
        <f ca="1">Таблица3[[#This Row],[Текущая дата]]-Продажи[[#This Row],[Дата регистрации клиента]]</f>
        <v>1441</v>
      </c>
      <c r="J225">
        <f ca="1">ROUND((Таблица3[[#This Row],[Текущая дата]] - Продажи[[#This Row],[Дата регистрации клиента]]) / 30, 0)</f>
        <v>48</v>
      </c>
      <c r="K225" t="e">
        <f>LEFT(C225,#REF!- 1)</f>
        <v>#REF!</v>
      </c>
    </row>
    <row r="226" spans="1:11" x14ac:dyDescent="0.3">
      <c r="A226">
        <v>409</v>
      </c>
      <c r="B226" t="s">
        <v>326</v>
      </c>
      <c r="C226" t="s">
        <v>325</v>
      </c>
      <c r="D226" t="s">
        <v>139</v>
      </c>
      <c r="E226" s="32">
        <v>44869</v>
      </c>
      <c r="F226" t="s">
        <v>127</v>
      </c>
      <c r="G226" t="str">
        <f>INDEX('коды стран'!$A$2:$A$6, MATCH(F226, 'коды стран'!$B$2:$B$6, 0))</f>
        <v>Украина</v>
      </c>
      <c r="H226" s="32">
        <f t="shared" ca="1" si="3"/>
        <v>46076</v>
      </c>
      <c r="I226">
        <f ca="1">Таблица3[[#This Row],[Текущая дата]]-Продажи[[#This Row],[Дата регистрации клиента]]</f>
        <v>1171</v>
      </c>
      <c r="J226">
        <f ca="1">ROUND((Таблица3[[#This Row],[Текущая дата]] - Продажи[[#This Row],[Дата регистрации клиента]]) / 30, 0)</f>
        <v>39</v>
      </c>
      <c r="K226" t="e">
        <f>LEFT(C226,#REF!- 1)</f>
        <v>#REF!</v>
      </c>
    </row>
    <row r="227" spans="1:11" x14ac:dyDescent="0.3">
      <c r="A227">
        <v>291</v>
      </c>
      <c r="B227" t="s">
        <v>258</v>
      </c>
      <c r="C227" t="s">
        <v>257</v>
      </c>
      <c r="D227" t="s">
        <v>142</v>
      </c>
      <c r="E227" s="32">
        <v>44710</v>
      </c>
      <c r="F227" t="s">
        <v>129</v>
      </c>
      <c r="G227" t="str">
        <f>INDEX('коды стран'!$A$2:$A$6, MATCH(F227, 'коды стран'!$B$2:$B$6, 0))</f>
        <v>Таджикистан</v>
      </c>
      <c r="H227" s="32">
        <f t="shared" ca="1" si="3"/>
        <v>46076</v>
      </c>
      <c r="I227">
        <f ca="1">Таблица3[[#This Row],[Текущая дата]]-Продажи[[#This Row],[Дата регистрации клиента]]</f>
        <v>1511</v>
      </c>
      <c r="J227">
        <f ca="1">ROUND((Таблица3[[#This Row],[Текущая дата]] - Продажи[[#This Row],[Дата регистрации клиента]]) / 30, 0)</f>
        <v>50</v>
      </c>
      <c r="K227" t="e">
        <f>LEFT(C227,#REF!- 1)</f>
        <v>#REF!</v>
      </c>
    </row>
    <row r="228" spans="1:11" x14ac:dyDescent="0.3">
      <c r="A228">
        <v>418</v>
      </c>
      <c r="B228" t="s">
        <v>256</v>
      </c>
      <c r="C228" t="s">
        <v>255</v>
      </c>
      <c r="D228" t="s">
        <v>142</v>
      </c>
      <c r="E228" s="32">
        <v>44700</v>
      </c>
      <c r="F228" t="s">
        <v>133</v>
      </c>
      <c r="G228" t="str">
        <f>INDEX('коды стран'!$A$2:$A$6, MATCH(F228, 'коды стран'!$B$2:$B$6, 0))</f>
        <v>Беларусь</v>
      </c>
      <c r="H228" s="32">
        <f t="shared" ca="1" si="3"/>
        <v>46076</v>
      </c>
      <c r="I228">
        <f ca="1">Таблица3[[#This Row],[Текущая дата]]-Продажи[[#This Row],[Дата регистрации клиента]]</f>
        <v>1425</v>
      </c>
      <c r="J228">
        <f ca="1">ROUND((Таблица3[[#This Row],[Текущая дата]] - Продажи[[#This Row],[Дата регистрации клиента]]) / 30, 0)</f>
        <v>48</v>
      </c>
      <c r="K228" t="e">
        <f>LEFT(C228,#REF!- 1)</f>
        <v>#REF!</v>
      </c>
    </row>
    <row r="229" spans="1:11" x14ac:dyDescent="0.3">
      <c r="A229">
        <v>338</v>
      </c>
      <c r="B229" t="s">
        <v>208</v>
      </c>
      <c r="C229" t="s">
        <v>207</v>
      </c>
      <c r="D229" t="s">
        <v>139</v>
      </c>
      <c r="E229" s="32">
        <v>44577</v>
      </c>
      <c r="F229" t="s">
        <v>129</v>
      </c>
      <c r="G229" t="str">
        <f>INDEX('коды стран'!$A$2:$A$6, MATCH(F229, 'коды стран'!$B$2:$B$6, 0))</f>
        <v>Таджикистан</v>
      </c>
      <c r="H229" s="32">
        <f t="shared" ca="1" si="3"/>
        <v>46076</v>
      </c>
      <c r="I229">
        <f ca="1">Таблица3[[#This Row],[Текущая дата]]-Продажи[[#This Row],[Дата регистрации клиента]]</f>
        <v>1261</v>
      </c>
      <c r="J229">
        <f ca="1">ROUND((Таблица3[[#This Row],[Текущая дата]] - Продажи[[#This Row],[Дата регистрации клиента]]) / 30, 0)</f>
        <v>42</v>
      </c>
      <c r="K229" t="e">
        <f>LEFT(C229,#REF!- 1)</f>
        <v>#REF!</v>
      </c>
    </row>
    <row r="230" spans="1:11" x14ac:dyDescent="0.3">
      <c r="A230">
        <v>443</v>
      </c>
      <c r="B230" t="s">
        <v>192</v>
      </c>
      <c r="C230" t="s">
        <v>191</v>
      </c>
      <c r="D230" t="s">
        <v>142</v>
      </c>
      <c r="E230" s="32">
        <v>44649</v>
      </c>
      <c r="F230" t="s">
        <v>135</v>
      </c>
      <c r="G230" t="str">
        <f>INDEX('коды стран'!$A$2:$A$6, MATCH(F230, 'коды стран'!$B$2:$B$6, 0))</f>
        <v>Россия</v>
      </c>
      <c r="H230" s="32">
        <f t="shared" ca="1" si="3"/>
        <v>46076</v>
      </c>
      <c r="I230">
        <f ca="1">Таблица3[[#This Row],[Текущая дата]]-Продажи[[#This Row],[Дата регистрации клиента]]</f>
        <v>1219</v>
      </c>
      <c r="J230">
        <f ca="1">ROUND((Таблица3[[#This Row],[Текущая дата]] - Продажи[[#This Row],[Дата регистрации клиента]]) / 30, 0)</f>
        <v>41</v>
      </c>
      <c r="K230" t="e">
        <f>LEFT(C230,#REF!- 1)</f>
        <v>#REF!</v>
      </c>
    </row>
    <row r="231" spans="1:11" x14ac:dyDescent="0.3">
      <c r="A231">
        <v>6</v>
      </c>
      <c r="B231" t="s">
        <v>168</v>
      </c>
      <c r="C231" t="s">
        <v>167</v>
      </c>
      <c r="D231" t="s">
        <v>139</v>
      </c>
      <c r="E231" s="32">
        <v>44710</v>
      </c>
      <c r="F231" t="s">
        <v>127</v>
      </c>
      <c r="G231" t="str">
        <f>INDEX('коды стран'!$A$2:$A$6, MATCH(F231, 'коды стран'!$B$2:$B$6, 0))</f>
        <v>Украина</v>
      </c>
      <c r="H231" s="32">
        <f t="shared" ca="1" si="3"/>
        <v>46076</v>
      </c>
      <c r="I231">
        <f ca="1">Таблица3[[#This Row],[Текущая дата]]-Продажи[[#This Row],[Дата регистрации клиента]]</f>
        <v>1455</v>
      </c>
      <c r="J231">
        <f ca="1">ROUND((Таблица3[[#This Row],[Текущая дата]] - Продажи[[#This Row],[Дата регистрации клиента]]) / 30, 0)</f>
        <v>49</v>
      </c>
      <c r="K231" t="e">
        <f>LEFT(C231,#REF!- 1)</f>
        <v>#REF!</v>
      </c>
    </row>
    <row r="232" spans="1:11" x14ac:dyDescent="0.3">
      <c r="A232">
        <v>93</v>
      </c>
      <c r="B232" t="s">
        <v>152</v>
      </c>
      <c r="C232" t="s">
        <v>151</v>
      </c>
      <c r="D232" t="s">
        <v>139</v>
      </c>
      <c r="E232" s="32">
        <v>44905</v>
      </c>
      <c r="F232" t="s">
        <v>127</v>
      </c>
      <c r="G232" t="str">
        <f>INDEX('коды стран'!$A$2:$A$6, MATCH(F232, 'коды стран'!$B$2:$B$6, 0))</f>
        <v>Украина</v>
      </c>
      <c r="H232" s="32">
        <f t="shared" ca="1" si="3"/>
        <v>46076</v>
      </c>
      <c r="I232">
        <f ca="1">Таблица3[[#This Row],[Текущая дата]]-Продажи[[#This Row],[Дата регистрации клиента]]</f>
        <v>1508</v>
      </c>
      <c r="J232">
        <f ca="1">ROUND((Таблица3[[#This Row],[Текущая дата]] - Продажи[[#This Row],[Дата регистрации клиента]]) / 30, 0)</f>
        <v>50</v>
      </c>
      <c r="K232" t="e">
        <f>LEFT(C232,#REF!- 1)</f>
        <v>#REF!</v>
      </c>
    </row>
    <row r="233" spans="1:11" x14ac:dyDescent="0.3">
      <c r="A233">
        <v>413</v>
      </c>
      <c r="B233" t="s">
        <v>990</v>
      </c>
      <c r="C233" t="s">
        <v>989</v>
      </c>
      <c r="D233" t="s">
        <v>139</v>
      </c>
      <c r="E233" s="32">
        <v>44699</v>
      </c>
      <c r="F233" t="s">
        <v>135</v>
      </c>
      <c r="G233" t="str">
        <f>INDEX('коды стран'!$A$2:$A$6, MATCH(F233, 'коды стран'!$B$2:$B$6, 0))</f>
        <v>Россия</v>
      </c>
      <c r="H233" s="32">
        <f t="shared" ca="1" si="3"/>
        <v>46076</v>
      </c>
      <c r="I233">
        <f ca="1">Таблица3[[#This Row],[Текущая дата]]-Продажи[[#This Row],[Дата регистрации клиента]]</f>
        <v>1280</v>
      </c>
      <c r="J233">
        <f ca="1">ROUND((Таблица3[[#This Row],[Текущая дата]] - Продажи[[#This Row],[Дата регистрации клиента]]) / 30, 0)</f>
        <v>43</v>
      </c>
      <c r="K233" t="e">
        <f>LEFT(C233,#REF!- 1)</f>
        <v>#REF!</v>
      </c>
    </row>
    <row r="234" spans="1:11" x14ac:dyDescent="0.3">
      <c r="A234">
        <v>131</v>
      </c>
      <c r="B234" t="s">
        <v>950</v>
      </c>
      <c r="C234" t="s">
        <v>949</v>
      </c>
      <c r="D234" t="s">
        <v>142</v>
      </c>
      <c r="E234" s="32">
        <v>44693</v>
      </c>
      <c r="F234" t="s">
        <v>135</v>
      </c>
      <c r="G234" t="str">
        <f>INDEX('коды стран'!$A$2:$A$6, MATCH(F234, 'коды стран'!$B$2:$B$6, 0))</f>
        <v>Россия</v>
      </c>
      <c r="H234" s="32">
        <f t="shared" ca="1" si="3"/>
        <v>46076</v>
      </c>
      <c r="I234">
        <f ca="1">Таблица3[[#This Row],[Текущая дата]]-Продажи[[#This Row],[Дата регистрации клиента]]</f>
        <v>1350</v>
      </c>
      <c r="J234">
        <f ca="1">ROUND((Таблица3[[#This Row],[Текущая дата]] - Продажи[[#This Row],[Дата регистрации клиента]]) / 30, 0)</f>
        <v>45</v>
      </c>
      <c r="K234" t="e">
        <f>LEFT(C234,#REF!- 1)</f>
        <v>#REF!</v>
      </c>
    </row>
    <row r="235" spans="1:11" x14ac:dyDescent="0.3">
      <c r="A235">
        <v>64</v>
      </c>
      <c r="B235" t="s">
        <v>938</v>
      </c>
      <c r="C235" t="s">
        <v>937</v>
      </c>
      <c r="D235" t="s">
        <v>142</v>
      </c>
      <c r="E235" s="32">
        <v>44707</v>
      </c>
      <c r="F235" t="s">
        <v>131</v>
      </c>
      <c r="G235" t="str">
        <f>INDEX('коды стран'!$A$2:$A$6, MATCH(F235, 'коды стран'!$B$2:$B$6, 0))</f>
        <v>Узбекистан</v>
      </c>
      <c r="H235" s="32">
        <f t="shared" ca="1" si="3"/>
        <v>46076</v>
      </c>
      <c r="I235">
        <f ca="1">Таблица3[[#This Row],[Текущая дата]]-Продажи[[#This Row],[Дата регистрации клиента]]</f>
        <v>1451</v>
      </c>
      <c r="J235">
        <f ca="1">ROUND((Таблица3[[#This Row],[Текущая дата]] - Продажи[[#This Row],[Дата регистрации клиента]]) / 30, 0)</f>
        <v>48</v>
      </c>
      <c r="K235" t="e">
        <f>LEFT(C235,#REF!- 1)</f>
        <v>#REF!</v>
      </c>
    </row>
    <row r="236" spans="1:11" x14ac:dyDescent="0.3">
      <c r="A236">
        <v>47</v>
      </c>
      <c r="B236" t="s">
        <v>926</v>
      </c>
      <c r="C236" t="s">
        <v>925</v>
      </c>
      <c r="D236" t="s">
        <v>139</v>
      </c>
      <c r="E236" s="32">
        <v>44693</v>
      </c>
      <c r="F236" t="s">
        <v>133</v>
      </c>
      <c r="G236" t="str">
        <f>INDEX('коды стран'!$A$2:$A$6, MATCH(F236, 'коды стран'!$B$2:$B$6, 0))</f>
        <v>Беларусь</v>
      </c>
      <c r="H236" s="32">
        <f t="shared" ca="1" si="3"/>
        <v>46076</v>
      </c>
      <c r="I236">
        <f ca="1">Таблица3[[#This Row],[Текущая дата]]-Продажи[[#This Row],[Дата регистрации клиента]]</f>
        <v>1508</v>
      </c>
      <c r="J236">
        <f ca="1">ROUND((Таблица3[[#This Row],[Текущая дата]] - Продажи[[#This Row],[Дата регистрации клиента]]) / 30, 0)</f>
        <v>50</v>
      </c>
      <c r="K236" t="e">
        <f>LEFT(C236,#REF!- 1)</f>
        <v>#REF!</v>
      </c>
    </row>
    <row r="237" spans="1:11" x14ac:dyDescent="0.3">
      <c r="A237">
        <v>183</v>
      </c>
      <c r="B237" t="s">
        <v>918</v>
      </c>
      <c r="C237" t="s">
        <v>917</v>
      </c>
      <c r="D237" t="s">
        <v>142</v>
      </c>
      <c r="E237" s="32">
        <v>44900</v>
      </c>
      <c r="F237" t="s">
        <v>129</v>
      </c>
      <c r="G237" t="str">
        <f>INDEX('коды стран'!$A$2:$A$6, MATCH(F237, 'коды стран'!$B$2:$B$6, 0))</f>
        <v>Таджикистан</v>
      </c>
      <c r="H237" s="32">
        <f t="shared" ca="1" si="3"/>
        <v>46076</v>
      </c>
      <c r="I237">
        <f ca="1">Таблица3[[#This Row],[Текущая дата]]-Продажи[[#This Row],[Дата регистрации клиента]]</f>
        <v>1453</v>
      </c>
      <c r="J237">
        <f ca="1">ROUND((Таблица3[[#This Row],[Текущая дата]] - Продажи[[#This Row],[Дата регистрации клиента]]) / 30, 0)</f>
        <v>48</v>
      </c>
      <c r="K237" t="e">
        <f>LEFT(C237,#REF!- 1)</f>
        <v>#REF!</v>
      </c>
    </row>
    <row r="238" spans="1:11" x14ac:dyDescent="0.3">
      <c r="A238">
        <v>142</v>
      </c>
      <c r="B238" t="s">
        <v>896</v>
      </c>
      <c r="C238" t="s">
        <v>895</v>
      </c>
      <c r="D238" t="s">
        <v>139</v>
      </c>
      <c r="E238" s="32">
        <v>44683</v>
      </c>
      <c r="F238" t="s">
        <v>135</v>
      </c>
      <c r="G238" t="str">
        <f>INDEX('коды стран'!$A$2:$A$6, MATCH(F238, 'коды стран'!$B$2:$B$6, 0))</f>
        <v>Россия</v>
      </c>
      <c r="H238" s="32">
        <f t="shared" ca="1" si="3"/>
        <v>46076</v>
      </c>
      <c r="I238">
        <f ca="1">Таблица3[[#This Row],[Текущая дата]]-Продажи[[#This Row],[Дата регистрации клиента]]</f>
        <v>1422</v>
      </c>
      <c r="J238">
        <f ca="1">ROUND((Таблица3[[#This Row],[Текущая дата]] - Продажи[[#This Row],[Дата регистрации клиента]]) / 30, 0)</f>
        <v>47</v>
      </c>
      <c r="K238" t="e">
        <f>LEFT(C238,#REF!- 1)</f>
        <v>#REF!</v>
      </c>
    </row>
    <row r="239" spans="1:11" x14ac:dyDescent="0.3">
      <c r="A239">
        <v>415</v>
      </c>
      <c r="B239" t="s">
        <v>880</v>
      </c>
      <c r="C239" t="s">
        <v>879</v>
      </c>
      <c r="D239" t="s">
        <v>142</v>
      </c>
      <c r="E239" s="32">
        <v>44661</v>
      </c>
      <c r="F239" t="s">
        <v>127</v>
      </c>
      <c r="G239" t="str">
        <f>INDEX('коды стран'!$A$2:$A$6, MATCH(F239, 'коды стран'!$B$2:$B$6, 0))</f>
        <v>Украина</v>
      </c>
      <c r="H239" s="32">
        <f t="shared" ca="1" si="3"/>
        <v>46076</v>
      </c>
      <c r="I239">
        <f ca="1">Таблица3[[#This Row],[Текущая дата]]-Продажи[[#This Row],[Дата регистрации клиента]]</f>
        <v>1249</v>
      </c>
      <c r="J239">
        <f ca="1">ROUND((Таблица3[[#This Row],[Текущая дата]] - Продажи[[#This Row],[Дата регистрации клиента]]) / 30, 0)</f>
        <v>42</v>
      </c>
      <c r="K239" t="e">
        <f>LEFT(C239,#REF!- 1)</f>
        <v>#REF!</v>
      </c>
    </row>
    <row r="240" spans="1:11" x14ac:dyDescent="0.3">
      <c r="A240">
        <v>426</v>
      </c>
      <c r="B240" t="s">
        <v>868</v>
      </c>
      <c r="C240" t="s">
        <v>867</v>
      </c>
      <c r="D240" t="s">
        <v>142</v>
      </c>
      <c r="E240" s="32">
        <v>44768</v>
      </c>
      <c r="F240" t="s">
        <v>129</v>
      </c>
      <c r="G240" t="str">
        <f>INDEX('коды стран'!$A$2:$A$6, MATCH(F240, 'коды стран'!$B$2:$B$6, 0))</f>
        <v>Таджикистан</v>
      </c>
      <c r="H240" s="32">
        <f t="shared" ca="1" si="3"/>
        <v>46076</v>
      </c>
      <c r="I240">
        <f ca="1">Таблица3[[#This Row],[Текущая дата]]-Продажи[[#This Row],[Дата регистрации клиента]]</f>
        <v>1209</v>
      </c>
      <c r="J240">
        <f ca="1">ROUND((Таблица3[[#This Row],[Текущая дата]] - Продажи[[#This Row],[Дата регистрации клиента]]) / 30, 0)</f>
        <v>40</v>
      </c>
      <c r="K240" t="e">
        <f>LEFT(C240,#REF!- 1)</f>
        <v>#REF!</v>
      </c>
    </row>
    <row r="241" spans="1:11" x14ac:dyDescent="0.3">
      <c r="A241">
        <v>365</v>
      </c>
      <c r="B241" t="s">
        <v>840</v>
      </c>
      <c r="C241" t="s">
        <v>839</v>
      </c>
      <c r="D241" t="s">
        <v>139</v>
      </c>
      <c r="E241" s="32">
        <v>44841</v>
      </c>
      <c r="F241" t="s">
        <v>133</v>
      </c>
      <c r="G241" t="str">
        <f>INDEX('коды стран'!$A$2:$A$6, MATCH(F241, 'коды стран'!$B$2:$B$6, 0))</f>
        <v>Беларусь</v>
      </c>
      <c r="H241" s="32">
        <f t="shared" ca="1" si="3"/>
        <v>46076</v>
      </c>
      <c r="I241">
        <f ca="1">Таблица3[[#This Row],[Текущая дата]]-Продажи[[#This Row],[Дата регистрации клиента]]</f>
        <v>1310</v>
      </c>
      <c r="J241">
        <f ca="1">ROUND((Таблица3[[#This Row],[Текущая дата]] - Продажи[[#This Row],[Дата регистрации клиента]]) / 30, 0)</f>
        <v>44</v>
      </c>
      <c r="K241" t="e">
        <f>LEFT(C241,#REF!- 1)</f>
        <v>#REF!</v>
      </c>
    </row>
    <row r="242" spans="1:11" x14ac:dyDescent="0.3">
      <c r="A242">
        <v>459</v>
      </c>
      <c r="B242" t="s">
        <v>812</v>
      </c>
      <c r="C242" t="s">
        <v>811</v>
      </c>
      <c r="D242" t="s">
        <v>142</v>
      </c>
      <c r="E242" s="32">
        <v>44743</v>
      </c>
      <c r="F242" t="s">
        <v>135</v>
      </c>
      <c r="G242" t="str">
        <f>INDEX('коды стран'!$A$2:$A$6, MATCH(F242, 'коды стран'!$B$2:$B$6, 0))</f>
        <v>Россия</v>
      </c>
      <c r="H242" s="32">
        <f t="shared" ca="1" si="3"/>
        <v>46076</v>
      </c>
      <c r="I242">
        <f ca="1">Таблица3[[#This Row],[Текущая дата]]-Продажи[[#This Row],[Дата регистрации клиента]]</f>
        <v>1190</v>
      </c>
      <c r="J242">
        <f ca="1">ROUND((Таблица3[[#This Row],[Текущая дата]] - Продажи[[#This Row],[Дата регистрации клиента]]) / 30, 0)</f>
        <v>40</v>
      </c>
      <c r="K242" t="e">
        <f>LEFT(C242,#REF!- 1)</f>
        <v>#REF!</v>
      </c>
    </row>
    <row r="243" spans="1:11" x14ac:dyDescent="0.3">
      <c r="A243">
        <v>293</v>
      </c>
      <c r="B243" t="s">
        <v>774</v>
      </c>
      <c r="C243" t="s">
        <v>773</v>
      </c>
      <c r="D243" t="s">
        <v>142</v>
      </c>
      <c r="E243" s="32">
        <v>44573</v>
      </c>
      <c r="F243" t="s">
        <v>133</v>
      </c>
      <c r="G243" t="str">
        <f>INDEX('коды стран'!$A$2:$A$6, MATCH(F243, 'коды стран'!$B$2:$B$6, 0))</f>
        <v>Беларусь</v>
      </c>
      <c r="H243" s="32">
        <f t="shared" ca="1" si="3"/>
        <v>46076</v>
      </c>
      <c r="I243">
        <f ca="1">Таблица3[[#This Row],[Текущая дата]]-Продажи[[#This Row],[Дата регистрации клиента]]</f>
        <v>1234</v>
      </c>
      <c r="J243">
        <f ca="1">ROUND((Таблица3[[#This Row],[Текущая дата]] - Продажи[[#This Row],[Дата регистрации клиента]]) / 30, 0)</f>
        <v>41</v>
      </c>
      <c r="K243" t="e">
        <f>LEFT(C243,#REF!- 1)</f>
        <v>#REF!</v>
      </c>
    </row>
    <row r="244" spans="1:11" x14ac:dyDescent="0.3">
      <c r="A244">
        <v>386</v>
      </c>
      <c r="B244" t="s">
        <v>772</v>
      </c>
      <c r="C244" t="s">
        <v>771</v>
      </c>
      <c r="D244" t="s">
        <v>142</v>
      </c>
      <c r="E244" s="32">
        <v>44734</v>
      </c>
      <c r="F244" t="s">
        <v>131</v>
      </c>
      <c r="G244" t="str">
        <f>INDEX('коды стран'!$A$2:$A$6, MATCH(F244, 'коды стран'!$B$2:$B$6, 0))</f>
        <v>Узбекистан</v>
      </c>
      <c r="H244" s="32">
        <f t="shared" ca="1" si="3"/>
        <v>46076</v>
      </c>
      <c r="I244">
        <f ca="1">Таблица3[[#This Row],[Текущая дата]]-Продажи[[#This Row],[Дата регистрации клиента]]</f>
        <v>1200</v>
      </c>
      <c r="J244">
        <f ca="1">ROUND((Таблица3[[#This Row],[Текущая дата]] - Продажи[[#This Row],[Дата регистрации клиента]]) / 30, 0)</f>
        <v>40</v>
      </c>
      <c r="K244" t="e">
        <f>LEFT(C244,#REF!- 1)</f>
        <v>#REF!</v>
      </c>
    </row>
    <row r="245" spans="1:11" x14ac:dyDescent="0.3">
      <c r="A245">
        <v>362</v>
      </c>
      <c r="B245" t="s">
        <v>770</v>
      </c>
      <c r="C245" t="s">
        <v>769</v>
      </c>
      <c r="D245" t="s">
        <v>139</v>
      </c>
      <c r="E245" s="32">
        <v>44916</v>
      </c>
      <c r="F245" t="s">
        <v>135</v>
      </c>
      <c r="G245" t="str">
        <f>INDEX('коды стран'!$A$2:$A$6, MATCH(F245, 'коды стран'!$B$2:$B$6, 0))</f>
        <v>Россия</v>
      </c>
      <c r="H245" s="32">
        <f t="shared" ca="1" si="3"/>
        <v>46076</v>
      </c>
      <c r="I245">
        <f ca="1">Таблица3[[#This Row],[Текущая дата]]-Продажи[[#This Row],[Дата регистрации клиента]]</f>
        <v>1467</v>
      </c>
      <c r="J245">
        <f ca="1">ROUND((Таблица3[[#This Row],[Текущая дата]] - Продажи[[#This Row],[Дата регистрации клиента]]) / 30, 0)</f>
        <v>49</v>
      </c>
      <c r="K245" t="e">
        <f>LEFT(C245,#REF!- 1)</f>
        <v>#REF!</v>
      </c>
    </row>
    <row r="246" spans="1:11" x14ac:dyDescent="0.3">
      <c r="A246">
        <v>364</v>
      </c>
      <c r="B246" t="s">
        <v>756</v>
      </c>
      <c r="C246" t="s">
        <v>755</v>
      </c>
      <c r="D246" t="s">
        <v>142</v>
      </c>
      <c r="E246" s="32">
        <v>44883</v>
      </c>
      <c r="F246" t="s">
        <v>135</v>
      </c>
      <c r="G246" t="str">
        <f>INDEX('коды стран'!$A$2:$A$6, MATCH(F246, 'коды стран'!$B$2:$B$6, 0))</f>
        <v>Россия</v>
      </c>
      <c r="H246" s="32">
        <f t="shared" ca="1" si="3"/>
        <v>46076</v>
      </c>
      <c r="I246">
        <f ca="1">Таблица3[[#This Row],[Текущая дата]]-Продажи[[#This Row],[Дата регистрации клиента]]</f>
        <v>1494</v>
      </c>
      <c r="J246">
        <f ca="1">ROUND((Таблица3[[#This Row],[Текущая дата]] - Продажи[[#This Row],[Дата регистрации клиента]]) / 30, 0)</f>
        <v>50</v>
      </c>
      <c r="K246" t="e">
        <f>LEFT(C246,#REF!- 1)</f>
        <v>#REF!</v>
      </c>
    </row>
    <row r="247" spans="1:11" x14ac:dyDescent="0.3">
      <c r="A247">
        <v>358</v>
      </c>
      <c r="B247" t="s">
        <v>706</v>
      </c>
      <c r="C247" t="s">
        <v>705</v>
      </c>
      <c r="D247" t="s">
        <v>142</v>
      </c>
      <c r="E247" s="32">
        <v>44771</v>
      </c>
      <c r="F247" t="s">
        <v>127</v>
      </c>
      <c r="G247" t="str">
        <f>INDEX('коды стран'!$A$2:$A$6, MATCH(F247, 'коды стран'!$B$2:$B$6, 0))</f>
        <v>Украина</v>
      </c>
      <c r="H247" s="32">
        <f t="shared" ca="1" si="3"/>
        <v>46076</v>
      </c>
      <c r="I247">
        <f ca="1">Таблица3[[#This Row],[Текущая дата]]-Продажи[[#This Row],[Дата регистрации клиента]]</f>
        <v>1403</v>
      </c>
      <c r="J247">
        <f ca="1">ROUND((Таблица3[[#This Row],[Текущая дата]] - Продажи[[#This Row],[Дата регистрации клиента]]) / 30, 0)</f>
        <v>47</v>
      </c>
      <c r="K247" t="e">
        <f>LEFT(C247,#REF!- 1)</f>
        <v>#REF!</v>
      </c>
    </row>
    <row r="248" spans="1:11" x14ac:dyDescent="0.3">
      <c r="A248">
        <v>59</v>
      </c>
      <c r="B248" t="s">
        <v>680</v>
      </c>
      <c r="C248" t="s">
        <v>679</v>
      </c>
      <c r="D248" t="s">
        <v>142</v>
      </c>
      <c r="E248" s="32">
        <v>44770</v>
      </c>
      <c r="F248" t="s">
        <v>135</v>
      </c>
      <c r="G248" t="str">
        <f>INDEX('коды стран'!$A$2:$A$6, MATCH(F248, 'коды стран'!$B$2:$B$6, 0))</f>
        <v>Россия</v>
      </c>
      <c r="H248" s="32">
        <f t="shared" ca="1" si="3"/>
        <v>46076</v>
      </c>
      <c r="I248">
        <f ca="1">Таблица3[[#This Row],[Текущая дата]]-Продажи[[#This Row],[Дата регистрации клиента]]</f>
        <v>1218</v>
      </c>
      <c r="J248">
        <f ca="1">ROUND((Таблица3[[#This Row],[Текущая дата]] - Продажи[[#This Row],[Дата регистрации клиента]]) / 30, 0)</f>
        <v>41</v>
      </c>
      <c r="K248" t="e">
        <f>LEFT(C248,#REF!- 1)</f>
        <v>#REF!</v>
      </c>
    </row>
    <row r="249" spans="1:11" x14ac:dyDescent="0.3">
      <c r="A249">
        <v>411</v>
      </c>
      <c r="B249" t="s">
        <v>678</v>
      </c>
      <c r="C249" t="s">
        <v>677</v>
      </c>
      <c r="D249" t="s">
        <v>139</v>
      </c>
      <c r="E249" s="32">
        <v>44673</v>
      </c>
      <c r="F249" t="s">
        <v>129</v>
      </c>
      <c r="G249" t="str">
        <f>INDEX('коды стран'!$A$2:$A$6, MATCH(F249, 'коды стран'!$B$2:$B$6, 0))</f>
        <v>Таджикистан</v>
      </c>
      <c r="H249" s="32">
        <f t="shared" ca="1" si="3"/>
        <v>46076</v>
      </c>
      <c r="I249">
        <f ca="1">Таблица3[[#This Row],[Текущая дата]]-Продажи[[#This Row],[Дата регистрации клиента]]</f>
        <v>1511</v>
      </c>
      <c r="J249">
        <f ca="1">ROUND((Таблица3[[#This Row],[Текущая дата]] - Продажи[[#This Row],[Дата регистрации клиента]]) / 30, 0)</f>
        <v>50</v>
      </c>
      <c r="K249" t="e">
        <f>LEFT(C249,#REF!- 1)</f>
        <v>#REF!</v>
      </c>
    </row>
    <row r="250" spans="1:11" x14ac:dyDescent="0.3">
      <c r="A250">
        <v>295</v>
      </c>
      <c r="B250" t="s">
        <v>656</v>
      </c>
      <c r="C250" t="s">
        <v>655</v>
      </c>
      <c r="D250" t="s">
        <v>139</v>
      </c>
      <c r="E250" s="32">
        <v>44588</v>
      </c>
      <c r="F250" t="s">
        <v>135</v>
      </c>
      <c r="G250" t="str">
        <f>INDEX('коды стран'!$A$2:$A$6, MATCH(F250, 'коды стран'!$B$2:$B$6, 0))</f>
        <v>Россия</v>
      </c>
      <c r="H250" s="32">
        <f t="shared" ca="1" si="3"/>
        <v>46076</v>
      </c>
      <c r="I250">
        <f ca="1">Таблица3[[#This Row],[Текущая дата]]-Продажи[[#This Row],[Дата регистрации клиента]]</f>
        <v>1513</v>
      </c>
      <c r="J250">
        <f ca="1">ROUND((Таблица3[[#This Row],[Текущая дата]] - Продажи[[#This Row],[Дата регистрации клиента]]) / 30, 0)</f>
        <v>50</v>
      </c>
      <c r="K250" t="e">
        <f>LEFT(C250,#REF!- 1)</f>
        <v>#REF!</v>
      </c>
    </row>
    <row r="251" spans="1:11" x14ac:dyDescent="0.3">
      <c r="A251">
        <v>235</v>
      </c>
      <c r="B251" t="s">
        <v>654</v>
      </c>
      <c r="C251" t="s">
        <v>653</v>
      </c>
      <c r="D251" t="s">
        <v>139</v>
      </c>
      <c r="E251" s="32">
        <v>44635</v>
      </c>
      <c r="F251" t="s">
        <v>131</v>
      </c>
      <c r="G251" t="str">
        <f>INDEX('коды стран'!$A$2:$A$6, MATCH(F251, 'коды стран'!$B$2:$B$6, 0))</f>
        <v>Узбекистан</v>
      </c>
      <c r="H251" s="32">
        <f t="shared" ca="1" si="3"/>
        <v>46076</v>
      </c>
      <c r="I251">
        <f ca="1">Таблица3[[#This Row],[Текущая дата]]-Продажи[[#This Row],[Дата регистрации клиента]]</f>
        <v>1295</v>
      </c>
      <c r="J251">
        <f ca="1">ROUND((Таблица3[[#This Row],[Текущая дата]] - Продажи[[#This Row],[Дата регистрации клиента]]) / 30, 0)</f>
        <v>43</v>
      </c>
      <c r="K251" t="e">
        <f>LEFT(C251,#REF!- 1)</f>
        <v>#REF!</v>
      </c>
    </row>
    <row r="252" spans="1:11" x14ac:dyDescent="0.3">
      <c r="A252">
        <v>456</v>
      </c>
      <c r="B252" t="s">
        <v>608</v>
      </c>
      <c r="C252" t="s">
        <v>607</v>
      </c>
      <c r="D252" t="s">
        <v>142</v>
      </c>
      <c r="E252" s="32">
        <v>44618</v>
      </c>
      <c r="F252" t="s">
        <v>135</v>
      </c>
      <c r="G252" t="str">
        <f>INDEX('коды стран'!$A$2:$A$6, MATCH(F252, 'коды стран'!$B$2:$B$6, 0))</f>
        <v>Россия</v>
      </c>
      <c r="H252" s="32">
        <f t="shared" ca="1" si="3"/>
        <v>46076</v>
      </c>
      <c r="I252">
        <f ca="1">Таблица3[[#This Row],[Текущая дата]]-Продажи[[#This Row],[Дата регистрации клиента]]</f>
        <v>1370</v>
      </c>
      <c r="J252">
        <f ca="1">ROUND((Таблица3[[#This Row],[Текущая дата]] - Продажи[[#This Row],[Дата регистрации клиента]]) / 30, 0)</f>
        <v>46</v>
      </c>
      <c r="K252" t="e">
        <f>LEFT(C252,#REF!- 1)</f>
        <v>#REF!</v>
      </c>
    </row>
    <row r="253" spans="1:11" x14ac:dyDescent="0.3">
      <c r="A253">
        <v>77</v>
      </c>
      <c r="B253" t="s">
        <v>602</v>
      </c>
      <c r="C253" t="s">
        <v>601</v>
      </c>
      <c r="D253" t="s">
        <v>139</v>
      </c>
      <c r="E253" s="32">
        <v>44644</v>
      </c>
      <c r="F253" t="s">
        <v>135</v>
      </c>
      <c r="G253" t="str">
        <f>INDEX('коды стран'!$A$2:$A$6, MATCH(F253, 'коды стран'!$B$2:$B$6, 0))</f>
        <v>Россия</v>
      </c>
      <c r="H253" s="32">
        <f t="shared" ca="1" si="3"/>
        <v>46076</v>
      </c>
      <c r="I253">
        <f ca="1">Таблица3[[#This Row],[Текущая дата]]-Продажи[[#This Row],[Дата регистрации клиента]]</f>
        <v>1313</v>
      </c>
      <c r="J253">
        <f ca="1">ROUND((Таблица3[[#This Row],[Текущая дата]] - Продажи[[#This Row],[Дата регистрации клиента]]) / 30, 0)</f>
        <v>44</v>
      </c>
      <c r="K253" t="e">
        <f>LEFT(C253,#REF!- 1)</f>
        <v>#REF!</v>
      </c>
    </row>
    <row r="254" spans="1:11" x14ac:dyDescent="0.3">
      <c r="A254">
        <v>120</v>
      </c>
      <c r="B254" t="s">
        <v>570</v>
      </c>
      <c r="C254" t="s">
        <v>569</v>
      </c>
      <c r="D254" t="s">
        <v>142</v>
      </c>
      <c r="E254" s="32">
        <v>44691</v>
      </c>
      <c r="F254" t="s">
        <v>135</v>
      </c>
      <c r="G254" t="str">
        <f>INDEX('коды стран'!$A$2:$A$6, MATCH(F254, 'коды стран'!$B$2:$B$6, 0))</f>
        <v>Россия</v>
      </c>
      <c r="H254" s="32">
        <f t="shared" ca="1" si="3"/>
        <v>46076</v>
      </c>
      <c r="I254">
        <f ca="1">Таблица3[[#This Row],[Текущая дата]]-Продажи[[#This Row],[Дата регистрации клиента]]</f>
        <v>1369</v>
      </c>
      <c r="J254">
        <f ca="1">ROUND((Таблица3[[#This Row],[Текущая дата]] - Продажи[[#This Row],[Дата регистрации клиента]]) / 30, 0)</f>
        <v>46</v>
      </c>
      <c r="K254" t="e">
        <f>LEFT(C254,#REF!- 1)</f>
        <v>#REF!</v>
      </c>
    </row>
    <row r="255" spans="1:11" x14ac:dyDescent="0.3">
      <c r="A255">
        <v>57</v>
      </c>
      <c r="B255" t="s">
        <v>508</v>
      </c>
      <c r="C255" t="s">
        <v>507</v>
      </c>
      <c r="D255" t="s">
        <v>139</v>
      </c>
      <c r="E255" s="32">
        <v>44669</v>
      </c>
      <c r="F255" t="s">
        <v>135</v>
      </c>
      <c r="G255" t="str">
        <f>INDEX('коды стран'!$A$2:$A$6, MATCH(F255, 'коды стран'!$B$2:$B$6, 0))</f>
        <v>Россия</v>
      </c>
      <c r="H255" s="32">
        <f t="shared" ca="1" si="3"/>
        <v>46076</v>
      </c>
      <c r="I255">
        <f ca="1">Таблица3[[#This Row],[Текущая дата]]-Продажи[[#This Row],[Дата регистрации клиента]]</f>
        <v>1283</v>
      </c>
      <c r="J255">
        <f ca="1">ROUND((Таблица3[[#This Row],[Текущая дата]] - Продажи[[#This Row],[Дата регистрации клиента]]) / 30, 0)</f>
        <v>43</v>
      </c>
      <c r="K255" t="e">
        <f>LEFT(C255,#REF!- 1)</f>
        <v>#REF!</v>
      </c>
    </row>
    <row r="256" spans="1:11" x14ac:dyDescent="0.3">
      <c r="A256">
        <v>406</v>
      </c>
      <c r="B256" t="s">
        <v>504</v>
      </c>
      <c r="C256" t="s">
        <v>503</v>
      </c>
      <c r="D256" t="s">
        <v>142</v>
      </c>
      <c r="E256" s="32">
        <v>44895</v>
      </c>
      <c r="F256" t="s">
        <v>127</v>
      </c>
      <c r="G256" t="str">
        <f>INDEX('коды стран'!$A$2:$A$6, MATCH(F256, 'коды стран'!$B$2:$B$6, 0))</f>
        <v>Украина</v>
      </c>
      <c r="H256" s="32">
        <f t="shared" ca="1" si="3"/>
        <v>46076</v>
      </c>
      <c r="I256">
        <f ca="1">Таблица3[[#This Row],[Текущая дата]]-Продажи[[#This Row],[Дата регистрации клиента]]</f>
        <v>1278</v>
      </c>
      <c r="J256">
        <f ca="1">ROUND((Таблица3[[#This Row],[Текущая дата]] - Продажи[[#This Row],[Дата регистрации клиента]]) / 30, 0)</f>
        <v>43</v>
      </c>
      <c r="K256" t="e">
        <f>LEFT(C256,#REF!- 1)</f>
        <v>#REF!</v>
      </c>
    </row>
    <row r="257" spans="1:11" x14ac:dyDescent="0.3">
      <c r="A257">
        <v>129</v>
      </c>
      <c r="B257" t="s">
        <v>488</v>
      </c>
      <c r="C257" t="s">
        <v>487</v>
      </c>
      <c r="D257" t="s">
        <v>139</v>
      </c>
      <c r="E257" s="32">
        <v>44868</v>
      </c>
      <c r="F257" t="s">
        <v>133</v>
      </c>
      <c r="G257" t="str">
        <f>INDEX('коды стран'!$A$2:$A$6, MATCH(F257, 'коды стран'!$B$2:$B$6, 0))</f>
        <v>Беларусь</v>
      </c>
      <c r="H257" s="32">
        <f t="shared" ca="1" si="3"/>
        <v>46076</v>
      </c>
      <c r="I257">
        <f ca="1">Таблица3[[#This Row],[Текущая дата]]-Продажи[[#This Row],[Дата регистрации клиента]]</f>
        <v>1346</v>
      </c>
      <c r="J257">
        <f ca="1">ROUND((Таблица3[[#This Row],[Текущая дата]] - Продажи[[#This Row],[Дата регистрации клиента]]) / 30, 0)</f>
        <v>45</v>
      </c>
      <c r="K257" t="e">
        <f>LEFT(C257,#REF!- 1)</f>
        <v>#REF!</v>
      </c>
    </row>
    <row r="258" spans="1:11" x14ac:dyDescent="0.3">
      <c r="A258">
        <v>102</v>
      </c>
      <c r="B258" t="s">
        <v>412</v>
      </c>
      <c r="C258" t="s">
        <v>411</v>
      </c>
      <c r="D258" t="s">
        <v>139</v>
      </c>
      <c r="E258" s="32">
        <v>44723</v>
      </c>
      <c r="F258" t="s">
        <v>131</v>
      </c>
      <c r="G258" t="str">
        <f>INDEX('коды стран'!$A$2:$A$6, MATCH(F258, 'коды стран'!$B$2:$B$6, 0))</f>
        <v>Узбекистан</v>
      </c>
      <c r="H258" s="32">
        <f t="shared" ref="H258:H321" ca="1" si="4">TODAY()</f>
        <v>46076</v>
      </c>
      <c r="I258">
        <f ca="1">Таблица3[[#This Row],[Текущая дата]]-Продажи[[#This Row],[Дата регистрации клиента]]</f>
        <v>1489</v>
      </c>
      <c r="J258">
        <f ca="1">ROUND((Таблица3[[#This Row],[Текущая дата]] - Продажи[[#This Row],[Дата регистрации клиента]]) / 30, 0)</f>
        <v>50</v>
      </c>
      <c r="K258" t="e">
        <f>LEFT(C258,#REF!- 1)</f>
        <v>#REF!</v>
      </c>
    </row>
    <row r="259" spans="1:11" x14ac:dyDescent="0.3">
      <c r="A259">
        <v>326</v>
      </c>
      <c r="B259" t="s">
        <v>406</v>
      </c>
      <c r="C259" t="s">
        <v>405</v>
      </c>
      <c r="D259" t="s">
        <v>139</v>
      </c>
      <c r="E259" s="32">
        <v>44655</v>
      </c>
      <c r="F259" t="s">
        <v>135</v>
      </c>
      <c r="G259" t="str">
        <f>INDEX('коды стран'!$A$2:$A$6, MATCH(F259, 'коды стран'!$B$2:$B$6, 0))</f>
        <v>Россия</v>
      </c>
      <c r="H259" s="32">
        <f t="shared" ca="1" si="4"/>
        <v>46076</v>
      </c>
      <c r="I259">
        <f ca="1">Таблица3[[#This Row],[Текущая дата]]-Продажи[[#This Row],[Дата регистрации клиента]]</f>
        <v>1221</v>
      </c>
      <c r="J259">
        <f ca="1">ROUND((Таблица3[[#This Row],[Текущая дата]] - Продажи[[#This Row],[Дата регистрации клиента]]) / 30, 0)</f>
        <v>41</v>
      </c>
      <c r="K259" t="e">
        <f>LEFT(C259,#REF!- 1)</f>
        <v>#REF!</v>
      </c>
    </row>
    <row r="260" spans="1:11" x14ac:dyDescent="0.3">
      <c r="A260">
        <v>225</v>
      </c>
      <c r="B260" t="s">
        <v>394</v>
      </c>
      <c r="C260" t="s">
        <v>393</v>
      </c>
      <c r="D260" t="s">
        <v>142</v>
      </c>
      <c r="E260" s="32">
        <v>44827</v>
      </c>
      <c r="F260" t="s">
        <v>133</v>
      </c>
      <c r="G260" t="str">
        <f>INDEX('коды стран'!$A$2:$A$6, MATCH(F260, 'коды стран'!$B$2:$B$6, 0))</f>
        <v>Беларусь</v>
      </c>
      <c r="H260" s="32">
        <f t="shared" ca="1" si="4"/>
        <v>46076</v>
      </c>
      <c r="I260">
        <f ca="1">Таблица3[[#This Row],[Текущая дата]]-Продажи[[#This Row],[Дата регистрации клиента]]</f>
        <v>1332</v>
      </c>
      <c r="J260">
        <f ca="1">ROUND((Таблица3[[#This Row],[Текущая дата]] - Продажи[[#This Row],[Дата регистрации клиента]]) / 30, 0)</f>
        <v>44</v>
      </c>
      <c r="K260" t="e">
        <f>LEFT(C260,#REF!- 1)</f>
        <v>#REF!</v>
      </c>
    </row>
    <row r="261" spans="1:11" x14ac:dyDescent="0.3">
      <c r="A261">
        <v>370</v>
      </c>
      <c r="B261" t="s">
        <v>380</v>
      </c>
      <c r="C261" t="s">
        <v>379</v>
      </c>
      <c r="D261" t="s">
        <v>142</v>
      </c>
      <c r="E261" s="32">
        <v>44726</v>
      </c>
      <c r="F261" t="s">
        <v>129</v>
      </c>
      <c r="G261" t="str">
        <f>INDEX('коды стран'!$A$2:$A$6, MATCH(F261, 'коды стран'!$B$2:$B$6, 0))</f>
        <v>Таджикистан</v>
      </c>
      <c r="H261" s="32">
        <f t="shared" ca="1" si="4"/>
        <v>46076</v>
      </c>
      <c r="I261">
        <f ca="1">Таблица3[[#This Row],[Текущая дата]]-Продажи[[#This Row],[Дата регистрации клиента]]</f>
        <v>1471</v>
      </c>
      <c r="J261">
        <f ca="1">ROUND((Таблица3[[#This Row],[Текущая дата]] - Продажи[[#This Row],[Дата регистрации клиента]]) / 30, 0)</f>
        <v>49</v>
      </c>
      <c r="K261" t="e">
        <f>LEFT(C261,#REF!- 1)</f>
        <v>#REF!</v>
      </c>
    </row>
    <row r="262" spans="1:11" x14ac:dyDescent="0.3">
      <c r="A262">
        <v>127</v>
      </c>
      <c r="B262" t="s">
        <v>374</v>
      </c>
      <c r="C262" t="s">
        <v>373</v>
      </c>
      <c r="D262" t="s">
        <v>139</v>
      </c>
      <c r="E262" s="32">
        <v>44914</v>
      </c>
      <c r="F262" t="s">
        <v>127</v>
      </c>
      <c r="G262" t="str">
        <f>INDEX('коды стран'!$A$2:$A$6, MATCH(F262, 'коды стран'!$B$2:$B$6, 0))</f>
        <v>Украина</v>
      </c>
      <c r="H262" s="32">
        <f t="shared" ca="1" si="4"/>
        <v>46076</v>
      </c>
      <c r="I262">
        <f ca="1">Таблица3[[#This Row],[Текущая дата]]-Продажи[[#This Row],[Дата регистрации клиента]]</f>
        <v>1383</v>
      </c>
      <c r="J262">
        <f ca="1">ROUND((Таблица3[[#This Row],[Текущая дата]] - Продажи[[#This Row],[Дата регистрации клиента]]) / 30, 0)</f>
        <v>46</v>
      </c>
      <c r="K262" t="e">
        <f>LEFT(C262,#REF!- 1)</f>
        <v>#REF!</v>
      </c>
    </row>
    <row r="263" spans="1:11" x14ac:dyDescent="0.3">
      <c r="A263">
        <v>206</v>
      </c>
      <c r="B263" t="s">
        <v>368</v>
      </c>
      <c r="C263" t="s">
        <v>367</v>
      </c>
      <c r="D263" t="s">
        <v>139</v>
      </c>
      <c r="E263" s="32">
        <v>44568</v>
      </c>
      <c r="F263" t="s">
        <v>135</v>
      </c>
      <c r="G263" t="str">
        <f>INDEX('коды стран'!$A$2:$A$6, MATCH(F263, 'коды стран'!$B$2:$B$6, 0))</f>
        <v>Россия</v>
      </c>
      <c r="H263" s="32">
        <f t="shared" ca="1" si="4"/>
        <v>46076</v>
      </c>
      <c r="I263">
        <f ca="1">Таблица3[[#This Row],[Текущая дата]]-Продажи[[#This Row],[Дата регистрации клиента]]</f>
        <v>1403</v>
      </c>
      <c r="J263">
        <f ca="1">ROUND((Таблица3[[#This Row],[Текущая дата]] - Продажи[[#This Row],[Дата регистрации клиента]]) / 30, 0)</f>
        <v>47</v>
      </c>
      <c r="K263" t="e">
        <f>LEFT(C263,#REF!- 1)</f>
        <v>#REF!</v>
      </c>
    </row>
    <row r="264" spans="1:11" x14ac:dyDescent="0.3">
      <c r="A264">
        <v>27</v>
      </c>
      <c r="B264" t="s">
        <v>354</v>
      </c>
      <c r="C264" t="s">
        <v>353</v>
      </c>
      <c r="D264" t="s">
        <v>139</v>
      </c>
      <c r="E264" s="32">
        <v>44586</v>
      </c>
      <c r="F264" t="s">
        <v>127</v>
      </c>
      <c r="G264" t="str">
        <f>INDEX('коды стран'!$A$2:$A$6, MATCH(F264, 'коды стран'!$B$2:$B$6, 0))</f>
        <v>Украина</v>
      </c>
      <c r="H264" s="32">
        <f t="shared" ca="1" si="4"/>
        <v>46076</v>
      </c>
      <c r="I264">
        <f ca="1">Таблица3[[#This Row],[Текущая дата]]-Продажи[[#This Row],[Дата регистрации клиента]]</f>
        <v>1427</v>
      </c>
      <c r="J264">
        <f ca="1">ROUND((Таблица3[[#This Row],[Текущая дата]] - Продажи[[#This Row],[Дата регистрации клиента]]) / 30, 0)</f>
        <v>48</v>
      </c>
      <c r="K264" t="e">
        <f>LEFT(C264,#REF!- 1)</f>
        <v>#REF!</v>
      </c>
    </row>
    <row r="265" spans="1:11" x14ac:dyDescent="0.3">
      <c r="A265">
        <v>163</v>
      </c>
      <c r="B265" t="s">
        <v>308</v>
      </c>
      <c r="C265" t="s">
        <v>307</v>
      </c>
      <c r="D265" t="s">
        <v>142</v>
      </c>
      <c r="E265" s="32">
        <v>44571</v>
      </c>
      <c r="F265" t="s">
        <v>131</v>
      </c>
      <c r="G265" t="str">
        <f>INDEX('коды стран'!$A$2:$A$6, MATCH(F265, 'коды стран'!$B$2:$B$6, 0))</f>
        <v>Узбекистан</v>
      </c>
      <c r="H265" s="32">
        <f t="shared" ca="1" si="4"/>
        <v>46076</v>
      </c>
      <c r="I265">
        <f ca="1">Таблица3[[#This Row],[Текущая дата]]-Продажи[[#This Row],[Дата регистрации клиента]]</f>
        <v>1176</v>
      </c>
      <c r="J265">
        <f ca="1">ROUND((Таблица3[[#This Row],[Текущая дата]] - Продажи[[#This Row],[Дата регистрации клиента]]) / 30, 0)</f>
        <v>39</v>
      </c>
      <c r="K265" t="e">
        <f>LEFT(C265,#REF!- 1)</f>
        <v>#REF!</v>
      </c>
    </row>
    <row r="266" spans="1:11" x14ac:dyDescent="0.3">
      <c r="A266">
        <v>188</v>
      </c>
      <c r="B266" t="s">
        <v>236</v>
      </c>
      <c r="C266" t="s">
        <v>235</v>
      </c>
      <c r="D266" t="s">
        <v>139</v>
      </c>
      <c r="E266" s="32">
        <v>44801</v>
      </c>
      <c r="F266" t="s">
        <v>129</v>
      </c>
      <c r="G266" t="str">
        <f>INDEX('коды стран'!$A$2:$A$6, MATCH(F266, 'коды стран'!$B$2:$B$6, 0))</f>
        <v>Таджикистан</v>
      </c>
      <c r="H266" s="32">
        <f t="shared" ca="1" si="4"/>
        <v>46076</v>
      </c>
      <c r="I266">
        <f ca="1">Таблица3[[#This Row],[Текущая дата]]-Продажи[[#This Row],[Дата регистрации клиента]]</f>
        <v>1458</v>
      </c>
      <c r="J266">
        <f ca="1">ROUND((Таблица3[[#This Row],[Текущая дата]] - Продажи[[#This Row],[Дата регистрации клиента]]) / 30, 0)</f>
        <v>49</v>
      </c>
      <c r="K266" t="e">
        <f>LEFT(C266,#REF!- 1)</f>
        <v>#REF!</v>
      </c>
    </row>
    <row r="267" spans="1:11" x14ac:dyDescent="0.3">
      <c r="A267">
        <v>404</v>
      </c>
      <c r="B267" t="s">
        <v>212</v>
      </c>
      <c r="C267" t="s">
        <v>211</v>
      </c>
      <c r="D267" t="s">
        <v>139</v>
      </c>
      <c r="E267" s="32">
        <v>44913</v>
      </c>
      <c r="F267" t="s">
        <v>127</v>
      </c>
      <c r="G267" t="str">
        <f>INDEX('коды стран'!$A$2:$A$6, MATCH(F267, 'коды стран'!$B$2:$B$6, 0))</f>
        <v>Украина</v>
      </c>
      <c r="H267" s="32">
        <f t="shared" ca="1" si="4"/>
        <v>46076</v>
      </c>
      <c r="I267">
        <f ca="1">Таблица3[[#This Row],[Текущая дата]]-Продажи[[#This Row],[Дата регистрации клиента]]</f>
        <v>1496</v>
      </c>
      <c r="J267">
        <f ca="1">ROUND((Таблица3[[#This Row],[Текущая дата]] - Продажи[[#This Row],[Дата регистрации клиента]]) / 30, 0)</f>
        <v>50</v>
      </c>
      <c r="K267" t="e">
        <f>LEFT(C267,#REF!- 1)</f>
        <v>#REF!</v>
      </c>
    </row>
    <row r="268" spans="1:11" x14ac:dyDescent="0.3">
      <c r="A268">
        <v>482</v>
      </c>
      <c r="B268" t="s">
        <v>186</v>
      </c>
      <c r="C268" t="s">
        <v>185</v>
      </c>
      <c r="D268" t="s">
        <v>139</v>
      </c>
      <c r="E268" s="32">
        <v>44679</v>
      </c>
      <c r="F268" t="s">
        <v>127</v>
      </c>
      <c r="G268" t="str">
        <f>INDEX('коды стран'!$A$2:$A$6, MATCH(F268, 'коды стран'!$B$2:$B$6, 0))</f>
        <v>Украина</v>
      </c>
      <c r="H268" s="32">
        <f t="shared" ca="1" si="4"/>
        <v>46076</v>
      </c>
      <c r="I268">
        <f ca="1">Таблица3[[#This Row],[Текущая дата]]-Продажи[[#This Row],[Дата регистрации клиента]]</f>
        <v>1421</v>
      </c>
      <c r="J268">
        <f ca="1">ROUND((Таблица3[[#This Row],[Текущая дата]] - Продажи[[#This Row],[Дата регистрации клиента]]) / 30, 0)</f>
        <v>47</v>
      </c>
      <c r="K268" t="e">
        <f>LEFT(C268,#REF!- 1)</f>
        <v>#REF!</v>
      </c>
    </row>
    <row r="269" spans="1:11" x14ac:dyDescent="0.3">
      <c r="A269">
        <v>417</v>
      </c>
      <c r="B269" t="s">
        <v>180</v>
      </c>
      <c r="C269" t="s">
        <v>179</v>
      </c>
      <c r="D269" t="s">
        <v>139</v>
      </c>
      <c r="E269" s="32">
        <v>44608</v>
      </c>
      <c r="F269" t="s">
        <v>129</v>
      </c>
      <c r="G269" t="str">
        <f>INDEX('коды стран'!$A$2:$A$6, MATCH(F269, 'коды стран'!$B$2:$B$6, 0))</f>
        <v>Таджикистан</v>
      </c>
      <c r="H269" s="32">
        <f t="shared" ca="1" si="4"/>
        <v>46076</v>
      </c>
      <c r="I269">
        <f ca="1">Таблица3[[#This Row],[Текущая дата]]-Продажи[[#This Row],[Дата регистрации клиента]]</f>
        <v>1491</v>
      </c>
      <c r="J269">
        <f ca="1">ROUND((Таблица3[[#This Row],[Текущая дата]] - Продажи[[#This Row],[Дата регистрации клиента]]) / 30, 0)</f>
        <v>50</v>
      </c>
      <c r="K269" t="e">
        <f>LEFT(C269,#REF!- 1)</f>
        <v>#REF!</v>
      </c>
    </row>
    <row r="270" spans="1:11" x14ac:dyDescent="0.3">
      <c r="A270">
        <v>491</v>
      </c>
      <c r="B270" t="s">
        <v>178</v>
      </c>
      <c r="C270" t="s">
        <v>177</v>
      </c>
      <c r="D270" t="s">
        <v>142</v>
      </c>
      <c r="E270" s="32">
        <v>44752</v>
      </c>
      <c r="F270" t="s">
        <v>135</v>
      </c>
      <c r="G270" t="str">
        <f>INDEX('коды стран'!$A$2:$A$6, MATCH(F270, 'коды стран'!$B$2:$B$6, 0))</f>
        <v>Россия</v>
      </c>
      <c r="H270" s="32">
        <f t="shared" ca="1" si="4"/>
        <v>46076</v>
      </c>
      <c r="I270">
        <f ca="1">Таблица3[[#This Row],[Текущая дата]]-Продажи[[#This Row],[Дата регистрации клиента]]</f>
        <v>1432</v>
      </c>
      <c r="J270">
        <f ca="1">ROUND((Таблица3[[#This Row],[Текущая дата]] - Продажи[[#This Row],[Дата регистрации клиента]]) / 30, 0)</f>
        <v>48</v>
      </c>
      <c r="K270" t="e">
        <f>LEFT(C270,#REF!- 1)</f>
        <v>#REF!</v>
      </c>
    </row>
    <row r="271" spans="1:11" x14ac:dyDescent="0.3">
      <c r="A271">
        <v>282</v>
      </c>
      <c r="B271" t="s">
        <v>164</v>
      </c>
      <c r="C271" t="s">
        <v>163</v>
      </c>
      <c r="D271" t="s">
        <v>142</v>
      </c>
      <c r="E271" s="32">
        <v>44735</v>
      </c>
      <c r="F271" t="s">
        <v>131</v>
      </c>
      <c r="G271" t="str">
        <f>INDEX('коды стран'!$A$2:$A$6, MATCH(F271, 'коды стран'!$B$2:$B$6, 0))</f>
        <v>Узбекистан</v>
      </c>
      <c r="H271" s="32">
        <f t="shared" ca="1" si="4"/>
        <v>46076</v>
      </c>
      <c r="I271">
        <f ca="1">Таблица3[[#This Row],[Текущая дата]]-Продажи[[#This Row],[Дата регистрации клиента]]</f>
        <v>1504</v>
      </c>
      <c r="J271">
        <f ca="1">ROUND((Таблица3[[#This Row],[Текущая дата]] - Продажи[[#This Row],[Дата регистрации клиента]]) / 30, 0)</f>
        <v>50</v>
      </c>
      <c r="K271" t="e">
        <f>LEFT(C271,#REF!- 1)</f>
        <v>#REF!</v>
      </c>
    </row>
    <row r="272" spans="1:11" x14ac:dyDescent="0.3">
      <c r="A272">
        <v>212</v>
      </c>
      <c r="B272" t="s">
        <v>160</v>
      </c>
      <c r="C272" t="s">
        <v>159</v>
      </c>
      <c r="D272" t="s">
        <v>139</v>
      </c>
      <c r="E272" s="32">
        <v>44815</v>
      </c>
      <c r="F272" t="s">
        <v>131</v>
      </c>
      <c r="G272" t="str">
        <f>INDEX('коды стран'!$A$2:$A$6, MATCH(F272, 'коды стран'!$B$2:$B$6, 0))</f>
        <v>Узбекистан</v>
      </c>
      <c r="H272" s="32">
        <f t="shared" ca="1" si="4"/>
        <v>46076</v>
      </c>
      <c r="I272">
        <f ca="1">Таблица3[[#This Row],[Текущая дата]]-Продажи[[#This Row],[Дата регистрации клиента]]</f>
        <v>1213</v>
      </c>
      <c r="J272">
        <f ca="1">ROUND((Таблица3[[#This Row],[Текущая дата]] - Продажи[[#This Row],[Дата регистрации клиента]]) / 30, 0)</f>
        <v>40</v>
      </c>
      <c r="K272" t="e">
        <f>LEFT(C272,#REF!- 1)</f>
        <v>#REF!</v>
      </c>
    </row>
    <row r="273" spans="1:11" x14ac:dyDescent="0.3">
      <c r="A273">
        <v>350</v>
      </c>
      <c r="B273" t="s">
        <v>992</v>
      </c>
      <c r="C273" t="s">
        <v>991</v>
      </c>
      <c r="D273" t="s">
        <v>139</v>
      </c>
      <c r="E273" s="32">
        <v>44684</v>
      </c>
      <c r="F273" t="s">
        <v>127</v>
      </c>
      <c r="G273" t="str">
        <f>INDEX('коды стран'!$A$2:$A$6, MATCH(F273, 'коды стран'!$B$2:$B$6, 0))</f>
        <v>Украина</v>
      </c>
      <c r="H273" s="32">
        <f t="shared" ca="1" si="4"/>
        <v>46076</v>
      </c>
      <c r="I273">
        <f ca="1">Таблица3[[#This Row],[Текущая дата]]-Продажи[[#This Row],[Дата регистрации клиента]]</f>
        <v>1514</v>
      </c>
      <c r="J273">
        <f ca="1">ROUND((Таблица3[[#This Row],[Текущая дата]] - Продажи[[#This Row],[Дата регистрации клиента]]) / 30, 0)</f>
        <v>50</v>
      </c>
      <c r="K273" t="e">
        <f>LEFT(C273,#REF!- 1)</f>
        <v>#REF!</v>
      </c>
    </row>
    <row r="274" spans="1:11" x14ac:dyDescent="0.3">
      <c r="A274">
        <v>164</v>
      </c>
      <c r="B274" t="s">
        <v>978</v>
      </c>
      <c r="C274" t="s">
        <v>977</v>
      </c>
      <c r="D274" t="s">
        <v>139</v>
      </c>
      <c r="E274" s="32">
        <v>44678</v>
      </c>
      <c r="F274" t="s">
        <v>135</v>
      </c>
      <c r="G274" t="str">
        <f>INDEX('коды стран'!$A$2:$A$6, MATCH(F274, 'коды стран'!$B$2:$B$6, 0))</f>
        <v>Россия</v>
      </c>
      <c r="H274" s="32">
        <f t="shared" ca="1" si="4"/>
        <v>46076</v>
      </c>
      <c r="I274">
        <f ca="1">Таблица3[[#This Row],[Текущая дата]]-Продажи[[#This Row],[Дата регистрации клиента]]</f>
        <v>1256</v>
      </c>
      <c r="J274">
        <f ca="1">ROUND((Таблица3[[#This Row],[Текущая дата]] - Продажи[[#This Row],[Дата регистрации клиента]]) / 30, 0)</f>
        <v>42</v>
      </c>
      <c r="K274" t="e">
        <f>LEFT(C274,#REF!- 1)</f>
        <v>#REF!</v>
      </c>
    </row>
    <row r="275" spans="1:11" x14ac:dyDescent="0.3">
      <c r="A275">
        <v>363</v>
      </c>
      <c r="B275" t="s">
        <v>968</v>
      </c>
      <c r="C275" t="s">
        <v>967</v>
      </c>
      <c r="D275" t="s">
        <v>139</v>
      </c>
      <c r="E275" s="32">
        <v>44675</v>
      </c>
      <c r="F275" t="s">
        <v>131</v>
      </c>
      <c r="G275" t="str">
        <f>INDEX('коды стран'!$A$2:$A$6, MATCH(F275, 'коды стран'!$B$2:$B$6, 0))</f>
        <v>Узбекистан</v>
      </c>
      <c r="H275" s="32">
        <f t="shared" ca="1" si="4"/>
        <v>46076</v>
      </c>
      <c r="I275">
        <f ca="1">Таблица3[[#This Row],[Текущая дата]]-Продажи[[#This Row],[Дата регистрации клиента]]</f>
        <v>1473</v>
      </c>
      <c r="J275">
        <f ca="1">ROUND((Таблица3[[#This Row],[Текущая дата]] - Продажи[[#This Row],[Дата регистрации клиента]]) / 30, 0)</f>
        <v>49</v>
      </c>
      <c r="K275" t="e">
        <f>LEFT(C275,#REF!- 1)</f>
        <v>#REF!</v>
      </c>
    </row>
    <row r="276" spans="1:11" x14ac:dyDescent="0.3">
      <c r="A276">
        <v>303</v>
      </c>
      <c r="B276" t="s">
        <v>960</v>
      </c>
      <c r="C276" t="s">
        <v>959</v>
      </c>
      <c r="D276" t="s">
        <v>139</v>
      </c>
      <c r="E276" s="32">
        <v>44689</v>
      </c>
      <c r="F276" t="s">
        <v>131</v>
      </c>
      <c r="G276" t="str">
        <f>INDEX('коды стран'!$A$2:$A$6, MATCH(F276, 'коды стран'!$B$2:$B$6, 0))</f>
        <v>Узбекистан</v>
      </c>
      <c r="H276" s="32">
        <f t="shared" ca="1" si="4"/>
        <v>46076</v>
      </c>
      <c r="I276">
        <f ca="1">Таблица3[[#This Row],[Текущая дата]]-Продажи[[#This Row],[Дата регистрации клиента]]</f>
        <v>1508</v>
      </c>
      <c r="J276">
        <f ca="1">ROUND((Таблица3[[#This Row],[Текущая дата]] - Продажи[[#This Row],[Дата регистрации клиента]]) / 30, 0)</f>
        <v>50</v>
      </c>
      <c r="K276" t="e">
        <f>LEFT(C276,#REF!- 1)</f>
        <v>#REF!</v>
      </c>
    </row>
    <row r="277" spans="1:11" x14ac:dyDescent="0.3">
      <c r="A277">
        <v>222</v>
      </c>
      <c r="B277" t="s">
        <v>900</v>
      </c>
      <c r="C277" t="s">
        <v>899</v>
      </c>
      <c r="D277" t="s">
        <v>142</v>
      </c>
      <c r="E277" s="32">
        <v>44694</v>
      </c>
      <c r="F277" t="s">
        <v>127</v>
      </c>
      <c r="G277" t="str">
        <f>INDEX('коды стран'!$A$2:$A$6, MATCH(F277, 'коды стран'!$B$2:$B$6, 0))</f>
        <v>Украина</v>
      </c>
      <c r="H277" s="32">
        <f t="shared" ca="1" si="4"/>
        <v>46076</v>
      </c>
      <c r="I277">
        <f ca="1">Таблица3[[#This Row],[Текущая дата]]-Продажи[[#This Row],[Дата регистрации клиента]]</f>
        <v>1320</v>
      </c>
      <c r="J277">
        <f ca="1">ROUND((Таблица3[[#This Row],[Текущая дата]] - Продажи[[#This Row],[Дата регистрации клиента]]) / 30, 0)</f>
        <v>44</v>
      </c>
      <c r="K277" t="e">
        <f>LEFT(C277,#REF!- 1)</f>
        <v>#REF!</v>
      </c>
    </row>
    <row r="278" spans="1:11" x14ac:dyDescent="0.3">
      <c r="A278">
        <v>14</v>
      </c>
      <c r="B278" t="s">
        <v>892</v>
      </c>
      <c r="C278" t="s">
        <v>891</v>
      </c>
      <c r="D278" t="s">
        <v>142</v>
      </c>
      <c r="E278" s="32">
        <v>44775</v>
      </c>
      <c r="F278" t="s">
        <v>129</v>
      </c>
      <c r="G278" t="str">
        <f>INDEX('коды стран'!$A$2:$A$6, MATCH(F278, 'коды стран'!$B$2:$B$6, 0))</f>
        <v>Таджикистан</v>
      </c>
      <c r="H278" s="32">
        <f t="shared" ca="1" si="4"/>
        <v>46076</v>
      </c>
      <c r="I278">
        <f ca="1">Таблица3[[#This Row],[Текущая дата]]-Продажи[[#This Row],[Дата регистрации клиента]]</f>
        <v>1209</v>
      </c>
      <c r="J278">
        <f ca="1">ROUND((Таблица3[[#This Row],[Текущая дата]] - Продажи[[#This Row],[Дата регистрации клиента]]) / 30, 0)</f>
        <v>40</v>
      </c>
      <c r="K278" t="e">
        <f>LEFT(C278,#REF!- 1)</f>
        <v>#REF!</v>
      </c>
    </row>
    <row r="279" spans="1:11" x14ac:dyDescent="0.3">
      <c r="A279">
        <v>423</v>
      </c>
      <c r="B279" t="s">
        <v>842</v>
      </c>
      <c r="C279" t="s">
        <v>841</v>
      </c>
      <c r="D279" t="s">
        <v>139</v>
      </c>
      <c r="E279" s="32">
        <v>44841</v>
      </c>
      <c r="F279" t="s">
        <v>133</v>
      </c>
      <c r="G279" t="str">
        <f>INDEX('коды стран'!$A$2:$A$6, MATCH(F279, 'коды стран'!$B$2:$B$6, 0))</f>
        <v>Беларусь</v>
      </c>
      <c r="H279" s="32">
        <f t="shared" ca="1" si="4"/>
        <v>46076</v>
      </c>
      <c r="I279">
        <f ca="1">Таблица3[[#This Row],[Текущая дата]]-Продажи[[#This Row],[Дата регистрации клиента]]</f>
        <v>1391</v>
      </c>
      <c r="J279">
        <f ca="1">ROUND((Таблица3[[#This Row],[Текущая дата]] - Продажи[[#This Row],[Дата регистрации клиента]]) / 30, 0)</f>
        <v>46</v>
      </c>
      <c r="K279" t="e">
        <f>LEFT(C279,#REF!- 1)</f>
        <v>#REF!</v>
      </c>
    </row>
    <row r="280" spans="1:11" x14ac:dyDescent="0.3">
      <c r="A280">
        <v>381</v>
      </c>
      <c r="B280" t="s">
        <v>780</v>
      </c>
      <c r="C280" t="s">
        <v>779</v>
      </c>
      <c r="D280" t="s">
        <v>139</v>
      </c>
      <c r="E280" s="32">
        <v>44714</v>
      </c>
      <c r="F280" t="s">
        <v>131</v>
      </c>
      <c r="G280" t="str">
        <f>INDEX('коды стран'!$A$2:$A$6, MATCH(F280, 'коды стран'!$B$2:$B$6, 0))</f>
        <v>Узбекистан</v>
      </c>
      <c r="H280" s="32">
        <f t="shared" ca="1" si="4"/>
        <v>46076</v>
      </c>
      <c r="I280">
        <f ca="1">Таблица3[[#This Row],[Текущая дата]]-Продажи[[#This Row],[Дата регистрации клиента]]</f>
        <v>1481</v>
      </c>
      <c r="J280">
        <f ca="1">ROUND((Таблица3[[#This Row],[Текущая дата]] - Продажи[[#This Row],[Дата регистрации клиента]]) / 30, 0)</f>
        <v>49</v>
      </c>
      <c r="K280" t="e">
        <f>LEFT(C280,#REF!- 1)</f>
        <v>#REF!</v>
      </c>
    </row>
    <row r="281" spans="1:11" x14ac:dyDescent="0.3">
      <c r="A281">
        <v>136</v>
      </c>
      <c r="B281" t="s">
        <v>760</v>
      </c>
      <c r="C281" t="s">
        <v>759</v>
      </c>
      <c r="D281" t="s">
        <v>142</v>
      </c>
      <c r="E281" s="32">
        <v>44860</v>
      </c>
      <c r="F281" t="s">
        <v>127</v>
      </c>
      <c r="G281" t="str">
        <f>INDEX('коды стран'!$A$2:$A$6, MATCH(F281, 'коды стран'!$B$2:$B$6, 0))</f>
        <v>Украина</v>
      </c>
      <c r="H281" s="32">
        <f t="shared" ca="1" si="4"/>
        <v>46076</v>
      </c>
      <c r="I281">
        <f ca="1">Таблица3[[#This Row],[Текущая дата]]-Продажи[[#This Row],[Дата регистрации клиента]]</f>
        <v>1195</v>
      </c>
      <c r="J281">
        <f ca="1">ROUND((Таблица3[[#This Row],[Текущая дата]] - Продажи[[#This Row],[Дата регистрации клиента]]) / 30, 0)</f>
        <v>40</v>
      </c>
      <c r="K281" t="e">
        <f>LEFT(C281,#REF!- 1)</f>
        <v>#REF!</v>
      </c>
    </row>
    <row r="282" spans="1:11" x14ac:dyDescent="0.3">
      <c r="A282">
        <v>52</v>
      </c>
      <c r="B282" t="s">
        <v>714</v>
      </c>
      <c r="C282" t="s">
        <v>713</v>
      </c>
      <c r="D282" t="s">
        <v>142</v>
      </c>
      <c r="E282" s="32">
        <v>44917</v>
      </c>
      <c r="F282" t="s">
        <v>135</v>
      </c>
      <c r="G282" t="str">
        <f>INDEX('коды стран'!$A$2:$A$6, MATCH(F282, 'коды стран'!$B$2:$B$6, 0))</f>
        <v>Россия</v>
      </c>
      <c r="H282" s="32">
        <f t="shared" ca="1" si="4"/>
        <v>46076</v>
      </c>
      <c r="I282">
        <f ca="1">Таблица3[[#This Row],[Текущая дата]]-Продажи[[#This Row],[Дата регистрации клиента]]</f>
        <v>1219</v>
      </c>
      <c r="J282">
        <f ca="1">ROUND((Таблица3[[#This Row],[Текущая дата]] - Продажи[[#This Row],[Дата регистрации клиента]]) / 30, 0)</f>
        <v>41</v>
      </c>
      <c r="K282" t="e">
        <f>LEFT(C282,#REF!- 1)</f>
        <v>#REF!</v>
      </c>
    </row>
    <row r="283" spans="1:11" x14ac:dyDescent="0.3">
      <c r="A283">
        <v>44</v>
      </c>
      <c r="B283" t="s">
        <v>704</v>
      </c>
      <c r="C283" t="s">
        <v>703</v>
      </c>
      <c r="D283" t="s">
        <v>139</v>
      </c>
      <c r="E283" s="32">
        <v>44701</v>
      </c>
      <c r="F283" t="s">
        <v>133</v>
      </c>
      <c r="G283" t="str">
        <f>INDEX('коды стран'!$A$2:$A$6, MATCH(F283, 'коды стран'!$B$2:$B$6, 0))</f>
        <v>Беларусь</v>
      </c>
      <c r="H283" s="32">
        <f t="shared" ca="1" si="4"/>
        <v>46076</v>
      </c>
      <c r="I283">
        <f ca="1">Таблица3[[#This Row],[Текущая дата]]-Продажи[[#This Row],[Дата регистрации клиента]]</f>
        <v>1278</v>
      </c>
      <c r="J283">
        <f ca="1">ROUND((Таблица3[[#This Row],[Текущая дата]] - Продажи[[#This Row],[Дата регистрации клиента]]) / 30, 0)</f>
        <v>43</v>
      </c>
      <c r="K283" t="e">
        <f>LEFT(C283,#REF!- 1)</f>
        <v>#REF!</v>
      </c>
    </row>
    <row r="284" spans="1:11" x14ac:dyDescent="0.3">
      <c r="A284">
        <v>175</v>
      </c>
      <c r="B284" t="s">
        <v>684</v>
      </c>
      <c r="C284" t="s">
        <v>683</v>
      </c>
      <c r="D284" t="s">
        <v>139</v>
      </c>
      <c r="E284" s="32">
        <v>44565</v>
      </c>
      <c r="F284" t="s">
        <v>135</v>
      </c>
      <c r="G284" t="str">
        <f>INDEX('коды стран'!$A$2:$A$6, MATCH(F284, 'коды стран'!$B$2:$B$6, 0))</f>
        <v>Россия</v>
      </c>
      <c r="H284" s="32">
        <f t="shared" ca="1" si="4"/>
        <v>46076</v>
      </c>
      <c r="I284">
        <f ca="1">Таблица3[[#This Row],[Текущая дата]]-Продажи[[#This Row],[Дата регистрации клиента]]</f>
        <v>1154</v>
      </c>
      <c r="J284">
        <f ca="1">ROUND((Таблица3[[#This Row],[Текущая дата]] - Продажи[[#This Row],[Дата регистрации клиента]]) / 30, 0)</f>
        <v>38</v>
      </c>
      <c r="K284" t="e">
        <f>LEFT(C284,#REF!- 1)</f>
        <v>#REF!</v>
      </c>
    </row>
    <row r="285" spans="1:11" x14ac:dyDescent="0.3">
      <c r="A285">
        <v>429</v>
      </c>
      <c r="B285" t="s">
        <v>640</v>
      </c>
      <c r="C285" t="s">
        <v>639</v>
      </c>
      <c r="D285" t="s">
        <v>142</v>
      </c>
      <c r="E285" s="32">
        <v>44625</v>
      </c>
      <c r="F285" t="s">
        <v>129</v>
      </c>
      <c r="G285" t="str">
        <f>INDEX('коды стран'!$A$2:$A$6, MATCH(F285, 'коды стран'!$B$2:$B$6, 0))</f>
        <v>Таджикистан</v>
      </c>
      <c r="H285" s="32">
        <f t="shared" ca="1" si="4"/>
        <v>46076</v>
      </c>
      <c r="I285">
        <f ca="1">Таблица3[[#This Row],[Текущая дата]]-Продажи[[#This Row],[Дата регистрации клиента]]</f>
        <v>1195</v>
      </c>
      <c r="J285">
        <f ca="1">ROUND((Таблица3[[#This Row],[Текущая дата]] - Продажи[[#This Row],[Дата регистрации клиента]]) / 30, 0)</f>
        <v>40</v>
      </c>
      <c r="K285" t="e">
        <f>LEFT(C285,#REF!- 1)</f>
        <v>#REF!</v>
      </c>
    </row>
    <row r="286" spans="1:11" x14ac:dyDescent="0.3">
      <c r="A286">
        <v>376</v>
      </c>
      <c r="B286" t="s">
        <v>620</v>
      </c>
      <c r="C286" t="s">
        <v>619</v>
      </c>
      <c r="D286" t="s">
        <v>142</v>
      </c>
      <c r="E286" s="32">
        <v>44730</v>
      </c>
      <c r="F286" t="s">
        <v>133</v>
      </c>
      <c r="G286" t="str">
        <f>INDEX('коды стран'!$A$2:$A$6, MATCH(F286, 'коды стран'!$B$2:$B$6, 0))</f>
        <v>Беларусь</v>
      </c>
      <c r="H286" s="32">
        <f t="shared" ca="1" si="4"/>
        <v>46076</v>
      </c>
      <c r="I286">
        <f ca="1">Таблица3[[#This Row],[Текущая дата]]-Продажи[[#This Row],[Дата регистрации клиента]]</f>
        <v>1431</v>
      </c>
      <c r="J286">
        <f ca="1">ROUND((Таблица3[[#This Row],[Текущая дата]] - Продажи[[#This Row],[Дата регистрации клиента]]) / 30, 0)</f>
        <v>48</v>
      </c>
      <c r="K286" t="e">
        <f>LEFT(C286,#REF!- 1)</f>
        <v>#REF!</v>
      </c>
    </row>
    <row r="287" spans="1:11" x14ac:dyDescent="0.3">
      <c r="A287">
        <v>216</v>
      </c>
      <c r="B287" t="s">
        <v>604</v>
      </c>
      <c r="C287" t="s">
        <v>603</v>
      </c>
      <c r="D287" t="s">
        <v>139</v>
      </c>
      <c r="E287" s="32">
        <v>44655</v>
      </c>
      <c r="F287" t="s">
        <v>129</v>
      </c>
      <c r="G287" t="str">
        <f>INDEX('коды стран'!$A$2:$A$6, MATCH(F287, 'коды стран'!$B$2:$B$6, 0))</f>
        <v>Таджикистан</v>
      </c>
      <c r="H287" s="32">
        <f t="shared" ca="1" si="4"/>
        <v>46076</v>
      </c>
      <c r="I287">
        <f ca="1">Таблица3[[#This Row],[Текущая дата]]-Продажи[[#This Row],[Дата регистрации клиента]]</f>
        <v>1217</v>
      </c>
      <c r="J287">
        <f ca="1">ROUND((Таблица3[[#This Row],[Текущая дата]] - Продажи[[#This Row],[Дата регистрации клиента]]) / 30, 0)</f>
        <v>41</v>
      </c>
      <c r="K287" t="e">
        <f>LEFT(C287,#REF!- 1)</f>
        <v>#REF!</v>
      </c>
    </row>
    <row r="288" spans="1:11" x14ac:dyDescent="0.3">
      <c r="A288">
        <v>86</v>
      </c>
      <c r="B288" t="s">
        <v>580</v>
      </c>
      <c r="C288" t="s">
        <v>579</v>
      </c>
      <c r="D288" t="s">
        <v>142</v>
      </c>
      <c r="E288" s="32">
        <v>44692</v>
      </c>
      <c r="F288" t="s">
        <v>131</v>
      </c>
      <c r="G288" t="str">
        <f>INDEX('коды стран'!$A$2:$A$6, MATCH(F288, 'коды стран'!$B$2:$B$6, 0))</f>
        <v>Узбекистан</v>
      </c>
      <c r="H288" s="32">
        <f t="shared" ca="1" si="4"/>
        <v>46076</v>
      </c>
      <c r="I288">
        <f ca="1">Таблица3[[#This Row],[Текущая дата]]-Продажи[[#This Row],[Дата регистрации клиента]]</f>
        <v>1352</v>
      </c>
      <c r="J288">
        <f ca="1">ROUND((Таблица3[[#This Row],[Текущая дата]] - Продажи[[#This Row],[Дата регистрации клиента]]) / 30, 0)</f>
        <v>45</v>
      </c>
      <c r="K288" t="e">
        <f>LEFT(C288,#REF!- 1)</f>
        <v>#REF!</v>
      </c>
    </row>
    <row r="289" spans="1:11" x14ac:dyDescent="0.3">
      <c r="A289">
        <v>13</v>
      </c>
      <c r="B289" t="s">
        <v>574</v>
      </c>
      <c r="C289" t="s">
        <v>573</v>
      </c>
      <c r="D289" t="s">
        <v>139</v>
      </c>
      <c r="E289" s="32">
        <v>44724</v>
      </c>
      <c r="F289" t="s">
        <v>135</v>
      </c>
      <c r="G289" t="str">
        <f>INDEX('коды стран'!$A$2:$A$6, MATCH(F289, 'коды стран'!$B$2:$B$6, 0))</f>
        <v>Россия</v>
      </c>
      <c r="H289" s="32">
        <f t="shared" ca="1" si="4"/>
        <v>46076</v>
      </c>
      <c r="I289">
        <f ca="1">Таблица3[[#This Row],[Текущая дата]]-Продажи[[#This Row],[Дата регистрации клиента]]</f>
        <v>1405</v>
      </c>
      <c r="J289">
        <f ca="1">ROUND((Таблица3[[#This Row],[Текущая дата]] - Продажи[[#This Row],[Дата регистрации клиента]]) / 30, 0)</f>
        <v>47</v>
      </c>
      <c r="K289" t="e">
        <f>LEFT(C289,#REF!- 1)</f>
        <v>#REF!</v>
      </c>
    </row>
    <row r="290" spans="1:11" x14ac:dyDescent="0.3">
      <c r="A290">
        <v>144</v>
      </c>
      <c r="B290" t="s">
        <v>518</v>
      </c>
      <c r="C290" t="s">
        <v>517</v>
      </c>
      <c r="D290" t="s">
        <v>142</v>
      </c>
      <c r="E290" s="32">
        <v>44705</v>
      </c>
      <c r="F290" t="s">
        <v>127</v>
      </c>
      <c r="G290" t="str">
        <f>INDEX('коды стран'!$A$2:$A$6, MATCH(F290, 'коды стран'!$B$2:$B$6, 0))</f>
        <v>Украина</v>
      </c>
      <c r="H290" s="32">
        <f t="shared" ca="1" si="4"/>
        <v>46076</v>
      </c>
      <c r="I290">
        <f ca="1">Таблица3[[#This Row],[Текущая дата]]-Продажи[[#This Row],[Дата регистрации клиента]]</f>
        <v>1249</v>
      </c>
      <c r="J290">
        <f ca="1">ROUND((Таблица3[[#This Row],[Текущая дата]] - Продажи[[#This Row],[Дата регистрации клиента]]) / 30, 0)</f>
        <v>42</v>
      </c>
      <c r="K290" t="e">
        <f>LEFT(C290,#REF!- 1)</f>
        <v>#REF!</v>
      </c>
    </row>
    <row r="291" spans="1:11" x14ac:dyDescent="0.3">
      <c r="A291">
        <v>19</v>
      </c>
      <c r="B291" t="s">
        <v>486</v>
      </c>
      <c r="C291" t="s">
        <v>485</v>
      </c>
      <c r="D291" t="s">
        <v>142</v>
      </c>
      <c r="E291" s="32">
        <v>44902</v>
      </c>
      <c r="F291" t="s">
        <v>135</v>
      </c>
      <c r="G291" t="str">
        <f>INDEX('коды стран'!$A$2:$A$6, MATCH(F291, 'коды стран'!$B$2:$B$6, 0))</f>
        <v>Россия</v>
      </c>
      <c r="H291" s="32">
        <f t="shared" ca="1" si="4"/>
        <v>46076</v>
      </c>
      <c r="I291">
        <f ca="1">Таблица3[[#This Row],[Текущая дата]]-Продажи[[#This Row],[Дата регистрации клиента]]</f>
        <v>1207</v>
      </c>
      <c r="J291">
        <f ca="1">ROUND((Таблица3[[#This Row],[Текущая дата]] - Продажи[[#This Row],[Дата регистрации клиента]]) / 30, 0)</f>
        <v>40</v>
      </c>
      <c r="K291" t="e">
        <f>LEFT(C291,#REF!- 1)</f>
        <v>#REF!</v>
      </c>
    </row>
    <row r="292" spans="1:11" x14ac:dyDescent="0.3">
      <c r="A292">
        <v>254</v>
      </c>
      <c r="B292" t="s">
        <v>454</v>
      </c>
      <c r="C292" t="s">
        <v>453</v>
      </c>
      <c r="D292" t="s">
        <v>142</v>
      </c>
      <c r="E292" s="32">
        <v>44862</v>
      </c>
      <c r="F292" t="s">
        <v>133</v>
      </c>
      <c r="G292" t="str">
        <f>INDEX('коды стран'!$A$2:$A$6, MATCH(F292, 'коды стран'!$B$2:$B$6, 0))</f>
        <v>Беларусь</v>
      </c>
      <c r="H292" s="32">
        <f t="shared" ca="1" si="4"/>
        <v>46076</v>
      </c>
      <c r="I292">
        <f ca="1">Таблица3[[#This Row],[Текущая дата]]-Продажи[[#This Row],[Дата регистрации клиента]]</f>
        <v>1456</v>
      </c>
      <c r="J292">
        <f ca="1">ROUND((Таблица3[[#This Row],[Текущая дата]] - Продажи[[#This Row],[Дата регистрации клиента]]) / 30, 0)</f>
        <v>49</v>
      </c>
      <c r="K292" t="e">
        <f>LEFT(C292,#REF!- 1)</f>
        <v>#REF!</v>
      </c>
    </row>
    <row r="293" spans="1:11" x14ac:dyDescent="0.3">
      <c r="A293">
        <v>124</v>
      </c>
      <c r="B293" t="s">
        <v>434</v>
      </c>
      <c r="C293" t="s">
        <v>433</v>
      </c>
      <c r="D293" t="s">
        <v>142</v>
      </c>
      <c r="E293" s="32">
        <v>44795</v>
      </c>
      <c r="F293" t="s">
        <v>135</v>
      </c>
      <c r="G293" t="str">
        <f>INDEX('коды стран'!$A$2:$A$6, MATCH(F293, 'коды стран'!$B$2:$B$6, 0))</f>
        <v>Россия</v>
      </c>
      <c r="H293" s="32">
        <f t="shared" ca="1" si="4"/>
        <v>46076</v>
      </c>
      <c r="I293">
        <f ca="1">Таблица3[[#This Row],[Текущая дата]]-Продажи[[#This Row],[Дата регистрации клиента]]</f>
        <v>1384</v>
      </c>
      <c r="J293">
        <f ca="1">ROUND((Таблица3[[#This Row],[Текущая дата]] - Продажи[[#This Row],[Дата регистрации клиента]]) / 30, 0)</f>
        <v>46</v>
      </c>
      <c r="K293" t="e">
        <f>LEFT(C293,#REF!- 1)</f>
        <v>#REF!</v>
      </c>
    </row>
    <row r="294" spans="1:11" x14ac:dyDescent="0.3">
      <c r="A294">
        <v>31</v>
      </c>
      <c r="B294" t="s">
        <v>426</v>
      </c>
      <c r="C294" t="s">
        <v>425</v>
      </c>
      <c r="D294" t="s">
        <v>139</v>
      </c>
      <c r="E294" s="32">
        <v>44580</v>
      </c>
      <c r="F294" t="s">
        <v>127</v>
      </c>
      <c r="G294" t="str">
        <f>INDEX('коды стран'!$A$2:$A$6, MATCH(F294, 'коды стран'!$B$2:$B$6, 0))</f>
        <v>Украина</v>
      </c>
      <c r="H294" s="32">
        <f t="shared" ca="1" si="4"/>
        <v>46076</v>
      </c>
      <c r="I294">
        <f ca="1">Таблица3[[#This Row],[Текущая дата]]-Продажи[[#This Row],[Дата регистрации клиента]]</f>
        <v>1348</v>
      </c>
      <c r="J294">
        <f ca="1">ROUND((Таблица3[[#This Row],[Текущая дата]] - Продажи[[#This Row],[Дата регистрации клиента]]) / 30, 0)</f>
        <v>45</v>
      </c>
      <c r="K294" t="e">
        <f>LEFT(C294,#REF!- 1)</f>
        <v>#REF!</v>
      </c>
    </row>
    <row r="295" spans="1:11" x14ac:dyDescent="0.3">
      <c r="A295">
        <v>383</v>
      </c>
      <c r="B295" t="s">
        <v>422</v>
      </c>
      <c r="C295" t="s">
        <v>421</v>
      </c>
      <c r="D295" t="s">
        <v>139</v>
      </c>
      <c r="E295" s="32">
        <v>44876</v>
      </c>
      <c r="F295" t="s">
        <v>127</v>
      </c>
      <c r="G295" t="str">
        <f>INDEX('коды стран'!$A$2:$A$6, MATCH(F295, 'коды стран'!$B$2:$B$6, 0))</f>
        <v>Украина</v>
      </c>
      <c r="H295" s="32">
        <f t="shared" ca="1" si="4"/>
        <v>46076</v>
      </c>
      <c r="I295">
        <f ca="1">Таблица3[[#This Row],[Текущая дата]]-Продажи[[#This Row],[Дата регистрации клиента]]</f>
        <v>1402</v>
      </c>
      <c r="J295">
        <f ca="1">ROUND((Таблица3[[#This Row],[Текущая дата]] - Продажи[[#This Row],[Дата регистрации клиента]]) / 30, 0)</f>
        <v>47</v>
      </c>
      <c r="K295" t="e">
        <f>LEFT(C295,#REF!- 1)</f>
        <v>#REF!</v>
      </c>
    </row>
    <row r="296" spans="1:11" x14ac:dyDescent="0.3">
      <c r="A296">
        <v>425</v>
      </c>
      <c r="B296" t="s">
        <v>410</v>
      </c>
      <c r="C296" t="s">
        <v>409</v>
      </c>
      <c r="D296" t="s">
        <v>139</v>
      </c>
      <c r="E296" s="32">
        <v>44782</v>
      </c>
      <c r="F296" t="s">
        <v>131</v>
      </c>
      <c r="G296" t="str">
        <f>INDEX('коды стран'!$A$2:$A$6, MATCH(F296, 'коды стран'!$B$2:$B$6, 0))</f>
        <v>Узбекистан</v>
      </c>
      <c r="H296" s="32">
        <f t="shared" ca="1" si="4"/>
        <v>46076</v>
      </c>
      <c r="I296">
        <f ca="1">Таблица3[[#This Row],[Текущая дата]]-Продажи[[#This Row],[Дата регистрации клиента]]</f>
        <v>1299</v>
      </c>
      <c r="J296">
        <f ca="1">ROUND((Таблица3[[#This Row],[Текущая дата]] - Продажи[[#This Row],[Дата регистрации клиента]]) / 30, 0)</f>
        <v>43</v>
      </c>
      <c r="K296" t="e">
        <f>LEFT(C296,#REF!- 1)</f>
        <v>#REF!</v>
      </c>
    </row>
    <row r="297" spans="1:11" x14ac:dyDescent="0.3">
      <c r="A297">
        <v>151</v>
      </c>
      <c r="B297" t="s">
        <v>392</v>
      </c>
      <c r="C297" t="s">
        <v>391</v>
      </c>
      <c r="D297" t="s">
        <v>139</v>
      </c>
      <c r="E297" s="32">
        <v>44923</v>
      </c>
      <c r="F297" t="s">
        <v>133</v>
      </c>
      <c r="G297" t="str">
        <f>INDEX('коды стран'!$A$2:$A$6, MATCH(F297, 'коды стран'!$B$2:$B$6, 0))</f>
        <v>Беларусь</v>
      </c>
      <c r="H297" s="32">
        <f t="shared" ca="1" si="4"/>
        <v>46076</v>
      </c>
      <c r="I297">
        <f ca="1">Таблица3[[#This Row],[Текущая дата]]-Продажи[[#This Row],[Дата регистрации клиента]]</f>
        <v>1352</v>
      </c>
      <c r="J297">
        <f ca="1">ROUND((Таблица3[[#This Row],[Текущая дата]] - Продажи[[#This Row],[Дата регистрации клиента]]) / 30, 0)</f>
        <v>45</v>
      </c>
      <c r="K297" t="e">
        <f>LEFT(C297,#REF!- 1)</f>
        <v>#REF!</v>
      </c>
    </row>
    <row r="298" spans="1:11" x14ac:dyDescent="0.3">
      <c r="A298">
        <v>441</v>
      </c>
      <c r="B298" t="s">
        <v>372</v>
      </c>
      <c r="C298" t="s">
        <v>371</v>
      </c>
      <c r="D298" t="s">
        <v>139</v>
      </c>
      <c r="E298" s="32">
        <v>44867</v>
      </c>
      <c r="F298" t="s">
        <v>131</v>
      </c>
      <c r="G298" t="str">
        <f>INDEX('коды стран'!$A$2:$A$6, MATCH(F298, 'коды стран'!$B$2:$B$6, 0))</f>
        <v>Узбекистан</v>
      </c>
      <c r="H298" s="32">
        <f t="shared" ca="1" si="4"/>
        <v>46076</v>
      </c>
      <c r="I298">
        <f ca="1">Таблица3[[#This Row],[Текущая дата]]-Продажи[[#This Row],[Дата регистрации клиента]]</f>
        <v>1217</v>
      </c>
      <c r="J298">
        <f ca="1">ROUND((Таблица3[[#This Row],[Текущая дата]] - Продажи[[#This Row],[Дата регистрации клиента]]) / 30, 0)</f>
        <v>41</v>
      </c>
      <c r="K298" t="e">
        <f>LEFT(C298,#REF!- 1)</f>
        <v>#REF!</v>
      </c>
    </row>
    <row r="299" spans="1:11" x14ac:dyDescent="0.3">
      <c r="A299">
        <v>210</v>
      </c>
      <c r="B299" t="s">
        <v>366</v>
      </c>
      <c r="C299" t="s">
        <v>365</v>
      </c>
      <c r="D299" t="s">
        <v>139</v>
      </c>
      <c r="E299" s="32">
        <v>44602</v>
      </c>
      <c r="F299" t="s">
        <v>131</v>
      </c>
      <c r="G299" t="str">
        <f>INDEX('коды стран'!$A$2:$A$6, MATCH(F299, 'коды стран'!$B$2:$B$6, 0))</f>
        <v>Узбекистан</v>
      </c>
      <c r="H299" s="32">
        <f t="shared" ca="1" si="4"/>
        <v>46076</v>
      </c>
      <c r="I299">
        <f ca="1">Таблица3[[#This Row],[Текущая дата]]-Продажи[[#This Row],[Дата регистрации клиента]]</f>
        <v>1441</v>
      </c>
      <c r="J299">
        <f ca="1">ROUND((Таблица3[[#This Row],[Текущая дата]] - Продажи[[#This Row],[Дата регистрации клиента]]) / 30, 0)</f>
        <v>48</v>
      </c>
      <c r="K299" t="e">
        <f>LEFT(C299,#REF!- 1)</f>
        <v>#REF!</v>
      </c>
    </row>
    <row r="300" spans="1:11" x14ac:dyDescent="0.3">
      <c r="A300">
        <v>294</v>
      </c>
      <c r="B300" t="s">
        <v>356</v>
      </c>
      <c r="C300" t="s">
        <v>355</v>
      </c>
      <c r="D300" t="s">
        <v>142</v>
      </c>
      <c r="E300" s="32">
        <v>44879</v>
      </c>
      <c r="F300" t="s">
        <v>127</v>
      </c>
      <c r="G300" t="str">
        <f>INDEX('коды стран'!$A$2:$A$6, MATCH(F300, 'коды стран'!$B$2:$B$6, 0))</f>
        <v>Украина</v>
      </c>
      <c r="H300" s="32">
        <f t="shared" ca="1" si="4"/>
        <v>46076</v>
      </c>
      <c r="I300">
        <f ca="1">Таблица3[[#This Row],[Текущая дата]]-Продажи[[#This Row],[Дата регистрации клиента]]</f>
        <v>1363</v>
      </c>
      <c r="J300">
        <f ca="1">ROUND((Таблица3[[#This Row],[Текущая дата]] - Продажи[[#This Row],[Дата регистрации клиента]]) / 30, 0)</f>
        <v>45</v>
      </c>
      <c r="K300" t="e">
        <f>LEFT(C300,#REF!- 1)</f>
        <v>#REF!</v>
      </c>
    </row>
    <row r="301" spans="1:11" x14ac:dyDescent="0.3">
      <c r="A301">
        <v>54</v>
      </c>
      <c r="B301" t="s">
        <v>336</v>
      </c>
      <c r="C301" t="s">
        <v>335</v>
      </c>
      <c r="D301" t="s">
        <v>139</v>
      </c>
      <c r="E301" s="32">
        <v>44847</v>
      </c>
      <c r="F301" t="s">
        <v>133</v>
      </c>
      <c r="G301" t="str">
        <f>INDEX('коды стран'!$A$2:$A$6, MATCH(F301, 'коды стран'!$B$2:$B$6, 0))</f>
        <v>Беларусь</v>
      </c>
      <c r="H301" s="32">
        <f t="shared" ca="1" si="4"/>
        <v>46076</v>
      </c>
      <c r="I301">
        <f ca="1">Таблица3[[#This Row],[Текущая дата]]-Продажи[[#This Row],[Дата регистрации клиента]]</f>
        <v>1385</v>
      </c>
      <c r="J301">
        <f ca="1">ROUND((Таблица3[[#This Row],[Текущая дата]] - Продажи[[#This Row],[Дата регистрации клиента]]) / 30, 0)</f>
        <v>46</v>
      </c>
      <c r="K301" t="e">
        <f>LEFT(C301,#REF!- 1)</f>
        <v>#REF!</v>
      </c>
    </row>
    <row r="302" spans="1:11" x14ac:dyDescent="0.3">
      <c r="A302">
        <v>348</v>
      </c>
      <c r="B302" t="s">
        <v>324</v>
      </c>
      <c r="C302" t="s">
        <v>323</v>
      </c>
      <c r="D302" t="s">
        <v>142</v>
      </c>
      <c r="E302" s="32">
        <v>44569</v>
      </c>
      <c r="F302" t="s">
        <v>127</v>
      </c>
      <c r="G302" t="str">
        <f>INDEX('коды стран'!$A$2:$A$6, MATCH(F302, 'коды стран'!$B$2:$B$6, 0))</f>
        <v>Украина</v>
      </c>
      <c r="H302" s="32">
        <f t="shared" ca="1" si="4"/>
        <v>46076</v>
      </c>
      <c r="I302">
        <f ca="1">Таблица3[[#This Row],[Текущая дата]]-Продажи[[#This Row],[Дата регистрации клиента]]</f>
        <v>1488</v>
      </c>
      <c r="J302">
        <f ca="1">ROUND((Таблица3[[#This Row],[Текущая дата]] - Продажи[[#This Row],[Дата регистрации клиента]]) / 30, 0)</f>
        <v>50</v>
      </c>
      <c r="K302" t="e">
        <f>LEFT(C302,#REF!- 1)</f>
        <v>#REF!</v>
      </c>
    </row>
    <row r="303" spans="1:11" x14ac:dyDescent="0.3">
      <c r="A303">
        <v>447</v>
      </c>
      <c r="B303" t="s">
        <v>310</v>
      </c>
      <c r="C303" t="s">
        <v>309</v>
      </c>
      <c r="D303" t="s">
        <v>142</v>
      </c>
      <c r="E303" s="32">
        <v>44898</v>
      </c>
      <c r="F303" t="s">
        <v>129</v>
      </c>
      <c r="G303" t="str">
        <f>INDEX('коды стран'!$A$2:$A$6, MATCH(F303, 'коды стран'!$B$2:$B$6, 0))</f>
        <v>Таджикистан</v>
      </c>
      <c r="H303" s="32">
        <f t="shared" ca="1" si="4"/>
        <v>46076</v>
      </c>
      <c r="I303">
        <f ca="1">Таблица3[[#This Row],[Текущая дата]]-Продажи[[#This Row],[Дата регистрации клиента]]</f>
        <v>1362</v>
      </c>
      <c r="J303">
        <f ca="1">ROUND((Таблица3[[#This Row],[Текущая дата]] - Продажи[[#This Row],[Дата регистрации клиента]]) / 30, 0)</f>
        <v>45</v>
      </c>
      <c r="K303" t="e">
        <f>LEFT(C303,#REF!- 1)</f>
        <v>#REF!</v>
      </c>
    </row>
    <row r="304" spans="1:11" x14ac:dyDescent="0.3">
      <c r="A304">
        <v>379</v>
      </c>
      <c r="B304" t="s">
        <v>298</v>
      </c>
      <c r="C304" t="s">
        <v>297</v>
      </c>
      <c r="D304" t="s">
        <v>139</v>
      </c>
      <c r="E304" s="32">
        <v>44581</v>
      </c>
      <c r="F304" t="s">
        <v>129</v>
      </c>
      <c r="G304" t="str">
        <f>INDEX('коды стран'!$A$2:$A$6, MATCH(F304, 'коды стран'!$B$2:$B$6, 0))</f>
        <v>Таджикистан</v>
      </c>
      <c r="H304" s="32">
        <f t="shared" ca="1" si="4"/>
        <v>46076</v>
      </c>
      <c r="I304">
        <f ca="1">Таблица3[[#This Row],[Текущая дата]]-Продажи[[#This Row],[Дата регистрации клиента]]</f>
        <v>1468</v>
      </c>
      <c r="J304">
        <f ca="1">ROUND((Таблица3[[#This Row],[Текущая дата]] - Продажи[[#This Row],[Дата регистрации клиента]]) / 30, 0)</f>
        <v>49</v>
      </c>
      <c r="K304" t="e">
        <f>LEFT(C304,#REF!- 1)</f>
        <v>#REF!</v>
      </c>
    </row>
    <row r="305" spans="1:11" x14ac:dyDescent="0.3">
      <c r="A305">
        <v>352</v>
      </c>
      <c r="B305" t="s">
        <v>262</v>
      </c>
      <c r="C305" t="s">
        <v>261</v>
      </c>
      <c r="D305" t="s">
        <v>139</v>
      </c>
      <c r="E305" s="32">
        <v>44573</v>
      </c>
      <c r="F305" t="s">
        <v>135</v>
      </c>
      <c r="G305" t="str">
        <f>INDEX('коды стран'!$A$2:$A$6, MATCH(F305, 'коды стран'!$B$2:$B$6, 0))</f>
        <v>Россия</v>
      </c>
      <c r="H305" s="32">
        <f t="shared" ca="1" si="4"/>
        <v>46076</v>
      </c>
      <c r="I305">
        <f ca="1">Таблица3[[#This Row],[Текущая дата]]-Продажи[[#This Row],[Дата регистрации клиента]]</f>
        <v>1415</v>
      </c>
      <c r="J305">
        <f ca="1">ROUND((Таблица3[[#This Row],[Текущая дата]] - Продажи[[#This Row],[Дата регистрации клиента]]) / 30, 0)</f>
        <v>47</v>
      </c>
      <c r="K305" t="e">
        <f>LEFT(C305,#REF!- 1)</f>
        <v>#REF!</v>
      </c>
    </row>
    <row r="306" spans="1:11" x14ac:dyDescent="0.3">
      <c r="A306">
        <v>22</v>
      </c>
      <c r="B306" t="s">
        <v>240</v>
      </c>
      <c r="C306" t="s">
        <v>239</v>
      </c>
      <c r="D306" t="s">
        <v>142</v>
      </c>
      <c r="E306" s="32">
        <v>44870</v>
      </c>
      <c r="F306" t="s">
        <v>133</v>
      </c>
      <c r="G306" t="str">
        <f>INDEX('коды стран'!$A$2:$A$6, MATCH(F306, 'коды стран'!$B$2:$B$6, 0))</f>
        <v>Беларусь</v>
      </c>
      <c r="H306" s="32">
        <f t="shared" ca="1" si="4"/>
        <v>46076</v>
      </c>
      <c r="I306">
        <f ca="1">Таблица3[[#This Row],[Текущая дата]]-Продажи[[#This Row],[Дата регистрации клиента]]</f>
        <v>1468</v>
      </c>
      <c r="J306">
        <f ca="1">ROUND((Таблица3[[#This Row],[Текущая дата]] - Продажи[[#This Row],[Дата регистрации клиента]]) / 30, 0)</f>
        <v>49</v>
      </c>
      <c r="K306" t="e">
        <f>LEFT(C306,#REF!- 1)</f>
        <v>#REF!</v>
      </c>
    </row>
    <row r="307" spans="1:11" x14ac:dyDescent="0.3">
      <c r="A307">
        <v>264</v>
      </c>
      <c r="B307" t="s">
        <v>216</v>
      </c>
      <c r="C307" t="s">
        <v>215</v>
      </c>
      <c r="D307" t="s">
        <v>139</v>
      </c>
      <c r="E307" s="32">
        <v>44907</v>
      </c>
      <c r="F307" t="s">
        <v>133</v>
      </c>
      <c r="G307" t="str">
        <f>INDEX('коды стран'!$A$2:$A$6, MATCH(F307, 'коды стран'!$B$2:$B$6, 0))</f>
        <v>Беларусь</v>
      </c>
      <c r="H307" s="32">
        <f t="shared" ca="1" si="4"/>
        <v>46076</v>
      </c>
      <c r="I307">
        <f ca="1">Таблица3[[#This Row],[Текущая дата]]-Продажи[[#This Row],[Дата регистрации клиента]]</f>
        <v>1200</v>
      </c>
      <c r="J307">
        <f ca="1">ROUND((Таблица3[[#This Row],[Текущая дата]] - Продажи[[#This Row],[Дата регистрации клиента]]) / 30, 0)</f>
        <v>40</v>
      </c>
      <c r="K307" t="e">
        <f>LEFT(C307,#REF!- 1)</f>
        <v>#REF!</v>
      </c>
    </row>
    <row r="308" spans="1:11" x14ac:dyDescent="0.3">
      <c r="A308">
        <v>146</v>
      </c>
      <c r="B308" t="s">
        <v>210</v>
      </c>
      <c r="C308" t="s">
        <v>209</v>
      </c>
      <c r="D308" t="s">
        <v>139</v>
      </c>
      <c r="E308" s="32">
        <v>44617</v>
      </c>
      <c r="F308" t="s">
        <v>133</v>
      </c>
      <c r="G308" t="str">
        <f>INDEX('коды стран'!$A$2:$A$6, MATCH(F308, 'коды стран'!$B$2:$B$6, 0))</f>
        <v>Беларусь</v>
      </c>
      <c r="H308" s="32">
        <f t="shared" ca="1" si="4"/>
        <v>46076</v>
      </c>
      <c r="I308">
        <f ca="1">Таблица3[[#This Row],[Текущая дата]]-Продажи[[#This Row],[Дата регистрации клиента]]</f>
        <v>1218</v>
      </c>
      <c r="J308">
        <f ca="1">ROUND((Таблица3[[#This Row],[Текущая дата]] - Продажи[[#This Row],[Дата регистрации клиента]]) / 30, 0)</f>
        <v>41</v>
      </c>
      <c r="K308" t="e">
        <f>LEFT(C308,#REF!- 1)</f>
        <v>#REF!</v>
      </c>
    </row>
    <row r="309" spans="1:11" x14ac:dyDescent="0.3">
      <c r="A309">
        <v>26</v>
      </c>
      <c r="B309" t="s">
        <v>182</v>
      </c>
      <c r="C309" t="s">
        <v>181</v>
      </c>
      <c r="D309" t="s">
        <v>142</v>
      </c>
      <c r="E309" s="32">
        <v>44819</v>
      </c>
      <c r="F309" t="s">
        <v>129</v>
      </c>
      <c r="G309" t="str">
        <f>INDEX('коды стран'!$A$2:$A$6, MATCH(F309, 'коды стран'!$B$2:$B$6, 0))</f>
        <v>Таджикистан</v>
      </c>
      <c r="H309" s="32">
        <f t="shared" ca="1" si="4"/>
        <v>46076</v>
      </c>
      <c r="I309">
        <f ca="1">Таблица3[[#This Row],[Текущая дата]]-Продажи[[#This Row],[Дата регистрации клиента]]</f>
        <v>1382</v>
      </c>
      <c r="J309">
        <f ca="1">ROUND((Таблица3[[#This Row],[Текущая дата]] - Продажи[[#This Row],[Дата регистрации клиента]]) / 30, 0)</f>
        <v>46</v>
      </c>
      <c r="K309" t="e">
        <f>LEFT(C309,#REF!- 1)</f>
        <v>#REF!</v>
      </c>
    </row>
    <row r="310" spans="1:11" x14ac:dyDescent="0.3">
      <c r="A310">
        <v>499</v>
      </c>
      <c r="B310" t="s">
        <v>158</v>
      </c>
      <c r="C310" t="s">
        <v>157</v>
      </c>
      <c r="D310" t="s">
        <v>142</v>
      </c>
      <c r="E310" s="32">
        <v>44798</v>
      </c>
      <c r="F310" t="s">
        <v>133</v>
      </c>
      <c r="G310" t="str">
        <f>INDEX('коды стран'!$A$2:$A$6, MATCH(F310, 'коды стран'!$B$2:$B$6, 0))</f>
        <v>Беларусь</v>
      </c>
      <c r="H310" s="32">
        <f t="shared" ca="1" si="4"/>
        <v>46076</v>
      </c>
      <c r="I310">
        <f ca="1">Таблица3[[#This Row],[Текущая дата]]-Продажи[[#This Row],[Дата регистрации клиента]]</f>
        <v>1391</v>
      </c>
      <c r="J310">
        <f ca="1">ROUND((Таблица3[[#This Row],[Текущая дата]] - Продажи[[#This Row],[Дата регистрации клиента]]) / 30, 0)</f>
        <v>46</v>
      </c>
      <c r="K310" t="e">
        <f>LEFT(C310,#REF!- 1)</f>
        <v>#REF!</v>
      </c>
    </row>
    <row r="311" spans="1:11" x14ac:dyDescent="0.3">
      <c r="A311">
        <v>116</v>
      </c>
      <c r="B311" t="s">
        <v>1002</v>
      </c>
      <c r="C311" t="s">
        <v>1001</v>
      </c>
      <c r="D311" t="s">
        <v>139</v>
      </c>
      <c r="E311" s="32">
        <v>44643</v>
      </c>
      <c r="F311" t="s">
        <v>135</v>
      </c>
      <c r="G311" t="str">
        <f>INDEX('коды стран'!$A$2:$A$6, MATCH(F311, 'коды стран'!$B$2:$B$6, 0))</f>
        <v>Россия</v>
      </c>
      <c r="H311" s="32">
        <f t="shared" ca="1" si="4"/>
        <v>46076</v>
      </c>
      <c r="I311">
        <f ca="1">Таблица3[[#This Row],[Текущая дата]]-Продажи[[#This Row],[Дата регистрации клиента]]</f>
        <v>1491</v>
      </c>
      <c r="J311">
        <f ca="1">ROUND((Таблица3[[#This Row],[Текущая дата]] - Продажи[[#This Row],[Дата регистрации клиента]]) / 30, 0)</f>
        <v>50</v>
      </c>
      <c r="K311" t="e">
        <f>LEFT(C311,#REF!- 1)</f>
        <v>#REF!</v>
      </c>
    </row>
    <row r="312" spans="1:11" x14ac:dyDescent="0.3">
      <c r="A312">
        <v>495</v>
      </c>
      <c r="B312" t="s">
        <v>988</v>
      </c>
      <c r="C312" t="s">
        <v>987</v>
      </c>
      <c r="D312" t="s">
        <v>142</v>
      </c>
      <c r="E312" s="32">
        <v>44654</v>
      </c>
      <c r="F312" t="s">
        <v>131</v>
      </c>
      <c r="G312" t="str">
        <f>INDEX('коды стран'!$A$2:$A$6, MATCH(F312, 'коды стран'!$B$2:$B$6, 0))</f>
        <v>Узбекистан</v>
      </c>
      <c r="H312" s="32">
        <f t="shared" ca="1" si="4"/>
        <v>46076</v>
      </c>
      <c r="I312">
        <f ca="1">Таблица3[[#This Row],[Текущая дата]]-Продажи[[#This Row],[Дата регистрации клиента]]</f>
        <v>1209</v>
      </c>
      <c r="J312">
        <f ca="1">ROUND((Таблица3[[#This Row],[Текущая дата]] - Продажи[[#This Row],[Дата регистрации клиента]]) / 30, 0)</f>
        <v>40</v>
      </c>
      <c r="K312" t="e">
        <f>LEFT(C312,#REF!- 1)</f>
        <v>#REF!</v>
      </c>
    </row>
    <row r="313" spans="1:11" x14ac:dyDescent="0.3">
      <c r="A313">
        <v>353</v>
      </c>
      <c r="B313" t="s">
        <v>986</v>
      </c>
      <c r="C313" t="s">
        <v>985</v>
      </c>
      <c r="D313" t="s">
        <v>142</v>
      </c>
      <c r="E313" s="32">
        <v>44656</v>
      </c>
      <c r="F313" t="s">
        <v>129</v>
      </c>
      <c r="G313" t="str">
        <f>INDEX('коды стран'!$A$2:$A$6, MATCH(F313, 'коды стран'!$B$2:$B$6, 0))</f>
        <v>Таджикистан</v>
      </c>
      <c r="H313" s="32">
        <f t="shared" ca="1" si="4"/>
        <v>46076</v>
      </c>
      <c r="I313">
        <f ca="1">Таблица3[[#This Row],[Текущая дата]]-Продажи[[#This Row],[Дата регистрации клиента]]</f>
        <v>1473</v>
      </c>
      <c r="J313">
        <f ca="1">ROUND((Таблица3[[#This Row],[Текущая дата]] - Продажи[[#This Row],[Дата регистрации клиента]]) / 30, 0)</f>
        <v>49</v>
      </c>
      <c r="K313" t="e">
        <f>LEFT(C313,#REF!- 1)</f>
        <v>#REF!</v>
      </c>
    </row>
    <row r="314" spans="1:11" x14ac:dyDescent="0.3">
      <c r="A314">
        <v>39</v>
      </c>
      <c r="B314" t="s">
        <v>962</v>
      </c>
      <c r="C314" t="s">
        <v>961</v>
      </c>
      <c r="D314" t="s">
        <v>142</v>
      </c>
      <c r="E314" s="32">
        <v>44653</v>
      </c>
      <c r="F314" t="s">
        <v>133</v>
      </c>
      <c r="G314" t="str">
        <f>INDEX('коды стран'!$A$2:$A$6, MATCH(F314, 'коды стран'!$B$2:$B$6, 0))</f>
        <v>Беларусь</v>
      </c>
      <c r="H314" s="32">
        <f t="shared" ca="1" si="4"/>
        <v>46076</v>
      </c>
      <c r="I314">
        <f ca="1">Таблица3[[#This Row],[Текущая дата]]-Продажи[[#This Row],[Дата регистрации клиента]]</f>
        <v>1439</v>
      </c>
      <c r="J314">
        <f ca="1">ROUND((Таблица3[[#This Row],[Текущая дата]] - Продажи[[#This Row],[Дата регистрации клиента]]) / 30, 0)</f>
        <v>48</v>
      </c>
      <c r="K314" t="e">
        <f>LEFT(C314,#REF!- 1)</f>
        <v>#REF!</v>
      </c>
    </row>
    <row r="315" spans="1:11" x14ac:dyDescent="0.3">
      <c r="A315">
        <v>112</v>
      </c>
      <c r="B315" t="s">
        <v>954</v>
      </c>
      <c r="C315" t="s">
        <v>953</v>
      </c>
      <c r="D315" t="s">
        <v>139</v>
      </c>
      <c r="E315" s="32">
        <v>44652</v>
      </c>
      <c r="F315" t="s">
        <v>135</v>
      </c>
      <c r="G315" t="str">
        <f>INDEX('коды стран'!$A$2:$A$6, MATCH(F315, 'коды стран'!$B$2:$B$6, 0))</f>
        <v>Россия</v>
      </c>
      <c r="H315" s="32">
        <f t="shared" ca="1" si="4"/>
        <v>46076</v>
      </c>
      <c r="I315">
        <f ca="1">Таблица3[[#This Row],[Текущая дата]]-Продажи[[#This Row],[Дата регистрации клиента]]</f>
        <v>1508</v>
      </c>
      <c r="J315">
        <f ca="1">ROUND((Таблица3[[#This Row],[Текущая дата]] - Продажи[[#This Row],[Дата регистрации клиента]]) / 30, 0)</f>
        <v>50</v>
      </c>
      <c r="K315" t="e">
        <f>LEFT(C315,#REF!- 1)</f>
        <v>#REF!</v>
      </c>
    </row>
    <row r="316" spans="1:11" x14ac:dyDescent="0.3">
      <c r="A316">
        <v>160</v>
      </c>
      <c r="B316" t="s">
        <v>948</v>
      </c>
      <c r="C316" t="s">
        <v>947</v>
      </c>
      <c r="D316" t="s">
        <v>142</v>
      </c>
      <c r="E316" s="32">
        <v>44649</v>
      </c>
      <c r="F316" t="s">
        <v>131</v>
      </c>
      <c r="G316" t="str">
        <f>INDEX('коды стран'!$A$2:$A$6, MATCH(F316, 'коды стран'!$B$2:$B$6, 0))</f>
        <v>Узбекистан</v>
      </c>
      <c r="H316" s="32">
        <f t="shared" ca="1" si="4"/>
        <v>46076</v>
      </c>
      <c r="I316">
        <f ca="1">Таблица3[[#This Row],[Текущая дата]]-Продажи[[#This Row],[Дата регистрации клиента]]</f>
        <v>1374</v>
      </c>
      <c r="J316">
        <f ca="1">ROUND((Таблица3[[#This Row],[Текущая дата]] - Продажи[[#This Row],[Дата регистрации клиента]]) / 30, 0)</f>
        <v>46</v>
      </c>
      <c r="K316" t="e">
        <f>LEFT(C316,#REF!- 1)</f>
        <v>#REF!</v>
      </c>
    </row>
    <row r="317" spans="1:11" x14ac:dyDescent="0.3">
      <c r="A317">
        <v>145</v>
      </c>
      <c r="B317" t="s">
        <v>922</v>
      </c>
      <c r="C317" t="s">
        <v>921</v>
      </c>
      <c r="D317" t="s">
        <v>139</v>
      </c>
      <c r="E317" s="32">
        <v>44653</v>
      </c>
      <c r="F317" t="s">
        <v>127</v>
      </c>
      <c r="G317" t="str">
        <f>INDEX('коды стран'!$A$2:$A$6, MATCH(F317, 'коды стран'!$B$2:$B$6, 0))</f>
        <v>Украина</v>
      </c>
      <c r="H317" s="32">
        <f t="shared" ca="1" si="4"/>
        <v>46076</v>
      </c>
      <c r="I317">
        <f ca="1">Таблица3[[#This Row],[Текущая дата]]-Продажи[[#This Row],[Дата регистрации клиента]]</f>
        <v>1190</v>
      </c>
      <c r="J317">
        <f ca="1">ROUND((Таблица3[[#This Row],[Текущая дата]] - Продажи[[#This Row],[Дата регистрации клиента]]) / 30, 0)</f>
        <v>40</v>
      </c>
      <c r="K317" t="e">
        <f>LEFT(C317,#REF!- 1)</f>
        <v>#REF!</v>
      </c>
    </row>
    <row r="318" spans="1:11" x14ac:dyDescent="0.3">
      <c r="A318">
        <v>266</v>
      </c>
      <c r="B318" t="s">
        <v>902</v>
      </c>
      <c r="C318" t="s">
        <v>901</v>
      </c>
      <c r="D318" t="s">
        <v>139</v>
      </c>
      <c r="E318" s="32">
        <v>44795</v>
      </c>
      <c r="F318" t="s">
        <v>135</v>
      </c>
      <c r="G318" t="str">
        <f>INDEX('коды стран'!$A$2:$A$6, MATCH(F318, 'коды стран'!$B$2:$B$6, 0))</f>
        <v>Россия</v>
      </c>
      <c r="H318" s="32">
        <f t="shared" ca="1" si="4"/>
        <v>46076</v>
      </c>
      <c r="I318">
        <f ca="1">Таблица3[[#This Row],[Текущая дата]]-Продажи[[#This Row],[Дата регистрации клиента]]</f>
        <v>1318</v>
      </c>
      <c r="J318">
        <f ca="1">ROUND((Таблица3[[#This Row],[Текущая дата]] - Продажи[[#This Row],[Дата регистрации клиента]]) / 30, 0)</f>
        <v>44</v>
      </c>
      <c r="K318" t="e">
        <f>LEFT(C318,#REF!- 1)</f>
        <v>#REF!</v>
      </c>
    </row>
    <row r="319" spans="1:11" x14ac:dyDescent="0.3">
      <c r="A319">
        <v>42</v>
      </c>
      <c r="B319" t="s">
        <v>876</v>
      </c>
      <c r="C319" t="s">
        <v>875</v>
      </c>
      <c r="D319" t="s">
        <v>142</v>
      </c>
      <c r="E319" s="32">
        <v>44783</v>
      </c>
      <c r="F319" t="s">
        <v>129</v>
      </c>
      <c r="G319" t="str">
        <f>INDEX('коды стран'!$A$2:$A$6, MATCH(F319, 'коды стран'!$B$2:$B$6, 0))</f>
        <v>Таджикистан</v>
      </c>
      <c r="H319" s="32">
        <f t="shared" ca="1" si="4"/>
        <v>46076</v>
      </c>
      <c r="I319">
        <f ca="1">Таблица3[[#This Row],[Текущая дата]]-Продажи[[#This Row],[Дата регистрации клиента]]</f>
        <v>1382</v>
      </c>
      <c r="J319">
        <f ca="1">ROUND((Таблица3[[#This Row],[Текущая дата]] - Продажи[[#This Row],[Дата регистрации клиента]]) / 30, 0)</f>
        <v>46</v>
      </c>
      <c r="K319" t="e">
        <f>LEFT(C319,#REF!- 1)</f>
        <v>#REF!</v>
      </c>
    </row>
    <row r="320" spans="1:11" x14ac:dyDescent="0.3">
      <c r="A320">
        <v>378</v>
      </c>
      <c r="B320" t="s">
        <v>874</v>
      </c>
      <c r="C320" t="s">
        <v>873</v>
      </c>
      <c r="D320" t="s">
        <v>139</v>
      </c>
      <c r="E320" s="32">
        <v>44710</v>
      </c>
      <c r="F320" t="s">
        <v>135</v>
      </c>
      <c r="G320" t="str">
        <f>INDEX('коды стран'!$A$2:$A$6, MATCH(F320, 'коды стран'!$B$2:$B$6, 0))</f>
        <v>Россия</v>
      </c>
      <c r="H320" s="32">
        <f t="shared" ca="1" si="4"/>
        <v>46076</v>
      </c>
      <c r="I320">
        <f ca="1">Таблица3[[#This Row],[Текущая дата]]-Продажи[[#This Row],[Дата регистрации клиента]]</f>
        <v>1386</v>
      </c>
      <c r="J320">
        <f ca="1">ROUND((Таблица3[[#This Row],[Текущая дата]] - Продажи[[#This Row],[Дата регистрации клиента]]) / 30, 0)</f>
        <v>46</v>
      </c>
      <c r="K320" t="e">
        <f>LEFT(C320,#REF!- 1)</f>
        <v>#REF!</v>
      </c>
    </row>
    <row r="321" spans="1:11" x14ac:dyDescent="0.3">
      <c r="A321">
        <v>25</v>
      </c>
      <c r="B321" t="s">
        <v>866</v>
      </c>
      <c r="C321" t="s">
        <v>865</v>
      </c>
      <c r="D321" t="s">
        <v>142</v>
      </c>
      <c r="E321" s="32">
        <v>44582</v>
      </c>
      <c r="F321" t="s">
        <v>129</v>
      </c>
      <c r="G321" t="str">
        <f>INDEX('коды стран'!$A$2:$A$6, MATCH(F321, 'коды стран'!$B$2:$B$6, 0))</f>
        <v>Таджикистан</v>
      </c>
      <c r="H321" s="32">
        <f t="shared" ca="1" si="4"/>
        <v>46076</v>
      </c>
      <c r="I321">
        <f ca="1">Таблица3[[#This Row],[Текущая дата]]-Продажи[[#This Row],[Дата регистрации клиента]]</f>
        <v>1280</v>
      </c>
      <c r="J321">
        <f ca="1">ROUND((Таблица3[[#This Row],[Текущая дата]] - Продажи[[#This Row],[Дата регистрации клиента]]) / 30, 0)</f>
        <v>43</v>
      </c>
      <c r="K321" t="e">
        <f>LEFT(C321,#REF!- 1)</f>
        <v>#REF!</v>
      </c>
    </row>
    <row r="322" spans="1:11" x14ac:dyDescent="0.3">
      <c r="A322">
        <v>11</v>
      </c>
      <c r="B322" t="s">
        <v>854</v>
      </c>
      <c r="C322" t="s">
        <v>853</v>
      </c>
      <c r="D322" t="s">
        <v>139</v>
      </c>
      <c r="E322" s="32">
        <v>44690</v>
      </c>
      <c r="F322" t="s">
        <v>129</v>
      </c>
      <c r="G322" t="str">
        <f>INDEX('коды стран'!$A$2:$A$6, MATCH(F322, 'коды стран'!$B$2:$B$6, 0))</f>
        <v>Таджикистан</v>
      </c>
      <c r="H322" s="32">
        <f t="shared" ref="H322:H385" ca="1" si="5">TODAY()</f>
        <v>46076</v>
      </c>
      <c r="I322">
        <f ca="1">Таблица3[[#This Row],[Текущая дата]]-Продажи[[#This Row],[Дата регистрации клиента]]</f>
        <v>1372</v>
      </c>
      <c r="J322">
        <f ca="1">ROUND((Таблица3[[#This Row],[Текущая дата]] - Продажи[[#This Row],[Дата регистрации клиента]]) / 30, 0)</f>
        <v>46</v>
      </c>
      <c r="K322" t="e">
        <f>LEFT(C322,#REF!- 1)</f>
        <v>#REF!</v>
      </c>
    </row>
    <row r="323" spans="1:11" x14ac:dyDescent="0.3">
      <c r="A323">
        <v>119</v>
      </c>
      <c r="B323" t="s">
        <v>798</v>
      </c>
      <c r="C323" t="s">
        <v>797</v>
      </c>
      <c r="D323" t="s">
        <v>139</v>
      </c>
      <c r="E323" s="32">
        <v>44690</v>
      </c>
      <c r="F323" t="s">
        <v>135</v>
      </c>
      <c r="G323" t="str">
        <f>INDEX('коды стран'!$A$2:$A$6, MATCH(F323, 'коды стран'!$B$2:$B$6, 0))</f>
        <v>Россия</v>
      </c>
      <c r="H323" s="32">
        <f t="shared" ca="1" si="5"/>
        <v>46076</v>
      </c>
      <c r="I323">
        <f ca="1">Таблица3[[#This Row],[Текущая дата]]-Продажи[[#This Row],[Дата регистрации клиента]]</f>
        <v>1410</v>
      </c>
      <c r="J323">
        <f ca="1">ROUND((Таблица3[[#This Row],[Текущая дата]] - Продажи[[#This Row],[Дата регистрации клиента]]) / 30, 0)</f>
        <v>47</v>
      </c>
      <c r="K323" t="e">
        <f>LEFT(C323,#REF!- 1)</f>
        <v>#REF!</v>
      </c>
    </row>
    <row r="324" spans="1:11" x14ac:dyDescent="0.3">
      <c r="A324">
        <v>395</v>
      </c>
      <c r="B324" t="s">
        <v>712</v>
      </c>
      <c r="C324" t="s">
        <v>711</v>
      </c>
      <c r="D324" t="s">
        <v>139</v>
      </c>
      <c r="E324" s="32">
        <v>44890</v>
      </c>
      <c r="F324" t="s">
        <v>131</v>
      </c>
      <c r="G324" t="str">
        <f>INDEX('коды стран'!$A$2:$A$6, MATCH(F324, 'коды стран'!$B$2:$B$6, 0))</f>
        <v>Узбекистан</v>
      </c>
      <c r="H324" s="32">
        <f t="shared" ca="1" si="5"/>
        <v>46076</v>
      </c>
      <c r="I324">
        <f ca="1">Таблица3[[#This Row],[Текущая дата]]-Продажи[[#This Row],[Дата регистрации клиента]]</f>
        <v>1250</v>
      </c>
      <c r="J324">
        <f ca="1">ROUND((Таблица3[[#This Row],[Текущая дата]] - Продажи[[#This Row],[Дата регистрации клиента]]) / 30, 0)</f>
        <v>42</v>
      </c>
      <c r="K324" t="e">
        <f>LEFT(C324,#REF!- 1)</f>
        <v>#REF!</v>
      </c>
    </row>
    <row r="325" spans="1:11" x14ac:dyDescent="0.3">
      <c r="A325">
        <v>316</v>
      </c>
      <c r="B325" t="s">
        <v>662</v>
      </c>
      <c r="C325" t="s">
        <v>661</v>
      </c>
      <c r="D325" t="s">
        <v>142</v>
      </c>
      <c r="E325" s="32">
        <v>44787</v>
      </c>
      <c r="F325" t="s">
        <v>129</v>
      </c>
      <c r="G325" t="str">
        <f>INDEX('коды стран'!$A$2:$A$6, MATCH(F325, 'коды стран'!$B$2:$B$6, 0))</f>
        <v>Таджикистан</v>
      </c>
      <c r="H325" s="32">
        <f t="shared" ca="1" si="5"/>
        <v>46076</v>
      </c>
      <c r="I325">
        <f ca="1">Таблица3[[#This Row],[Текущая дата]]-Продажи[[#This Row],[Дата регистрации клиента]]</f>
        <v>1210</v>
      </c>
      <c r="J325">
        <f ca="1">ROUND((Таблица3[[#This Row],[Текущая дата]] - Продажи[[#This Row],[Дата регистрации клиента]]) / 30, 0)</f>
        <v>40</v>
      </c>
      <c r="K325" t="e">
        <f>LEFT(C325,#REF!- 1)</f>
        <v>#REF!</v>
      </c>
    </row>
    <row r="326" spans="1:11" x14ac:dyDescent="0.3">
      <c r="A326">
        <v>389</v>
      </c>
      <c r="B326" t="s">
        <v>630</v>
      </c>
      <c r="C326" t="s">
        <v>629</v>
      </c>
      <c r="D326" t="s">
        <v>142</v>
      </c>
      <c r="E326" s="32">
        <v>44876</v>
      </c>
      <c r="F326" t="s">
        <v>135</v>
      </c>
      <c r="G326" t="str">
        <f>INDEX('коды стран'!$A$2:$A$6, MATCH(F326, 'коды стран'!$B$2:$B$6, 0))</f>
        <v>Россия</v>
      </c>
      <c r="H326" s="32">
        <f t="shared" ca="1" si="5"/>
        <v>46076</v>
      </c>
      <c r="I326">
        <f ca="1">Таблица3[[#This Row],[Текущая дата]]-Продажи[[#This Row],[Дата регистрации клиента]]</f>
        <v>1511</v>
      </c>
      <c r="J326">
        <f ca="1">ROUND((Таблица3[[#This Row],[Текущая дата]] - Продажи[[#This Row],[Дата регистрации клиента]]) / 30, 0)</f>
        <v>50</v>
      </c>
      <c r="K326" t="e">
        <f>LEFT(C326,#REF!- 1)</f>
        <v>#REF!</v>
      </c>
    </row>
    <row r="327" spans="1:11" x14ac:dyDescent="0.3">
      <c r="A327">
        <v>203</v>
      </c>
      <c r="B327" t="s">
        <v>592</v>
      </c>
      <c r="C327" t="s">
        <v>591</v>
      </c>
      <c r="D327" t="s">
        <v>139</v>
      </c>
      <c r="E327" s="32">
        <v>44685</v>
      </c>
      <c r="F327" t="s">
        <v>135</v>
      </c>
      <c r="G327" t="str">
        <f>INDEX('коды стран'!$A$2:$A$6, MATCH(F327, 'коды стран'!$B$2:$B$6, 0))</f>
        <v>Россия</v>
      </c>
      <c r="H327" s="32">
        <f t="shared" ca="1" si="5"/>
        <v>46076</v>
      </c>
      <c r="I327">
        <f ca="1">Таблица3[[#This Row],[Текущая дата]]-Продажи[[#This Row],[Дата регистрации клиента]]</f>
        <v>1448</v>
      </c>
      <c r="J327">
        <f ca="1">ROUND((Таблица3[[#This Row],[Текущая дата]] - Продажи[[#This Row],[Дата регистрации клиента]]) / 30, 0)</f>
        <v>48</v>
      </c>
      <c r="K327" t="e">
        <f>LEFT(C327,#REF!- 1)</f>
        <v>#REF!</v>
      </c>
    </row>
    <row r="328" spans="1:11" x14ac:dyDescent="0.3">
      <c r="A328">
        <v>226</v>
      </c>
      <c r="B328" t="s">
        <v>562</v>
      </c>
      <c r="C328" t="s">
        <v>561</v>
      </c>
      <c r="D328" t="s">
        <v>142</v>
      </c>
      <c r="E328" s="32">
        <v>44702</v>
      </c>
      <c r="F328" t="s">
        <v>135</v>
      </c>
      <c r="G328" t="str">
        <f>INDEX('коды стран'!$A$2:$A$6, MATCH(F328, 'коды стран'!$B$2:$B$6, 0))</f>
        <v>Россия</v>
      </c>
      <c r="H328" s="32">
        <f t="shared" ca="1" si="5"/>
        <v>46076</v>
      </c>
      <c r="I328">
        <f ca="1">Таблица3[[#This Row],[Текущая дата]]-Продажи[[#This Row],[Дата регистрации клиента]]</f>
        <v>1405</v>
      </c>
      <c r="J328">
        <f ca="1">ROUND((Таблица3[[#This Row],[Текущая дата]] - Продажи[[#This Row],[Дата регистрации клиента]]) / 30, 0)</f>
        <v>47</v>
      </c>
      <c r="K328" t="e">
        <f>LEFT(C328,#REF!- 1)</f>
        <v>#REF!</v>
      </c>
    </row>
    <row r="329" spans="1:11" x14ac:dyDescent="0.3">
      <c r="A329">
        <v>297</v>
      </c>
      <c r="B329" t="s">
        <v>556</v>
      </c>
      <c r="C329" t="s">
        <v>555</v>
      </c>
      <c r="D329" t="s">
        <v>139</v>
      </c>
      <c r="E329" s="32">
        <v>44666</v>
      </c>
      <c r="F329" t="s">
        <v>127</v>
      </c>
      <c r="G329" t="str">
        <f>INDEX('коды стран'!$A$2:$A$6, MATCH(F329, 'коды стран'!$B$2:$B$6, 0))</f>
        <v>Украина</v>
      </c>
      <c r="H329" s="32">
        <f t="shared" ca="1" si="5"/>
        <v>46076</v>
      </c>
      <c r="I329">
        <f ca="1">Таблица3[[#This Row],[Текущая дата]]-Продажи[[#This Row],[Дата регистрации клиента]]</f>
        <v>1370</v>
      </c>
      <c r="J329">
        <f ca="1">ROUND((Таблица3[[#This Row],[Текущая дата]] - Продажи[[#This Row],[Дата регистрации клиента]]) / 30, 0)</f>
        <v>46</v>
      </c>
      <c r="K329" t="e">
        <f>LEFT(C329,#REF!- 1)</f>
        <v>#REF!</v>
      </c>
    </row>
    <row r="330" spans="1:11" x14ac:dyDescent="0.3">
      <c r="A330">
        <v>355</v>
      </c>
      <c r="B330" t="s">
        <v>536</v>
      </c>
      <c r="C330" t="s">
        <v>535</v>
      </c>
      <c r="D330" t="s">
        <v>139</v>
      </c>
      <c r="E330" s="32">
        <v>44631</v>
      </c>
      <c r="F330" t="s">
        <v>135</v>
      </c>
      <c r="G330" t="str">
        <f>INDEX('коды стран'!$A$2:$A$6, MATCH(F330, 'коды стран'!$B$2:$B$6, 0))</f>
        <v>Россия</v>
      </c>
      <c r="H330" s="32">
        <f t="shared" ca="1" si="5"/>
        <v>46076</v>
      </c>
      <c r="I330">
        <f ca="1">Таблица3[[#This Row],[Текущая дата]]-Продажи[[#This Row],[Дата регистрации клиента]]</f>
        <v>1154</v>
      </c>
      <c r="J330">
        <f ca="1">ROUND((Таблица3[[#This Row],[Текущая дата]] - Продажи[[#This Row],[Дата регистрации клиента]]) / 30, 0)</f>
        <v>38</v>
      </c>
      <c r="K330" t="e">
        <f>LEFT(C330,#REF!- 1)</f>
        <v>#REF!</v>
      </c>
    </row>
    <row r="331" spans="1:11" x14ac:dyDescent="0.3">
      <c r="A331">
        <v>304</v>
      </c>
      <c r="B331" t="s">
        <v>484</v>
      </c>
      <c r="C331" t="s">
        <v>483</v>
      </c>
      <c r="D331" t="s">
        <v>139</v>
      </c>
      <c r="E331" s="32">
        <v>44886</v>
      </c>
      <c r="F331" t="s">
        <v>135</v>
      </c>
      <c r="G331" t="str">
        <f>INDEX('коды стран'!$A$2:$A$6, MATCH(F331, 'коды стран'!$B$2:$B$6, 0))</f>
        <v>Россия</v>
      </c>
      <c r="H331" s="32">
        <f t="shared" ca="1" si="5"/>
        <v>46076</v>
      </c>
      <c r="I331">
        <f ca="1">Таблица3[[#This Row],[Текущая дата]]-Продажи[[#This Row],[Дата регистрации клиента]]</f>
        <v>1228</v>
      </c>
      <c r="J331">
        <f ca="1">ROUND((Таблица3[[#This Row],[Текущая дата]] - Продажи[[#This Row],[Дата регистрации клиента]]) / 30, 0)</f>
        <v>41</v>
      </c>
      <c r="K331" t="e">
        <f>LEFT(C331,#REF!- 1)</f>
        <v>#REF!</v>
      </c>
    </row>
    <row r="332" spans="1:11" x14ac:dyDescent="0.3">
      <c r="A332">
        <v>246</v>
      </c>
      <c r="B332" t="s">
        <v>476</v>
      </c>
      <c r="C332" t="s">
        <v>475</v>
      </c>
      <c r="D332" t="s">
        <v>139</v>
      </c>
      <c r="E332" s="32">
        <v>44805</v>
      </c>
      <c r="F332" t="s">
        <v>131</v>
      </c>
      <c r="G332" t="str">
        <f>INDEX('коды стран'!$A$2:$A$6, MATCH(F332, 'коды стран'!$B$2:$B$6, 0))</f>
        <v>Узбекистан</v>
      </c>
      <c r="H332" s="32">
        <f t="shared" ca="1" si="5"/>
        <v>46076</v>
      </c>
      <c r="I332">
        <f ca="1">Таблица3[[#This Row],[Текущая дата]]-Продажи[[#This Row],[Дата регистрации клиента]]</f>
        <v>1272</v>
      </c>
      <c r="J332">
        <f ca="1">ROUND((Таблица3[[#This Row],[Текущая дата]] - Продажи[[#This Row],[Дата регистрации клиента]]) / 30, 0)</f>
        <v>42</v>
      </c>
      <c r="K332" t="e">
        <f>LEFT(C332,#REF!- 1)</f>
        <v>#REF!</v>
      </c>
    </row>
    <row r="333" spans="1:11" x14ac:dyDescent="0.3">
      <c r="A333">
        <v>357</v>
      </c>
      <c r="B333" t="s">
        <v>472</v>
      </c>
      <c r="C333" t="s">
        <v>471</v>
      </c>
      <c r="D333" t="s">
        <v>142</v>
      </c>
      <c r="E333" s="32">
        <v>44913</v>
      </c>
      <c r="F333" t="s">
        <v>131</v>
      </c>
      <c r="G333" t="str">
        <f>INDEX('коды стран'!$A$2:$A$6, MATCH(F333, 'коды стран'!$B$2:$B$6, 0))</f>
        <v>Узбекистан</v>
      </c>
      <c r="H333" s="32">
        <f t="shared" ca="1" si="5"/>
        <v>46076</v>
      </c>
      <c r="I333">
        <f ca="1">Таблица3[[#This Row],[Текущая дата]]-Продажи[[#This Row],[Дата регистрации клиента]]</f>
        <v>1324</v>
      </c>
      <c r="J333">
        <f ca="1">ROUND((Таблица3[[#This Row],[Текущая дата]] - Продажи[[#This Row],[Дата регистрации клиента]]) / 30, 0)</f>
        <v>44</v>
      </c>
      <c r="K333" t="e">
        <f>LEFT(C333,#REF!- 1)</f>
        <v>#REF!</v>
      </c>
    </row>
    <row r="334" spans="1:11" x14ac:dyDescent="0.3">
      <c r="A334">
        <v>209</v>
      </c>
      <c r="B334" t="s">
        <v>440</v>
      </c>
      <c r="C334" t="s">
        <v>439</v>
      </c>
      <c r="D334" t="s">
        <v>139</v>
      </c>
      <c r="E334" s="32">
        <v>44628</v>
      </c>
      <c r="F334" t="s">
        <v>135</v>
      </c>
      <c r="G334" t="str">
        <f>INDEX('коды стран'!$A$2:$A$6, MATCH(F334, 'коды стран'!$B$2:$B$6, 0))</f>
        <v>Россия</v>
      </c>
      <c r="H334" s="32">
        <f t="shared" ca="1" si="5"/>
        <v>46076</v>
      </c>
      <c r="I334">
        <f ca="1">Таблица3[[#This Row],[Текущая дата]]-Продажи[[#This Row],[Дата регистрации клиента]]</f>
        <v>1187</v>
      </c>
      <c r="J334">
        <f ca="1">ROUND((Таблица3[[#This Row],[Текущая дата]] - Продажи[[#This Row],[Дата регистрации клиента]]) / 30, 0)</f>
        <v>40</v>
      </c>
      <c r="K334" t="e">
        <f>LEFT(C334,#REF!- 1)</f>
        <v>#REF!</v>
      </c>
    </row>
    <row r="335" spans="1:11" x14ac:dyDescent="0.3">
      <c r="A335">
        <v>217</v>
      </c>
      <c r="B335" t="s">
        <v>414</v>
      </c>
      <c r="C335" t="s">
        <v>413</v>
      </c>
      <c r="D335" t="s">
        <v>139</v>
      </c>
      <c r="E335" s="32">
        <v>44826</v>
      </c>
      <c r="F335" t="s">
        <v>135</v>
      </c>
      <c r="G335" t="str">
        <f>INDEX('коды стран'!$A$2:$A$6, MATCH(F335, 'коды стран'!$B$2:$B$6, 0))</f>
        <v>Россия</v>
      </c>
      <c r="H335" s="32">
        <f t="shared" ca="1" si="5"/>
        <v>46076</v>
      </c>
      <c r="I335">
        <f ca="1">Таблица3[[#This Row],[Текущая дата]]-Продажи[[#This Row],[Дата регистрации клиента]]</f>
        <v>1320</v>
      </c>
      <c r="J335">
        <f ca="1">ROUND((Таблица3[[#This Row],[Текущая дата]] - Продажи[[#This Row],[Дата регистрации клиента]]) / 30, 0)</f>
        <v>44</v>
      </c>
      <c r="K335" t="e">
        <f>LEFT(C335,#REF!- 1)</f>
        <v>#REF!</v>
      </c>
    </row>
    <row r="336" spans="1:11" x14ac:dyDescent="0.3">
      <c r="A336">
        <v>23</v>
      </c>
      <c r="B336" t="s">
        <v>402</v>
      </c>
      <c r="C336" t="s">
        <v>401</v>
      </c>
      <c r="D336" t="s">
        <v>139</v>
      </c>
      <c r="E336" s="32">
        <v>44706</v>
      </c>
      <c r="F336" t="s">
        <v>135</v>
      </c>
      <c r="G336" t="str">
        <f>INDEX('коды стран'!$A$2:$A$6, MATCH(F336, 'коды стран'!$B$2:$B$6, 0))</f>
        <v>Россия</v>
      </c>
      <c r="H336" s="32">
        <f t="shared" ca="1" si="5"/>
        <v>46076</v>
      </c>
      <c r="I336">
        <f ca="1">Таблица3[[#This Row],[Текущая дата]]-Продажи[[#This Row],[Дата регистрации клиента]]</f>
        <v>1216</v>
      </c>
      <c r="J336">
        <f ca="1">ROUND((Таблица3[[#This Row],[Текущая дата]] - Продажи[[#This Row],[Дата регистрации клиента]]) / 30, 0)</f>
        <v>41</v>
      </c>
      <c r="K336" t="e">
        <f>LEFT(C336,#REF!- 1)</f>
        <v>#REF!</v>
      </c>
    </row>
    <row r="337" spans="1:11" x14ac:dyDescent="0.3">
      <c r="A337">
        <v>215</v>
      </c>
      <c r="B337" t="s">
        <v>384</v>
      </c>
      <c r="C337" t="s">
        <v>383</v>
      </c>
      <c r="D337" t="s">
        <v>139</v>
      </c>
      <c r="E337" s="32">
        <v>44799</v>
      </c>
      <c r="F337" t="s">
        <v>135</v>
      </c>
      <c r="G337" t="str">
        <f>INDEX('коды стран'!$A$2:$A$6, MATCH(F337, 'коды стран'!$B$2:$B$6, 0))</f>
        <v>Россия</v>
      </c>
      <c r="H337" s="32">
        <f t="shared" ca="1" si="5"/>
        <v>46076</v>
      </c>
      <c r="I337">
        <f ca="1">Таблица3[[#This Row],[Текущая дата]]-Продажи[[#This Row],[Дата регистрации клиента]]</f>
        <v>1186</v>
      </c>
      <c r="J337">
        <f ca="1">ROUND((Таблица3[[#This Row],[Текущая дата]] - Продажи[[#This Row],[Дата регистрации клиента]]) / 30, 0)</f>
        <v>40</v>
      </c>
      <c r="K337" t="e">
        <f>LEFT(C337,#REF!- 1)</f>
        <v>#REF!</v>
      </c>
    </row>
    <row r="338" spans="1:11" x14ac:dyDescent="0.3">
      <c r="A338">
        <v>165</v>
      </c>
      <c r="B338" t="s">
        <v>330</v>
      </c>
      <c r="C338" t="s">
        <v>329</v>
      </c>
      <c r="D338" t="s">
        <v>142</v>
      </c>
      <c r="E338" s="32">
        <v>44599</v>
      </c>
      <c r="F338" t="s">
        <v>129</v>
      </c>
      <c r="G338" t="str">
        <f>INDEX('коды стран'!$A$2:$A$6, MATCH(F338, 'коды стран'!$B$2:$B$6, 0))</f>
        <v>Таджикистан</v>
      </c>
      <c r="H338" s="32">
        <f t="shared" ca="1" si="5"/>
        <v>46076</v>
      </c>
      <c r="I338">
        <f ca="1">Таблица3[[#This Row],[Текущая дата]]-Продажи[[#This Row],[Дата регистрации клиента]]</f>
        <v>1401</v>
      </c>
      <c r="J338">
        <f ca="1">ROUND((Таблица3[[#This Row],[Текущая дата]] - Продажи[[#This Row],[Дата регистрации клиента]]) / 30, 0)</f>
        <v>47</v>
      </c>
      <c r="K338" t="e">
        <f>LEFT(C338,#REF!- 1)</f>
        <v>#REF!</v>
      </c>
    </row>
    <row r="339" spans="1:11" x14ac:dyDescent="0.3">
      <c r="A339">
        <v>351</v>
      </c>
      <c r="B339" t="s">
        <v>322</v>
      </c>
      <c r="C339" t="s">
        <v>321</v>
      </c>
      <c r="D339" t="s">
        <v>142</v>
      </c>
      <c r="E339" s="32">
        <v>44863</v>
      </c>
      <c r="F339" t="s">
        <v>135</v>
      </c>
      <c r="G339" t="str">
        <f>INDEX('коды стран'!$A$2:$A$6, MATCH(F339, 'коды стран'!$B$2:$B$6, 0))</f>
        <v>Россия</v>
      </c>
      <c r="H339" s="32">
        <f t="shared" ca="1" si="5"/>
        <v>46076</v>
      </c>
      <c r="I339">
        <f ca="1">Таблица3[[#This Row],[Текущая дата]]-Продажи[[#This Row],[Дата регистрации клиента]]</f>
        <v>1445</v>
      </c>
      <c r="J339">
        <f ca="1">ROUND((Таблица3[[#This Row],[Текущая дата]] - Продажи[[#This Row],[Дата регистрации клиента]]) / 30, 0)</f>
        <v>48</v>
      </c>
      <c r="K339" t="e">
        <f>LEFT(C339,#REF!- 1)</f>
        <v>#REF!</v>
      </c>
    </row>
    <row r="340" spans="1:11" x14ac:dyDescent="0.3">
      <c r="A340">
        <v>460</v>
      </c>
      <c r="B340" t="s">
        <v>288</v>
      </c>
      <c r="C340" t="s">
        <v>287</v>
      </c>
      <c r="D340" t="s">
        <v>139</v>
      </c>
      <c r="E340" s="32">
        <v>44821</v>
      </c>
      <c r="F340" t="s">
        <v>135</v>
      </c>
      <c r="G340" t="str">
        <f>INDEX('коды стран'!$A$2:$A$6, MATCH(F340, 'коды стран'!$B$2:$B$6, 0))</f>
        <v>Россия</v>
      </c>
      <c r="H340" s="32">
        <f t="shared" ca="1" si="5"/>
        <v>46076</v>
      </c>
      <c r="I340">
        <f ca="1">Таблица3[[#This Row],[Текущая дата]]-Продажи[[#This Row],[Дата регистрации клиента]]</f>
        <v>1326</v>
      </c>
      <c r="J340">
        <f ca="1">ROUND((Таблица3[[#This Row],[Текущая дата]] - Продажи[[#This Row],[Дата регистрации клиента]]) / 30, 0)</f>
        <v>44</v>
      </c>
      <c r="K340" t="e">
        <f>LEFT(C340,#REF!- 1)</f>
        <v>#REF!</v>
      </c>
    </row>
    <row r="341" spans="1:11" x14ac:dyDescent="0.3">
      <c r="A341">
        <v>238</v>
      </c>
      <c r="B341" t="s">
        <v>232</v>
      </c>
      <c r="C341" t="s">
        <v>231</v>
      </c>
      <c r="D341" t="s">
        <v>142</v>
      </c>
      <c r="E341" s="32">
        <v>44909</v>
      </c>
      <c r="F341" t="s">
        <v>127</v>
      </c>
      <c r="G341" t="str">
        <f>INDEX('коды стран'!$A$2:$A$6, MATCH(F341, 'коды стран'!$B$2:$B$6, 0))</f>
        <v>Украина</v>
      </c>
      <c r="H341" s="32">
        <f t="shared" ca="1" si="5"/>
        <v>46076</v>
      </c>
      <c r="I341">
        <f ca="1">Таблица3[[#This Row],[Текущая дата]]-Продажи[[#This Row],[Дата регистрации клиента]]</f>
        <v>1423</v>
      </c>
      <c r="J341">
        <f ca="1">ROUND((Таблица3[[#This Row],[Текущая дата]] - Продажи[[#This Row],[Дата регистрации клиента]]) / 30, 0)</f>
        <v>47</v>
      </c>
      <c r="K341" t="e">
        <f>LEFT(C341,#REF!- 1)</f>
        <v>#REF!</v>
      </c>
    </row>
    <row r="342" spans="1:11" x14ac:dyDescent="0.3">
      <c r="A342">
        <v>91</v>
      </c>
      <c r="B342" t="s">
        <v>190</v>
      </c>
      <c r="C342" t="s">
        <v>189</v>
      </c>
      <c r="D342" t="s">
        <v>139</v>
      </c>
      <c r="E342" s="32">
        <v>44687</v>
      </c>
      <c r="F342" t="s">
        <v>135</v>
      </c>
      <c r="G342" t="str">
        <f>INDEX('коды стран'!$A$2:$A$6, MATCH(F342, 'коды стран'!$B$2:$B$6, 0))</f>
        <v>Россия</v>
      </c>
      <c r="H342" s="32">
        <f t="shared" ca="1" si="5"/>
        <v>46076</v>
      </c>
      <c r="I342">
        <f ca="1">Таблица3[[#This Row],[Текущая дата]]-Продажи[[#This Row],[Дата регистрации клиента]]</f>
        <v>1304</v>
      </c>
      <c r="J342">
        <f ca="1">ROUND((Таблица3[[#This Row],[Текущая дата]] - Продажи[[#This Row],[Дата регистрации клиента]]) / 30, 0)</f>
        <v>43</v>
      </c>
      <c r="K342" t="e">
        <f>LEFT(C342,#REF!- 1)</f>
        <v>#REF!</v>
      </c>
    </row>
    <row r="343" spans="1:11" x14ac:dyDescent="0.3">
      <c r="A343">
        <v>430</v>
      </c>
      <c r="B343" t="s">
        <v>172</v>
      </c>
      <c r="C343" t="s">
        <v>171</v>
      </c>
      <c r="D343" t="s">
        <v>139</v>
      </c>
      <c r="E343" s="32">
        <v>44799</v>
      </c>
      <c r="F343" t="s">
        <v>129</v>
      </c>
      <c r="G343" t="str">
        <f>INDEX('коды стран'!$A$2:$A$6, MATCH(F343, 'коды стран'!$B$2:$B$6, 0))</f>
        <v>Таджикистан</v>
      </c>
      <c r="H343" s="32">
        <f t="shared" ca="1" si="5"/>
        <v>46076</v>
      </c>
      <c r="I343">
        <f ca="1">Таблица3[[#This Row],[Текущая дата]]-Продажи[[#This Row],[Дата регистрации клиента]]</f>
        <v>1344</v>
      </c>
      <c r="J343">
        <f ca="1">ROUND((Таблица3[[#This Row],[Текущая дата]] - Продажи[[#This Row],[Дата регистрации клиента]]) / 30, 0)</f>
        <v>45</v>
      </c>
      <c r="K343" t="e">
        <f>LEFT(C343,#REF!- 1)</f>
        <v>#REF!</v>
      </c>
    </row>
    <row r="344" spans="1:11" x14ac:dyDescent="0.3">
      <c r="A344">
        <v>335</v>
      </c>
      <c r="B344" t="s">
        <v>994</v>
      </c>
      <c r="C344" t="s">
        <v>993</v>
      </c>
      <c r="D344" t="s">
        <v>139</v>
      </c>
      <c r="E344" s="32">
        <v>44619</v>
      </c>
      <c r="F344" t="s">
        <v>131</v>
      </c>
      <c r="G344" t="str">
        <f>INDEX('коды стран'!$A$2:$A$6, MATCH(F344, 'коды стран'!$B$2:$B$6, 0))</f>
        <v>Узбекистан</v>
      </c>
      <c r="H344" s="32">
        <f t="shared" ca="1" si="5"/>
        <v>46076</v>
      </c>
      <c r="I344">
        <f ca="1">Таблица3[[#This Row],[Текущая дата]]-Продажи[[#This Row],[Дата регистрации клиента]]</f>
        <v>1398</v>
      </c>
      <c r="J344">
        <f ca="1">ROUND((Таблица3[[#This Row],[Текущая дата]] - Продажи[[#This Row],[Дата регистрации клиента]]) / 30, 0)</f>
        <v>47</v>
      </c>
      <c r="K344" t="e">
        <f>LEFT(C344,#REF!- 1)</f>
        <v>#REF!</v>
      </c>
    </row>
    <row r="345" spans="1:11" x14ac:dyDescent="0.3">
      <c r="A345">
        <v>490</v>
      </c>
      <c r="B345" t="s">
        <v>976</v>
      </c>
      <c r="C345" t="s">
        <v>975</v>
      </c>
      <c r="D345" t="s">
        <v>139</v>
      </c>
      <c r="E345" s="32">
        <v>44603</v>
      </c>
      <c r="F345" t="s">
        <v>135</v>
      </c>
      <c r="G345" t="str">
        <f>INDEX('коды стран'!$A$2:$A$6, MATCH(F345, 'коды стран'!$B$2:$B$6, 0))</f>
        <v>Россия</v>
      </c>
      <c r="H345" s="32">
        <f t="shared" ca="1" si="5"/>
        <v>46076</v>
      </c>
      <c r="I345">
        <f ca="1">Таблица3[[#This Row],[Текущая дата]]-Продажи[[#This Row],[Дата регистрации клиента]]</f>
        <v>1418</v>
      </c>
      <c r="J345">
        <f ca="1">ROUND((Таблица3[[#This Row],[Текущая дата]] - Продажи[[#This Row],[Дата регистрации клиента]]) / 30, 0)</f>
        <v>47</v>
      </c>
      <c r="K345" t="e">
        <f>LEFT(C345,#REF!- 1)</f>
        <v>#REF!</v>
      </c>
    </row>
    <row r="346" spans="1:11" x14ac:dyDescent="0.3">
      <c r="A346">
        <v>24</v>
      </c>
      <c r="B346" t="s">
        <v>956</v>
      </c>
      <c r="C346" t="s">
        <v>955</v>
      </c>
      <c r="D346" t="s">
        <v>142</v>
      </c>
      <c r="E346" s="32">
        <v>44609</v>
      </c>
      <c r="F346" t="s">
        <v>131</v>
      </c>
      <c r="G346" t="str">
        <f>INDEX('коды стран'!$A$2:$A$6, MATCH(F346, 'коды стран'!$B$2:$B$6, 0))</f>
        <v>Узбекистан</v>
      </c>
      <c r="H346" s="32">
        <f t="shared" ca="1" si="5"/>
        <v>46076</v>
      </c>
      <c r="I346">
        <f ca="1">Таблица3[[#This Row],[Текущая дата]]-Продажи[[#This Row],[Дата регистрации клиента]]</f>
        <v>1255</v>
      </c>
      <c r="J346">
        <f ca="1">ROUND((Таблица3[[#This Row],[Текущая дата]] - Продажи[[#This Row],[Дата регистрации клиента]]) / 30, 0)</f>
        <v>42</v>
      </c>
      <c r="K346" t="e">
        <f>LEFT(C346,#REF!- 1)</f>
        <v>#REF!</v>
      </c>
    </row>
    <row r="347" spans="1:11" x14ac:dyDescent="0.3">
      <c r="A347">
        <v>287</v>
      </c>
      <c r="B347" t="s">
        <v>924</v>
      </c>
      <c r="C347" t="s">
        <v>923</v>
      </c>
      <c r="D347" t="s">
        <v>142</v>
      </c>
      <c r="E347" s="32">
        <v>44608</v>
      </c>
      <c r="F347" t="s">
        <v>135</v>
      </c>
      <c r="G347" t="str">
        <f>INDEX('коды стран'!$A$2:$A$6, MATCH(F347, 'коды стран'!$B$2:$B$6, 0))</f>
        <v>Россия</v>
      </c>
      <c r="H347" s="32">
        <f t="shared" ca="1" si="5"/>
        <v>46076</v>
      </c>
      <c r="I347">
        <f ca="1">Таблица3[[#This Row],[Текущая дата]]-Продажи[[#This Row],[Дата регистрации клиента]]</f>
        <v>1213</v>
      </c>
      <c r="J347">
        <f ca="1">ROUND((Таблица3[[#This Row],[Текущая дата]] - Продажи[[#This Row],[Дата регистрации клиента]]) / 30, 0)</f>
        <v>40</v>
      </c>
      <c r="K347" t="e">
        <f>LEFT(C347,#REF!- 1)</f>
        <v>#REF!</v>
      </c>
    </row>
    <row r="348" spans="1:11" x14ac:dyDescent="0.3">
      <c r="A348">
        <v>34</v>
      </c>
      <c r="B348" t="s">
        <v>906</v>
      </c>
      <c r="C348" t="s">
        <v>905</v>
      </c>
      <c r="D348" t="s">
        <v>139</v>
      </c>
      <c r="E348" s="32">
        <v>44654</v>
      </c>
      <c r="F348" t="s">
        <v>129</v>
      </c>
      <c r="G348" t="str">
        <f>INDEX('коды стран'!$A$2:$A$6, MATCH(F348, 'коды стран'!$B$2:$B$6, 0))</f>
        <v>Таджикистан</v>
      </c>
      <c r="H348" s="32">
        <f t="shared" ca="1" si="5"/>
        <v>46076</v>
      </c>
      <c r="I348">
        <f ca="1">Таблица3[[#This Row],[Текущая дата]]-Продажи[[#This Row],[Дата регистрации клиента]]</f>
        <v>1299</v>
      </c>
      <c r="J348">
        <f ca="1">ROUND((Таблица3[[#This Row],[Текущая дата]] - Продажи[[#This Row],[Дата регистрации клиента]]) / 30, 0)</f>
        <v>43</v>
      </c>
      <c r="K348" t="e">
        <f>LEFT(C348,#REF!- 1)</f>
        <v>#REF!</v>
      </c>
    </row>
    <row r="349" spans="1:11" x14ac:dyDescent="0.3">
      <c r="A349">
        <v>328</v>
      </c>
      <c r="B349" t="s">
        <v>888</v>
      </c>
      <c r="C349" t="s">
        <v>887</v>
      </c>
      <c r="D349" t="s">
        <v>142</v>
      </c>
      <c r="E349" s="32">
        <v>44568</v>
      </c>
      <c r="F349" t="s">
        <v>135</v>
      </c>
      <c r="G349" t="str">
        <f>INDEX('коды стран'!$A$2:$A$6, MATCH(F349, 'коды стран'!$B$2:$B$6, 0))</f>
        <v>Россия</v>
      </c>
      <c r="H349" s="32">
        <f t="shared" ca="1" si="5"/>
        <v>46076</v>
      </c>
      <c r="I349">
        <f ca="1">Таблица3[[#This Row],[Текущая дата]]-Продажи[[#This Row],[Дата регистрации клиента]]</f>
        <v>1228</v>
      </c>
      <c r="J349">
        <f ca="1">ROUND((Таблица3[[#This Row],[Текущая дата]] - Продажи[[#This Row],[Дата регистрации клиента]]) / 30, 0)</f>
        <v>41</v>
      </c>
      <c r="K349" t="e">
        <f>LEFT(C349,#REF!- 1)</f>
        <v>#REF!</v>
      </c>
    </row>
    <row r="350" spans="1:11" x14ac:dyDescent="0.3">
      <c r="A350">
        <v>140</v>
      </c>
      <c r="B350" t="s">
        <v>844</v>
      </c>
      <c r="C350" t="s">
        <v>843</v>
      </c>
      <c r="D350" t="s">
        <v>142</v>
      </c>
      <c r="E350" s="32">
        <v>44627</v>
      </c>
      <c r="F350" t="s">
        <v>135</v>
      </c>
      <c r="G350" t="str">
        <f>INDEX('коды стран'!$A$2:$A$6, MATCH(F350, 'коды стран'!$B$2:$B$6, 0))</f>
        <v>Россия</v>
      </c>
      <c r="H350" s="32">
        <f t="shared" ca="1" si="5"/>
        <v>46076</v>
      </c>
      <c r="I350">
        <f ca="1">Таблица3[[#This Row],[Текущая дата]]-Продажи[[#This Row],[Дата регистрации клиента]]</f>
        <v>1312</v>
      </c>
      <c r="J350">
        <f ca="1">ROUND((Таблица3[[#This Row],[Текущая дата]] - Продажи[[#This Row],[Дата регистрации клиента]]) / 30, 0)</f>
        <v>44</v>
      </c>
      <c r="K350" t="e">
        <f>LEFT(C350,#REF!- 1)</f>
        <v>#REF!</v>
      </c>
    </row>
    <row r="351" spans="1:11" x14ac:dyDescent="0.3">
      <c r="A351">
        <v>71</v>
      </c>
      <c r="B351" t="s">
        <v>832</v>
      </c>
      <c r="C351" t="s">
        <v>831</v>
      </c>
      <c r="D351" t="s">
        <v>142</v>
      </c>
      <c r="E351" s="32">
        <v>44762</v>
      </c>
      <c r="F351" t="s">
        <v>127</v>
      </c>
      <c r="G351" t="str">
        <f>INDEX('коды стран'!$A$2:$A$6, MATCH(F351, 'коды стран'!$B$2:$B$6, 0))</f>
        <v>Украина</v>
      </c>
      <c r="H351" s="32">
        <f t="shared" ca="1" si="5"/>
        <v>46076</v>
      </c>
      <c r="I351">
        <f ca="1">Таблица3[[#This Row],[Текущая дата]]-Продажи[[#This Row],[Дата регистрации клиента]]</f>
        <v>1387</v>
      </c>
      <c r="J351">
        <f ca="1">ROUND((Таблица3[[#This Row],[Текущая дата]] - Продажи[[#This Row],[Дата регистрации клиента]]) / 30, 0)</f>
        <v>46</v>
      </c>
      <c r="K351" t="e">
        <f>LEFT(C351,#REF!- 1)</f>
        <v>#REF!</v>
      </c>
    </row>
    <row r="352" spans="1:11" x14ac:dyDescent="0.3">
      <c r="A352">
        <v>132</v>
      </c>
      <c r="B352" t="s">
        <v>808</v>
      </c>
      <c r="C352" t="s">
        <v>807</v>
      </c>
      <c r="D352" t="s">
        <v>142</v>
      </c>
      <c r="E352" s="32">
        <v>44601</v>
      </c>
      <c r="F352" t="s">
        <v>127</v>
      </c>
      <c r="G352" t="str">
        <f>INDEX('коды стран'!$A$2:$A$6, MATCH(F352, 'коды стран'!$B$2:$B$6, 0))</f>
        <v>Украина</v>
      </c>
      <c r="H352" s="32">
        <f t="shared" ca="1" si="5"/>
        <v>46076</v>
      </c>
      <c r="I352">
        <f ca="1">Таблица3[[#This Row],[Текущая дата]]-Продажи[[#This Row],[Дата регистрации клиента]]</f>
        <v>1371</v>
      </c>
      <c r="J352">
        <f ca="1">ROUND((Таблица3[[#This Row],[Текущая дата]] - Продажи[[#This Row],[Дата регистрации клиента]]) / 30, 0)</f>
        <v>46</v>
      </c>
      <c r="K352" t="e">
        <f>LEFT(C352,#REF!- 1)</f>
        <v>#REF!</v>
      </c>
    </row>
    <row r="353" spans="1:11" x14ac:dyDescent="0.3">
      <c r="A353">
        <v>396</v>
      </c>
      <c r="B353" t="s">
        <v>794</v>
      </c>
      <c r="C353" t="s">
        <v>793</v>
      </c>
      <c r="D353" t="s">
        <v>139</v>
      </c>
      <c r="E353" s="32">
        <v>44871</v>
      </c>
      <c r="F353" t="s">
        <v>127</v>
      </c>
      <c r="G353" t="str">
        <f>INDEX('коды стран'!$A$2:$A$6, MATCH(F353, 'коды стран'!$B$2:$B$6, 0))</f>
        <v>Украина</v>
      </c>
      <c r="H353" s="32">
        <f t="shared" ca="1" si="5"/>
        <v>46076</v>
      </c>
      <c r="I353">
        <f ca="1">Таблица3[[#This Row],[Текущая дата]]-Продажи[[#This Row],[Дата регистрации клиента]]</f>
        <v>1501</v>
      </c>
      <c r="J353">
        <f ca="1">ROUND((Таблица3[[#This Row],[Текущая дата]] - Продажи[[#This Row],[Дата регистрации клиента]]) / 30, 0)</f>
        <v>50</v>
      </c>
      <c r="K353" t="e">
        <f>LEFT(C353,#REF!- 1)</f>
        <v>#REF!</v>
      </c>
    </row>
    <row r="354" spans="1:11" x14ac:dyDescent="0.3">
      <c r="A354">
        <v>464</v>
      </c>
      <c r="B354" t="s">
        <v>752</v>
      </c>
      <c r="C354" t="s">
        <v>751</v>
      </c>
      <c r="D354" t="s">
        <v>139</v>
      </c>
      <c r="E354" s="32">
        <v>44827</v>
      </c>
      <c r="F354" t="s">
        <v>135</v>
      </c>
      <c r="G354" t="str">
        <f>INDEX('коды стран'!$A$2:$A$6, MATCH(F354, 'коды стран'!$B$2:$B$6, 0))</f>
        <v>Россия</v>
      </c>
      <c r="H354" s="32">
        <f t="shared" ca="1" si="5"/>
        <v>46076</v>
      </c>
      <c r="I354">
        <f ca="1">Таблица3[[#This Row],[Текущая дата]]-Продажи[[#This Row],[Дата регистрации клиента]]</f>
        <v>1271</v>
      </c>
      <c r="J354">
        <f ca="1">ROUND((Таблица3[[#This Row],[Текущая дата]] - Продажи[[#This Row],[Дата регистрации клиента]]) / 30, 0)</f>
        <v>42</v>
      </c>
      <c r="K354" t="e">
        <f>LEFT(C354,#REF!- 1)</f>
        <v>#REF!</v>
      </c>
    </row>
    <row r="355" spans="1:11" x14ac:dyDescent="0.3">
      <c r="A355">
        <v>325</v>
      </c>
      <c r="B355" t="s">
        <v>738</v>
      </c>
      <c r="C355" t="s">
        <v>737</v>
      </c>
      <c r="D355" t="s">
        <v>139</v>
      </c>
      <c r="E355" s="32">
        <v>44875</v>
      </c>
      <c r="F355" t="s">
        <v>129</v>
      </c>
      <c r="G355" t="str">
        <f>INDEX('коды стран'!$A$2:$A$6, MATCH(F355, 'коды стран'!$B$2:$B$6, 0))</f>
        <v>Таджикистан</v>
      </c>
      <c r="H355" s="32">
        <f t="shared" ca="1" si="5"/>
        <v>46076</v>
      </c>
      <c r="I355">
        <f ca="1">Таблица3[[#This Row],[Текущая дата]]-Продажи[[#This Row],[Дата регистрации клиента]]</f>
        <v>1251</v>
      </c>
      <c r="J355">
        <f ca="1">ROUND((Таблица3[[#This Row],[Текущая дата]] - Продажи[[#This Row],[Дата регистрации клиента]]) / 30, 0)</f>
        <v>42</v>
      </c>
      <c r="K355" t="e">
        <f>LEFT(C355,#REF!- 1)</f>
        <v>#REF!</v>
      </c>
    </row>
    <row r="356" spans="1:11" x14ac:dyDescent="0.3">
      <c r="A356">
        <v>46</v>
      </c>
      <c r="B356" t="s">
        <v>710</v>
      </c>
      <c r="C356" t="s">
        <v>709</v>
      </c>
      <c r="D356" t="s">
        <v>142</v>
      </c>
      <c r="E356" s="32">
        <v>44636</v>
      </c>
      <c r="F356" t="s">
        <v>129</v>
      </c>
      <c r="G356" t="str">
        <f>INDEX('коды стран'!$A$2:$A$6, MATCH(F356, 'коды стран'!$B$2:$B$6, 0))</f>
        <v>Таджикистан</v>
      </c>
      <c r="H356" s="32">
        <f t="shared" ca="1" si="5"/>
        <v>46076</v>
      </c>
      <c r="I356">
        <f ca="1">Таблица3[[#This Row],[Текущая дата]]-Продажи[[#This Row],[Дата регистрации клиента]]</f>
        <v>1293</v>
      </c>
      <c r="J356">
        <f ca="1">ROUND((Таблица3[[#This Row],[Текущая дата]] - Продажи[[#This Row],[Дата регистрации клиента]]) / 30, 0)</f>
        <v>43</v>
      </c>
      <c r="K356" t="e">
        <f>LEFT(C356,#REF!- 1)</f>
        <v>#REF!</v>
      </c>
    </row>
    <row r="357" spans="1:11" x14ac:dyDescent="0.3">
      <c r="A357">
        <v>74</v>
      </c>
      <c r="B357" t="s">
        <v>700</v>
      </c>
      <c r="C357" t="s">
        <v>699</v>
      </c>
      <c r="D357" t="s">
        <v>139</v>
      </c>
      <c r="E357" s="32">
        <v>44857</v>
      </c>
      <c r="F357" t="s">
        <v>135</v>
      </c>
      <c r="G357" t="str">
        <f>INDEX('коды стран'!$A$2:$A$6, MATCH(F357, 'коды стран'!$B$2:$B$6, 0))</f>
        <v>Россия</v>
      </c>
      <c r="H357" s="32">
        <f t="shared" ca="1" si="5"/>
        <v>46076</v>
      </c>
      <c r="I357">
        <f ca="1">Таблица3[[#This Row],[Текущая дата]]-Продажи[[#This Row],[Дата регистрации клиента]]</f>
        <v>1407</v>
      </c>
      <c r="J357">
        <f ca="1">ROUND((Таблица3[[#This Row],[Текущая дата]] - Продажи[[#This Row],[Дата регистрации клиента]]) / 30, 0)</f>
        <v>47</v>
      </c>
      <c r="K357" t="e">
        <f>LEFT(C357,#REF!- 1)</f>
        <v>#REF!</v>
      </c>
    </row>
    <row r="358" spans="1:11" x14ac:dyDescent="0.3">
      <c r="A358">
        <v>177</v>
      </c>
      <c r="B358" t="s">
        <v>646</v>
      </c>
      <c r="C358" t="s">
        <v>645</v>
      </c>
      <c r="D358" t="s">
        <v>139</v>
      </c>
      <c r="E358" s="32">
        <v>44857</v>
      </c>
      <c r="F358" t="s">
        <v>129</v>
      </c>
      <c r="G358" t="str">
        <f>INDEX('коды стран'!$A$2:$A$6, MATCH(F358, 'коды стран'!$B$2:$B$6, 0))</f>
        <v>Таджикистан</v>
      </c>
      <c r="H358" s="32">
        <f t="shared" ca="1" si="5"/>
        <v>46076</v>
      </c>
      <c r="I358">
        <f ca="1">Таблица3[[#This Row],[Текущая дата]]-Продажи[[#This Row],[Дата регистрации клиента]]</f>
        <v>1477</v>
      </c>
      <c r="J358">
        <f ca="1">ROUND((Таблица3[[#This Row],[Текущая дата]] - Продажи[[#This Row],[Дата регистрации клиента]]) / 30, 0)</f>
        <v>49</v>
      </c>
      <c r="K358" t="e">
        <f>LEFT(C358,#REF!- 1)</f>
        <v>#REF!</v>
      </c>
    </row>
    <row r="359" spans="1:11" x14ac:dyDescent="0.3">
      <c r="A359">
        <v>41</v>
      </c>
      <c r="B359" t="s">
        <v>632</v>
      </c>
      <c r="C359" t="s">
        <v>631</v>
      </c>
      <c r="D359" t="s">
        <v>142</v>
      </c>
      <c r="E359" s="32">
        <v>44842</v>
      </c>
      <c r="F359" t="s">
        <v>135</v>
      </c>
      <c r="G359" t="str">
        <f>INDEX('коды стран'!$A$2:$A$6, MATCH(F359, 'коды стран'!$B$2:$B$6, 0))</f>
        <v>Россия</v>
      </c>
      <c r="H359" s="32">
        <f t="shared" ca="1" si="5"/>
        <v>46076</v>
      </c>
      <c r="I359">
        <f ca="1">Таблица3[[#This Row],[Текущая дата]]-Продажи[[#This Row],[Дата регистрации клиента]]</f>
        <v>1283</v>
      </c>
      <c r="J359">
        <f ca="1">ROUND((Таблица3[[#This Row],[Текущая дата]] - Продажи[[#This Row],[Дата регистрации клиента]]) / 30, 0)</f>
        <v>43</v>
      </c>
      <c r="K359" t="e">
        <f>LEFT(C359,#REF!- 1)</f>
        <v>#REF!</v>
      </c>
    </row>
    <row r="360" spans="1:11" x14ac:dyDescent="0.3">
      <c r="A360">
        <v>483</v>
      </c>
      <c r="B360" t="s">
        <v>616</v>
      </c>
      <c r="C360" t="s">
        <v>615</v>
      </c>
      <c r="D360" t="s">
        <v>142</v>
      </c>
      <c r="E360" s="32">
        <v>44855</v>
      </c>
      <c r="F360" t="s">
        <v>135</v>
      </c>
      <c r="G360" t="str">
        <f>INDEX('коды стран'!$A$2:$A$6, MATCH(F360, 'коды стран'!$B$2:$B$6, 0))</f>
        <v>Россия</v>
      </c>
      <c r="H360" s="32">
        <f t="shared" ca="1" si="5"/>
        <v>46076</v>
      </c>
      <c r="I360">
        <f ca="1">Таблица3[[#This Row],[Текущая дата]]-Продажи[[#This Row],[Дата регистрации клиента]]</f>
        <v>1181</v>
      </c>
      <c r="J360">
        <f ca="1">ROUND((Таблица3[[#This Row],[Текущая дата]] - Продажи[[#This Row],[Дата регистрации клиента]]) / 30, 0)</f>
        <v>39</v>
      </c>
      <c r="K360" t="e">
        <f>LEFT(C360,#REF!- 1)</f>
        <v>#REF!</v>
      </c>
    </row>
    <row r="361" spans="1:11" x14ac:dyDescent="0.3">
      <c r="A361">
        <v>319</v>
      </c>
      <c r="B361" t="s">
        <v>578</v>
      </c>
      <c r="C361" t="s">
        <v>577</v>
      </c>
      <c r="D361" t="s">
        <v>142</v>
      </c>
      <c r="E361" s="32">
        <v>44674</v>
      </c>
      <c r="F361" t="s">
        <v>131</v>
      </c>
      <c r="G361" t="str">
        <f>INDEX('коды стран'!$A$2:$A$6, MATCH(F361, 'коды стран'!$B$2:$B$6, 0))</f>
        <v>Узбекистан</v>
      </c>
      <c r="H361" s="32">
        <f t="shared" ca="1" si="5"/>
        <v>46076</v>
      </c>
      <c r="I361">
        <f ca="1">Таблица3[[#This Row],[Текущая дата]]-Продажи[[#This Row],[Дата регистрации клиента]]</f>
        <v>1293</v>
      </c>
      <c r="J361">
        <f ca="1">ROUND((Таблица3[[#This Row],[Текущая дата]] - Продажи[[#This Row],[Дата регистрации клиента]]) / 30, 0)</f>
        <v>43</v>
      </c>
      <c r="K361" t="e">
        <f>LEFT(C361,#REF!- 1)</f>
        <v>#REF!</v>
      </c>
    </row>
    <row r="362" spans="1:11" x14ac:dyDescent="0.3">
      <c r="A362">
        <v>58</v>
      </c>
      <c r="B362" t="s">
        <v>550</v>
      </c>
      <c r="C362" t="s">
        <v>549</v>
      </c>
      <c r="D362" t="s">
        <v>139</v>
      </c>
      <c r="E362" s="32">
        <v>44628</v>
      </c>
      <c r="F362" t="s">
        <v>133</v>
      </c>
      <c r="G362" t="str">
        <f>INDEX('коды стран'!$A$2:$A$6, MATCH(F362, 'коды стран'!$B$2:$B$6, 0))</f>
        <v>Беларусь</v>
      </c>
      <c r="H362" s="32">
        <f t="shared" ca="1" si="5"/>
        <v>46076</v>
      </c>
      <c r="I362">
        <f ca="1">Таблица3[[#This Row],[Текущая дата]]-Продажи[[#This Row],[Дата регистрации клиента]]</f>
        <v>1414</v>
      </c>
      <c r="J362">
        <f ca="1">ROUND((Таблица3[[#This Row],[Текущая дата]] - Продажи[[#This Row],[Дата регистрации клиента]]) / 30, 0)</f>
        <v>47</v>
      </c>
      <c r="K362" t="e">
        <f>LEFT(C362,#REF!- 1)</f>
        <v>#REF!</v>
      </c>
    </row>
    <row r="363" spans="1:11" x14ac:dyDescent="0.3">
      <c r="A363">
        <v>231</v>
      </c>
      <c r="B363" t="s">
        <v>542</v>
      </c>
      <c r="C363" t="s">
        <v>541</v>
      </c>
      <c r="D363" t="s">
        <v>139</v>
      </c>
      <c r="E363" s="32">
        <v>44752</v>
      </c>
      <c r="F363" t="s">
        <v>135</v>
      </c>
      <c r="G363" t="str">
        <f>INDEX('коды стран'!$A$2:$A$6, MATCH(F363, 'коды стран'!$B$2:$B$6, 0))</f>
        <v>Россия</v>
      </c>
      <c r="H363" s="32">
        <f t="shared" ca="1" si="5"/>
        <v>46076</v>
      </c>
      <c r="I363">
        <f ca="1">Таблица3[[#This Row],[Текущая дата]]-Продажи[[#This Row],[Дата регистрации клиента]]</f>
        <v>1195</v>
      </c>
      <c r="J363">
        <f ca="1">ROUND((Таблица3[[#This Row],[Текущая дата]] - Продажи[[#This Row],[Дата регистрации клиента]]) / 30, 0)</f>
        <v>40</v>
      </c>
      <c r="K363" t="e">
        <f>LEFT(C363,#REF!- 1)</f>
        <v>#REF!</v>
      </c>
    </row>
    <row r="364" spans="1:11" x14ac:dyDescent="0.3">
      <c r="A364">
        <v>391</v>
      </c>
      <c r="B364" t="s">
        <v>538</v>
      </c>
      <c r="C364" t="s">
        <v>537</v>
      </c>
      <c r="D364" t="s">
        <v>142</v>
      </c>
      <c r="E364" s="32">
        <v>44675</v>
      </c>
      <c r="F364" t="s">
        <v>129</v>
      </c>
      <c r="G364" t="str">
        <f>INDEX('коды стран'!$A$2:$A$6, MATCH(F364, 'коды стран'!$B$2:$B$6, 0))</f>
        <v>Таджикистан</v>
      </c>
      <c r="H364" s="32">
        <f t="shared" ca="1" si="5"/>
        <v>46076</v>
      </c>
      <c r="I364">
        <f ca="1">Таблица3[[#This Row],[Текущая дата]]-Продажи[[#This Row],[Дата регистрации клиента]]</f>
        <v>1297</v>
      </c>
      <c r="J364">
        <f ca="1">ROUND((Таблица3[[#This Row],[Текущая дата]] - Продажи[[#This Row],[Дата регистрации клиента]]) / 30, 0)</f>
        <v>43</v>
      </c>
      <c r="K364" t="e">
        <f>LEFT(C364,#REF!- 1)</f>
        <v>#REF!</v>
      </c>
    </row>
    <row r="365" spans="1:11" x14ac:dyDescent="0.3">
      <c r="A365">
        <v>261</v>
      </c>
      <c r="B365" t="s">
        <v>522</v>
      </c>
      <c r="C365" t="s">
        <v>521</v>
      </c>
      <c r="D365" t="s">
        <v>142</v>
      </c>
      <c r="E365" s="32">
        <v>44848</v>
      </c>
      <c r="F365" t="s">
        <v>135</v>
      </c>
      <c r="G365" t="str">
        <f>INDEX('коды стран'!$A$2:$A$6, MATCH(F365, 'коды стран'!$B$2:$B$6, 0))</f>
        <v>Россия</v>
      </c>
      <c r="H365" s="32">
        <f t="shared" ca="1" si="5"/>
        <v>46076</v>
      </c>
      <c r="I365">
        <f ca="1">Таблица3[[#This Row],[Текущая дата]]-Продажи[[#This Row],[Дата регистрации клиента]]</f>
        <v>1496</v>
      </c>
      <c r="J365">
        <f ca="1">ROUND((Таблица3[[#This Row],[Текущая дата]] - Продажи[[#This Row],[Дата регистрации клиента]]) / 30, 0)</f>
        <v>50</v>
      </c>
      <c r="K365" t="e">
        <f>LEFT(C365,#REF!- 1)</f>
        <v>#REF!</v>
      </c>
    </row>
    <row r="366" spans="1:11" x14ac:dyDescent="0.3">
      <c r="A366">
        <v>88</v>
      </c>
      <c r="B366" t="s">
        <v>490</v>
      </c>
      <c r="C366" t="s">
        <v>489</v>
      </c>
      <c r="D366" t="s">
        <v>142</v>
      </c>
      <c r="E366" s="32">
        <v>44630</v>
      </c>
      <c r="F366" t="s">
        <v>127</v>
      </c>
      <c r="G366" t="str">
        <f>INDEX('коды стран'!$A$2:$A$6, MATCH(F366, 'коды стран'!$B$2:$B$6, 0))</f>
        <v>Украина</v>
      </c>
      <c r="H366" s="32">
        <f t="shared" ca="1" si="5"/>
        <v>46076</v>
      </c>
      <c r="I366">
        <f ca="1">Таблица3[[#This Row],[Текущая дата]]-Продажи[[#This Row],[Дата регистрации клиента]]</f>
        <v>1170</v>
      </c>
      <c r="J366">
        <f ca="1">ROUND((Таблица3[[#This Row],[Текущая дата]] - Продажи[[#This Row],[Дата регистрации клиента]]) / 30, 0)</f>
        <v>39</v>
      </c>
      <c r="K366" t="e">
        <f>LEFT(C366,#REF!- 1)</f>
        <v>#REF!</v>
      </c>
    </row>
    <row r="367" spans="1:11" x14ac:dyDescent="0.3">
      <c r="A367">
        <v>461</v>
      </c>
      <c r="B367" t="s">
        <v>480</v>
      </c>
      <c r="C367" t="s">
        <v>479</v>
      </c>
      <c r="D367" t="s">
        <v>142</v>
      </c>
      <c r="E367" s="32">
        <v>44667</v>
      </c>
      <c r="F367" t="s">
        <v>131</v>
      </c>
      <c r="G367" t="str">
        <f>INDEX('коды стран'!$A$2:$A$6, MATCH(F367, 'коды стран'!$B$2:$B$6, 0))</f>
        <v>Узбекистан</v>
      </c>
      <c r="H367" s="32">
        <f t="shared" ca="1" si="5"/>
        <v>46076</v>
      </c>
      <c r="I367">
        <f ca="1">Таблица3[[#This Row],[Текущая дата]]-Продажи[[#This Row],[Дата регистрации клиента]]</f>
        <v>1312</v>
      </c>
      <c r="J367">
        <f ca="1">ROUND((Таблица3[[#This Row],[Текущая дата]] - Продажи[[#This Row],[Дата регистрации клиента]]) / 30, 0)</f>
        <v>44</v>
      </c>
      <c r="K367" t="e">
        <f>LEFT(C367,#REF!- 1)</f>
        <v>#REF!</v>
      </c>
    </row>
    <row r="368" spans="1:11" x14ac:dyDescent="0.3">
      <c r="A368">
        <v>476</v>
      </c>
      <c r="B368" t="s">
        <v>462</v>
      </c>
      <c r="C368" t="s">
        <v>461</v>
      </c>
      <c r="D368" t="s">
        <v>142</v>
      </c>
      <c r="E368" s="32">
        <v>44703</v>
      </c>
      <c r="F368" t="s">
        <v>127</v>
      </c>
      <c r="G368" t="str">
        <f>INDEX('коды стран'!$A$2:$A$6, MATCH(F368, 'коды стран'!$B$2:$B$6, 0))</f>
        <v>Украина</v>
      </c>
      <c r="H368" s="32">
        <f t="shared" ca="1" si="5"/>
        <v>46076</v>
      </c>
      <c r="I368">
        <f ca="1">Таблица3[[#This Row],[Текущая дата]]-Продажи[[#This Row],[Дата регистрации клиента]]</f>
        <v>1310</v>
      </c>
      <c r="J368">
        <f ca="1">ROUND((Таблица3[[#This Row],[Текущая дата]] - Продажи[[#This Row],[Дата регистрации клиента]]) / 30, 0)</f>
        <v>44</v>
      </c>
      <c r="K368" t="e">
        <f>LEFT(C368,#REF!- 1)</f>
        <v>#REF!</v>
      </c>
    </row>
    <row r="369" spans="1:11" x14ac:dyDescent="0.3">
      <c r="A369">
        <v>103</v>
      </c>
      <c r="B369" t="s">
        <v>428</v>
      </c>
      <c r="C369" t="s">
        <v>427</v>
      </c>
      <c r="D369" t="s">
        <v>142</v>
      </c>
      <c r="E369" s="32">
        <v>44787</v>
      </c>
      <c r="F369" t="s">
        <v>131</v>
      </c>
      <c r="G369" t="str">
        <f>INDEX('коды стран'!$A$2:$A$6, MATCH(F369, 'коды стран'!$B$2:$B$6, 0))</f>
        <v>Узбекистан</v>
      </c>
      <c r="H369" s="32">
        <f t="shared" ca="1" si="5"/>
        <v>46076</v>
      </c>
      <c r="I369">
        <f ca="1">Таблица3[[#This Row],[Текущая дата]]-Продажи[[#This Row],[Дата регистрации клиента]]</f>
        <v>1293</v>
      </c>
      <c r="J369">
        <f ca="1">ROUND((Таблица3[[#This Row],[Текущая дата]] - Продажи[[#This Row],[Дата регистрации клиента]]) / 30, 0)</f>
        <v>43</v>
      </c>
      <c r="K369" t="e">
        <f>LEFT(C369,#REF!- 1)</f>
        <v>#REF!</v>
      </c>
    </row>
    <row r="370" spans="1:11" x14ac:dyDescent="0.3">
      <c r="A370">
        <v>402</v>
      </c>
      <c r="B370" t="s">
        <v>404</v>
      </c>
      <c r="C370" t="s">
        <v>403</v>
      </c>
      <c r="D370" t="s">
        <v>142</v>
      </c>
      <c r="E370" s="32">
        <v>44742</v>
      </c>
      <c r="F370" t="s">
        <v>131</v>
      </c>
      <c r="G370" t="str">
        <f>INDEX('коды стран'!$A$2:$A$6, MATCH(F370, 'коды стран'!$B$2:$B$6, 0))</f>
        <v>Узбекистан</v>
      </c>
      <c r="H370" s="32">
        <f t="shared" ca="1" si="5"/>
        <v>46076</v>
      </c>
      <c r="I370">
        <f ca="1">Таблица3[[#This Row],[Текущая дата]]-Продажи[[#This Row],[Дата регистрации клиента]]</f>
        <v>1249</v>
      </c>
      <c r="J370">
        <f ca="1">ROUND((Таблица3[[#This Row],[Текущая дата]] - Продажи[[#This Row],[Дата регистрации клиента]]) / 30, 0)</f>
        <v>42</v>
      </c>
      <c r="K370" t="e">
        <f>LEFT(C370,#REF!- 1)</f>
        <v>#REF!</v>
      </c>
    </row>
    <row r="371" spans="1:11" x14ac:dyDescent="0.3">
      <c r="A371">
        <v>468</v>
      </c>
      <c r="B371" t="s">
        <v>400</v>
      </c>
      <c r="C371" t="s">
        <v>399</v>
      </c>
      <c r="D371" t="s">
        <v>142</v>
      </c>
      <c r="E371" s="32">
        <v>44619</v>
      </c>
      <c r="F371" t="s">
        <v>131</v>
      </c>
      <c r="G371" t="str">
        <f>INDEX('коды стран'!$A$2:$A$6, MATCH(F371, 'коды стран'!$B$2:$B$6, 0))</f>
        <v>Узбекистан</v>
      </c>
      <c r="H371" s="32">
        <f t="shared" ca="1" si="5"/>
        <v>46076</v>
      </c>
      <c r="I371">
        <f ca="1">Таблица3[[#This Row],[Текущая дата]]-Продажи[[#This Row],[Дата регистрации клиента]]</f>
        <v>1453</v>
      </c>
      <c r="J371">
        <f ca="1">ROUND((Таблица3[[#This Row],[Текущая дата]] - Продажи[[#This Row],[Дата регистрации клиента]]) / 30, 0)</f>
        <v>48</v>
      </c>
      <c r="K371" t="e">
        <f>LEFT(C371,#REF!- 1)</f>
        <v>#REF!</v>
      </c>
    </row>
    <row r="372" spans="1:11" x14ac:dyDescent="0.3">
      <c r="A372">
        <v>465</v>
      </c>
      <c r="B372" t="s">
        <v>386</v>
      </c>
      <c r="C372" t="s">
        <v>385</v>
      </c>
      <c r="D372" t="s">
        <v>139</v>
      </c>
      <c r="E372" s="32">
        <v>44671</v>
      </c>
      <c r="F372" t="s">
        <v>131</v>
      </c>
      <c r="G372" t="str">
        <f>INDEX('коды стран'!$A$2:$A$6, MATCH(F372, 'коды стран'!$B$2:$B$6, 0))</f>
        <v>Узбекистан</v>
      </c>
      <c r="H372" s="32">
        <f t="shared" ca="1" si="5"/>
        <v>46076</v>
      </c>
      <c r="I372">
        <f ca="1">Таблица3[[#This Row],[Текущая дата]]-Продажи[[#This Row],[Дата регистрации клиента]]</f>
        <v>1257</v>
      </c>
      <c r="J372">
        <f ca="1">ROUND((Таблица3[[#This Row],[Текущая дата]] - Продажи[[#This Row],[Дата регистрации клиента]]) / 30, 0)</f>
        <v>42</v>
      </c>
      <c r="K372" t="e">
        <f>LEFT(C372,#REF!- 1)</f>
        <v>#REF!</v>
      </c>
    </row>
    <row r="373" spans="1:11" x14ac:dyDescent="0.3">
      <c r="A373">
        <v>336</v>
      </c>
      <c r="B373" t="s">
        <v>358</v>
      </c>
      <c r="C373" t="s">
        <v>357</v>
      </c>
      <c r="D373" t="s">
        <v>139</v>
      </c>
      <c r="E373" s="32">
        <v>44856</v>
      </c>
      <c r="F373" t="s">
        <v>131</v>
      </c>
      <c r="G373" t="str">
        <f>INDEX('коды стран'!$A$2:$A$6, MATCH(F373, 'коды стран'!$B$2:$B$6, 0))</f>
        <v>Узбекистан</v>
      </c>
      <c r="H373" s="32">
        <f t="shared" ca="1" si="5"/>
        <v>46076</v>
      </c>
      <c r="I373">
        <f ca="1">Таблица3[[#This Row],[Текущая дата]]-Продажи[[#This Row],[Дата регистрации клиента]]</f>
        <v>1506</v>
      </c>
      <c r="J373">
        <f ca="1">ROUND((Таблица3[[#This Row],[Текущая дата]] - Продажи[[#This Row],[Дата регистрации клиента]]) / 30, 0)</f>
        <v>50</v>
      </c>
      <c r="K373" t="e">
        <f>LEFT(C373,#REF!- 1)</f>
        <v>#REF!</v>
      </c>
    </row>
    <row r="374" spans="1:11" x14ac:dyDescent="0.3">
      <c r="A374">
        <v>340</v>
      </c>
      <c r="B374" t="s">
        <v>334</v>
      </c>
      <c r="C374" t="s">
        <v>333</v>
      </c>
      <c r="D374" t="s">
        <v>139</v>
      </c>
      <c r="E374" s="32">
        <v>44896</v>
      </c>
      <c r="F374" t="s">
        <v>135</v>
      </c>
      <c r="G374" t="str">
        <f>INDEX('коды стран'!$A$2:$A$6, MATCH(F374, 'коды стран'!$B$2:$B$6, 0))</f>
        <v>Россия</v>
      </c>
      <c r="H374" s="32">
        <f t="shared" ca="1" si="5"/>
        <v>46076</v>
      </c>
      <c r="I374">
        <f ca="1">Таблица3[[#This Row],[Текущая дата]]-Продажи[[#This Row],[Дата регистрации клиента]]</f>
        <v>1318</v>
      </c>
      <c r="J374">
        <f ca="1">ROUND((Таблица3[[#This Row],[Текущая дата]] - Продажи[[#This Row],[Дата регистрации клиента]]) / 30, 0)</f>
        <v>44</v>
      </c>
      <c r="K374" t="e">
        <f>LEFT(C374,#REF!- 1)</f>
        <v>#REF!</v>
      </c>
    </row>
    <row r="375" spans="1:11" x14ac:dyDescent="0.3">
      <c r="A375">
        <v>33</v>
      </c>
      <c r="B375" t="s">
        <v>270</v>
      </c>
      <c r="C375" t="s">
        <v>269</v>
      </c>
      <c r="D375" t="s">
        <v>139</v>
      </c>
      <c r="E375" s="32">
        <v>44730</v>
      </c>
      <c r="F375" t="s">
        <v>135</v>
      </c>
      <c r="G375" t="str">
        <f>INDEX('коды стран'!$A$2:$A$6, MATCH(F375, 'коды стран'!$B$2:$B$6, 0))</f>
        <v>Россия</v>
      </c>
      <c r="H375" s="32">
        <f t="shared" ca="1" si="5"/>
        <v>46076</v>
      </c>
      <c r="I375">
        <f ca="1">Таблица3[[#This Row],[Текущая дата]]-Продажи[[#This Row],[Дата регистрации клиента]]</f>
        <v>1405</v>
      </c>
      <c r="J375">
        <f ca="1">ROUND((Таблица3[[#This Row],[Текущая дата]] - Продажи[[#This Row],[Дата регистрации клиента]]) / 30, 0)</f>
        <v>47</v>
      </c>
      <c r="K375" t="e">
        <f>LEFT(C375,#REF!- 1)</f>
        <v>#REF!</v>
      </c>
    </row>
    <row r="376" spans="1:11" x14ac:dyDescent="0.3">
      <c r="A376">
        <v>470</v>
      </c>
      <c r="B376" t="s">
        <v>254</v>
      </c>
      <c r="C376" t="s">
        <v>253</v>
      </c>
      <c r="D376" t="s">
        <v>142</v>
      </c>
      <c r="E376" s="32">
        <v>44690</v>
      </c>
      <c r="F376" t="s">
        <v>129</v>
      </c>
      <c r="G376" t="str">
        <f>INDEX('коды стран'!$A$2:$A$6, MATCH(F376, 'коды стран'!$B$2:$B$6, 0))</f>
        <v>Таджикистан</v>
      </c>
      <c r="H376" s="32">
        <f t="shared" ca="1" si="5"/>
        <v>46076</v>
      </c>
      <c r="I376">
        <f ca="1">Таблица3[[#This Row],[Текущая дата]]-Продажи[[#This Row],[Дата регистрации клиента]]</f>
        <v>1498</v>
      </c>
      <c r="J376">
        <f ca="1">ROUND((Таблица3[[#This Row],[Текущая дата]] - Продажи[[#This Row],[Дата регистрации клиента]]) / 30, 0)</f>
        <v>50</v>
      </c>
      <c r="K376" t="e">
        <f>LEFT(C376,#REF!- 1)</f>
        <v>#REF!</v>
      </c>
    </row>
    <row r="377" spans="1:11" x14ac:dyDescent="0.3">
      <c r="A377">
        <v>445</v>
      </c>
      <c r="B377" t="s">
        <v>206</v>
      </c>
      <c r="C377" t="s">
        <v>205</v>
      </c>
      <c r="D377" t="s">
        <v>139</v>
      </c>
      <c r="E377" s="32">
        <v>44676</v>
      </c>
      <c r="F377" t="s">
        <v>135</v>
      </c>
      <c r="G377" t="str">
        <f>INDEX('коды стран'!$A$2:$A$6, MATCH(F377, 'коды стран'!$B$2:$B$6, 0))</f>
        <v>Россия</v>
      </c>
      <c r="H377" s="32">
        <f t="shared" ca="1" si="5"/>
        <v>46076</v>
      </c>
      <c r="I377">
        <f ca="1">Таблица3[[#This Row],[Текущая дата]]-Продажи[[#This Row],[Дата регистрации клиента]]</f>
        <v>1346</v>
      </c>
      <c r="J377">
        <f ca="1">ROUND((Таблица3[[#This Row],[Текущая дата]] - Продажи[[#This Row],[Дата регистрации клиента]]) / 30, 0)</f>
        <v>45</v>
      </c>
      <c r="K377" t="e">
        <f>LEFT(C377,#REF!- 1)</f>
        <v>#REF!</v>
      </c>
    </row>
    <row r="378" spans="1:11" x14ac:dyDescent="0.3">
      <c r="A378">
        <v>299</v>
      </c>
      <c r="B378" t="s">
        <v>198</v>
      </c>
      <c r="C378" t="s">
        <v>197</v>
      </c>
      <c r="D378" t="s">
        <v>139</v>
      </c>
      <c r="E378" s="32">
        <v>44666</v>
      </c>
      <c r="F378" t="s">
        <v>127</v>
      </c>
      <c r="G378" t="str">
        <f>INDEX('коды стран'!$A$2:$A$6, MATCH(F378, 'коды стран'!$B$2:$B$6, 0))</f>
        <v>Украина</v>
      </c>
      <c r="H378" s="32">
        <f t="shared" ca="1" si="5"/>
        <v>46076</v>
      </c>
      <c r="I378">
        <f ca="1">Таблица3[[#This Row],[Текущая дата]]-Продажи[[#This Row],[Дата регистрации клиента]]</f>
        <v>1333</v>
      </c>
      <c r="J378">
        <f ca="1">ROUND((Таблица3[[#This Row],[Текущая дата]] - Продажи[[#This Row],[Дата регистрации клиента]]) / 30, 0)</f>
        <v>44</v>
      </c>
      <c r="K378" t="e">
        <f>LEFT(C378,#REF!- 1)</f>
        <v>#REF!</v>
      </c>
    </row>
    <row r="379" spans="1:11" x14ac:dyDescent="0.3">
      <c r="A379">
        <v>492</v>
      </c>
      <c r="B379" t="s">
        <v>176</v>
      </c>
      <c r="C379" t="s">
        <v>175</v>
      </c>
      <c r="D379" t="s">
        <v>142</v>
      </c>
      <c r="E379" s="32">
        <v>44688</v>
      </c>
      <c r="F379" t="s">
        <v>127</v>
      </c>
      <c r="G379" t="str">
        <f>INDEX('коды стран'!$A$2:$A$6, MATCH(F379, 'коды стран'!$B$2:$B$6, 0))</f>
        <v>Украина</v>
      </c>
      <c r="H379" s="32">
        <f t="shared" ca="1" si="5"/>
        <v>46076</v>
      </c>
      <c r="I379">
        <f ca="1">Таблица3[[#This Row],[Текущая дата]]-Продажи[[#This Row],[Дата регистрации клиента]]</f>
        <v>1446</v>
      </c>
      <c r="J379">
        <f ca="1">ROUND((Таблица3[[#This Row],[Текущая дата]] - Продажи[[#This Row],[Дата регистрации клиента]]) / 30, 0)</f>
        <v>48</v>
      </c>
      <c r="K379" t="e">
        <f>LEFT(C379,#REF!- 1)</f>
        <v>#REF!</v>
      </c>
    </row>
    <row r="380" spans="1:11" x14ac:dyDescent="0.3">
      <c r="A380">
        <v>155</v>
      </c>
      <c r="B380" t="s">
        <v>174</v>
      </c>
      <c r="C380" t="s">
        <v>173</v>
      </c>
      <c r="D380" t="s">
        <v>139</v>
      </c>
      <c r="E380" s="32">
        <v>44564</v>
      </c>
      <c r="F380" t="s">
        <v>127</v>
      </c>
      <c r="G380" t="str">
        <f>INDEX('коды стран'!$A$2:$A$6, MATCH(F380, 'коды стран'!$B$2:$B$6, 0))</f>
        <v>Украина</v>
      </c>
      <c r="H380" s="32">
        <f t="shared" ca="1" si="5"/>
        <v>46076</v>
      </c>
      <c r="I380">
        <f ca="1">Таблица3[[#This Row],[Текущая дата]]-Продажи[[#This Row],[Дата регистрации клиента]]</f>
        <v>1201</v>
      </c>
      <c r="J380">
        <f ca="1">ROUND((Таблица3[[#This Row],[Текущая дата]] - Продажи[[#This Row],[Дата регистрации клиента]]) / 30, 0)</f>
        <v>40</v>
      </c>
      <c r="K380" t="e">
        <f>LEFT(C380,#REF!- 1)</f>
        <v>#REF!</v>
      </c>
    </row>
    <row r="381" spans="1:11" x14ac:dyDescent="0.3">
      <c r="A381">
        <v>433</v>
      </c>
      <c r="B381" t="s">
        <v>162</v>
      </c>
      <c r="C381" t="s">
        <v>161</v>
      </c>
      <c r="D381" t="s">
        <v>142</v>
      </c>
      <c r="E381" s="32">
        <v>44832</v>
      </c>
      <c r="F381" t="s">
        <v>129</v>
      </c>
      <c r="G381" t="str">
        <f>INDEX('коды стран'!$A$2:$A$6, MATCH(F381, 'коды стран'!$B$2:$B$6, 0))</f>
        <v>Таджикистан</v>
      </c>
      <c r="H381" s="32">
        <f t="shared" ca="1" si="5"/>
        <v>46076</v>
      </c>
      <c r="I381">
        <f ca="1">Таблица3[[#This Row],[Текущая дата]]-Продажи[[#This Row],[Дата регистрации клиента]]</f>
        <v>1208</v>
      </c>
      <c r="J381">
        <f ca="1">ROUND((Таблица3[[#This Row],[Текущая дата]] - Продажи[[#This Row],[Дата регистрации клиента]]) / 30, 0)</f>
        <v>40</v>
      </c>
      <c r="K381" t="e">
        <f>LEFT(C381,#REF!- 1)</f>
        <v>#REF!</v>
      </c>
    </row>
    <row r="382" spans="1:11" x14ac:dyDescent="0.3">
      <c r="A382">
        <v>471</v>
      </c>
      <c r="B382" t="s">
        <v>1000</v>
      </c>
      <c r="C382" t="s">
        <v>999</v>
      </c>
      <c r="D382" t="s">
        <v>142</v>
      </c>
      <c r="E382" s="32">
        <v>44577</v>
      </c>
      <c r="F382" t="s">
        <v>127</v>
      </c>
      <c r="G382" t="str">
        <f>INDEX('коды стран'!$A$2:$A$6, MATCH(F382, 'коды стран'!$B$2:$B$6, 0))</f>
        <v>Украина</v>
      </c>
      <c r="H382" s="32">
        <f t="shared" ca="1" si="5"/>
        <v>46076</v>
      </c>
      <c r="I382">
        <f ca="1">Таблица3[[#This Row],[Текущая дата]]-Продажи[[#This Row],[Дата регистрации клиента]]</f>
        <v>1174</v>
      </c>
      <c r="J382">
        <f ca="1">ROUND((Таблица3[[#This Row],[Текущая дата]] - Продажи[[#This Row],[Дата регистрации клиента]]) / 30, 0)</f>
        <v>39</v>
      </c>
      <c r="K382" t="e">
        <f>LEFT(C382,#REF!- 1)</f>
        <v>#REF!</v>
      </c>
    </row>
    <row r="383" spans="1:11" x14ac:dyDescent="0.3">
      <c r="A383">
        <v>374</v>
      </c>
      <c r="B383" t="s">
        <v>998</v>
      </c>
      <c r="C383" t="s">
        <v>997</v>
      </c>
      <c r="D383" t="s">
        <v>139</v>
      </c>
      <c r="E383" s="32">
        <v>44582</v>
      </c>
      <c r="F383" t="s">
        <v>127</v>
      </c>
      <c r="G383" t="str">
        <f>INDEX('коды стран'!$A$2:$A$6, MATCH(F383, 'коды стран'!$B$2:$B$6, 0))</f>
        <v>Украина</v>
      </c>
      <c r="H383" s="32">
        <f t="shared" ca="1" si="5"/>
        <v>46076</v>
      </c>
      <c r="I383">
        <f ca="1">Таблица3[[#This Row],[Текущая дата]]-Продажи[[#This Row],[Дата регистрации клиента]]</f>
        <v>1190</v>
      </c>
      <c r="J383">
        <f ca="1">ROUND((Таблица3[[#This Row],[Текущая дата]] - Продажи[[#This Row],[Дата регистрации клиента]]) / 30, 0)</f>
        <v>40</v>
      </c>
      <c r="K383" t="e">
        <f>LEFT(C383,#REF!- 1)</f>
        <v>#REF!</v>
      </c>
    </row>
    <row r="384" spans="1:11" x14ac:dyDescent="0.3">
      <c r="A384">
        <v>451</v>
      </c>
      <c r="B384" t="s">
        <v>952</v>
      </c>
      <c r="C384" t="s">
        <v>951</v>
      </c>
      <c r="D384" t="s">
        <v>142</v>
      </c>
      <c r="E384" s="32">
        <v>44584</v>
      </c>
      <c r="F384" t="s">
        <v>135</v>
      </c>
      <c r="G384" t="str">
        <f>INDEX('коды стран'!$A$2:$A$6, MATCH(F384, 'коды стран'!$B$2:$B$6, 0))</f>
        <v>Россия</v>
      </c>
      <c r="H384" s="32">
        <f t="shared" ca="1" si="5"/>
        <v>46076</v>
      </c>
      <c r="I384">
        <f ca="1">Таблица3[[#This Row],[Текущая дата]]-Продажи[[#This Row],[Дата регистрации клиента]]</f>
        <v>1154</v>
      </c>
      <c r="J384">
        <f ca="1">ROUND((Таблица3[[#This Row],[Текущая дата]] - Продажи[[#This Row],[Дата регистрации клиента]]) / 30, 0)</f>
        <v>38</v>
      </c>
      <c r="K384" t="e">
        <f>LEFT(C384,#REF!- 1)</f>
        <v>#REF!</v>
      </c>
    </row>
    <row r="385" spans="1:11" x14ac:dyDescent="0.3">
      <c r="A385">
        <v>487</v>
      </c>
      <c r="B385" t="s">
        <v>858</v>
      </c>
      <c r="C385" t="s">
        <v>857</v>
      </c>
      <c r="D385" t="s">
        <v>142</v>
      </c>
      <c r="E385" s="32">
        <v>44815</v>
      </c>
      <c r="F385" t="s">
        <v>135</v>
      </c>
      <c r="G385" t="str">
        <f>INDEX('коды стран'!$A$2:$A$6, MATCH(F385, 'коды стран'!$B$2:$B$6, 0))</f>
        <v>Россия</v>
      </c>
      <c r="H385" s="32">
        <f t="shared" ca="1" si="5"/>
        <v>46076</v>
      </c>
      <c r="I385">
        <f ca="1">Таблица3[[#This Row],[Текущая дата]]-Продажи[[#This Row],[Дата регистрации клиента]]</f>
        <v>1249</v>
      </c>
      <c r="J385">
        <f ca="1">ROUND((Таблица3[[#This Row],[Текущая дата]] - Продажи[[#This Row],[Дата регистрации клиента]]) / 30, 0)</f>
        <v>42</v>
      </c>
      <c r="K385" t="e">
        <f>LEFT(C385,#REF!- 1)</f>
        <v>#REF!</v>
      </c>
    </row>
    <row r="386" spans="1:11" x14ac:dyDescent="0.3">
      <c r="A386">
        <v>474</v>
      </c>
      <c r="B386" t="s">
        <v>824</v>
      </c>
      <c r="C386" t="s">
        <v>823</v>
      </c>
      <c r="D386" t="s">
        <v>139</v>
      </c>
      <c r="E386" s="32">
        <v>44605</v>
      </c>
      <c r="F386" t="s">
        <v>135</v>
      </c>
      <c r="G386" t="str">
        <f>INDEX('коды стран'!$A$2:$A$6, MATCH(F386, 'коды стран'!$B$2:$B$6, 0))</f>
        <v>Россия</v>
      </c>
      <c r="H386" s="32">
        <f t="shared" ref="H386:H435" ca="1" si="6">TODAY()</f>
        <v>46076</v>
      </c>
      <c r="I386">
        <f ca="1">Таблица3[[#This Row],[Текущая дата]]-Продажи[[#This Row],[Дата регистрации клиента]]</f>
        <v>1409</v>
      </c>
      <c r="J386">
        <f ca="1">ROUND((Таблица3[[#This Row],[Текущая дата]] - Продажи[[#This Row],[Дата регистрации клиента]]) / 30, 0)</f>
        <v>47</v>
      </c>
      <c r="K386" t="e">
        <f>LEFT(C386,#REF!- 1)</f>
        <v>#REF!</v>
      </c>
    </row>
    <row r="387" spans="1:11" x14ac:dyDescent="0.3">
      <c r="A387">
        <v>211</v>
      </c>
      <c r="B387" t="s">
        <v>810</v>
      </c>
      <c r="C387" t="s">
        <v>809</v>
      </c>
      <c r="D387" t="s">
        <v>139</v>
      </c>
      <c r="E387" s="32">
        <v>44621</v>
      </c>
      <c r="F387" t="s">
        <v>127</v>
      </c>
      <c r="G387" t="str">
        <f>INDEX('коды стран'!$A$2:$A$6, MATCH(F387, 'коды стран'!$B$2:$B$6, 0))</f>
        <v>Украина</v>
      </c>
      <c r="H387" s="32">
        <f t="shared" ca="1" si="6"/>
        <v>46076</v>
      </c>
      <c r="I387">
        <f ca="1">Таблица3[[#This Row],[Текущая дата]]-Продажи[[#This Row],[Дата регистрации клиента]]</f>
        <v>1194</v>
      </c>
      <c r="J387">
        <f ca="1">ROUND((Таблица3[[#This Row],[Текущая дата]] - Продажи[[#This Row],[Дата регистрации клиента]]) / 30, 0)</f>
        <v>40</v>
      </c>
      <c r="K387" t="e">
        <f>LEFT(C387,#REF!- 1)</f>
        <v>#REF!</v>
      </c>
    </row>
    <row r="388" spans="1:11" x14ac:dyDescent="0.3">
      <c r="A388">
        <v>269</v>
      </c>
      <c r="B388" t="s">
        <v>792</v>
      </c>
      <c r="C388" t="s">
        <v>791</v>
      </c>
      <c r="D388" t="s">
        <v>139</v>
      </c>
      <c r="E388" s="32">
        <v>44720</v>
      </c>
      <c r="F388" t="s">
        <v>135</v>
      </c>
      <c r="G388" t="str">
        <f>INDEX('коды стран'!$A$2:$A$6, MATCH(F388, 'коды стран'!$B$2:$B$6, 0))</f>
        <v>Россия</v>
      </c>
      <c r="H388" s="32">
        <f t="shared" ca="1" si="6"/>
        <v>46076</v>
      </c>
      <c r="I388">
        <f ca="1">Таблица3[[#This Row],[Текущая дата]]-Продажи[[#This Row],[Дата регистрации клиента]]</f>
        <v>1382</v>
      </c>
      <c r="J388">
        <f ca="1">ROUND((Таблица3[[#This Row],[Текущая дата]] - Продажи[[#This Row],[Дата регистрации клиента]]) / 30, 0)</f>
        <v>46</v>
      </c>
      <c r="K388" t="e">
        <f>LEFT(C388,#REF!- 1)</f>
        <v>#REF!</v>
      </c>
    </row>
    <row r="389" spans="1:11" x14ac:dyDescent="0.3">
      <c r="A389">
        <v>380</v>
      </c>
      <c r="B389" t="s">
        <v>784</v>
      </c>
      <c r="C389" t="s">
        <v>783</v>
      </c>
      <c r="D389" t="s">
        <v>142</v>
      </c>
      <c r="E389" s="32">
        <v>44563</v>
      </c>
      <c r="F389" t="s">
        <v>135</v>
      </c>
      <c r="G389" t="str">
        <f>INDEX('коды стран'!$A$2:$A$6, MATCH(F389, 'коды стран'!$B$2:$B$6, 0))</f>
        <v>Россия</v>
      </c>
      <c r="H389" s="32">
        <f t="shared" ca="1" si="6"/>
        <v>46076</v>
      </c>
      <c r="I389">
        <f ca="1">Таблица3[[#This Row],[Текущая дата]]-Продажи[[#This Row],[Дата регистрации клиента]]</f>
        <v>1219</v>
      </c>
      <c r="J389">
        <f ca="1">ROUND((Таблица3[[#This Row],[Текущая дата]] - Продажи[[#This Row],[Дата регистрации клиента]]) / 30, 0)</f>
        <v>41</v>
      </c>
      <c r="K389" t="e">
        <f>LEFT(C389,#REF!- 1)</f>
        <v>#REF!</v>
      </c>
    </row>
    <row r="390" spans="1:11" x14ac:dyDescent="0.3">
      <c r="A390">
        <v>419</v>
      </c>
      <c r="B390" t="s">
        <v>750</v>
      </c>
      <c r="C390" t="s">
        <v>749</v>
      </c>
      <c r="D390" t="s">
        <v>142</v>
      </c>
      <c r="E390" s="32">
        <v>44869</v>
      </c>
      <c r="F390" t="s">
        <v>129</v>
      </c>
      <c r="G390" t="str">
        <f>INDEX('коды стран'!$A$2:$A$6, MATCH(F390, 'коды стран'!$B$2:$B$6, 0))</f>
        <v>Таджикистан</v>
      </c>
      <c r="H390" s="32">
        <f t="shared" ca="1" si="6"/>
        <v>46076</v>
      </c>
      <c r="I390">
        <f ca="1">Таблица3[[#This Row],[Текущая дата]]-Продажи[[#This Row],[Дата регистрации клиента]]</f>
        <v>1422</v>
      </c>
      <c r="J390">
        <f ca="1">ROUND((Таблица3[[#This Row],[Текущая дата]] - Продажи[[#This Row],[Дата регистрации клиента]]) / 30, 0)</f>
        <v>47</v>
      </c>
      <c r="K390" t="e">
        <f>LEFT(C390,#REF!- 1)</f>
        <v>#REF!</v>
      </c>
    </row>
    <row r="391" spans="1:11" x14ac:dyDescent="0.3">
      <c r="A391">
        <v>258</v>
      </c>
      <c r="B391" t="s">
        <v>742</v>
      </c>
      <c r="C391" t="s">
        <v>741</v>
      </c>
      <c r="D391" t="s">
        <v>142</v>
      </c>
      <c r="E391" s="32">
        <v>44717</v>
      </c>
      <c r="F391" t="s">
        <v>127</v>
      </c>
      <c r="G391" t="str">
        <f>INDEX('коды стран'!$A$2:$A$6, MATCH(F391, 'коды стран'!$B$2:$B$6, 0))</f>
        <v>Украина</v>
      </c>
      <c r="H391" s="32">
        <f t="shared" ca="1" si="6"/>
        <v>46076</v>
      </c>
      <c r="I391">
        <f ca="1">Таблица3[[#This Row],[Текущая дата]]-Продажи[[#This Row],[Дата регистрации клиента]]</f>
        <v>1156</v>
      </c>
      <c r="J391">
        <f ca="1">ROUND((Таблица3[[#This Row],[Текущая дата]] - Продажи[[#This Row],[Дата регистрации клиента]]) / 30, 0)</f>
        <v>39</v>
      </c>
      <c r="K391" t="e">
        <f>LEFT(C391,#REF!- 1)</f>
        <v>#REF!</v>
      </c>
    </row>
    <row r="392" spans="1:11" x14ac:dyDescent="0.3">
      <c r="A392">
        <v>349</v>
      </c>
      <c r="B392" t="s">
        <v>740</v>
      </c>
      <c r="C392" t="s">
        <v>739</v>
      </c>
      <c r="D392" t="s">
        <v>139</v>
      </c>
      <c r="E392" s="32">
        <v>44673</v>
      </c>
      <c r="F392" t="s">
        <v>135</v>
      </c>
      <c r="G392" t="str">
        <f>INDEX('коды стран'!$A$2:$A$6, MATCH(F392, 'коды стран'!$B$2:$B$6, 0))</f>
        <v>Россия</v>
      </c>
      <c r="H392" s="32">
        <f t="shared" ca="1" si="6"/>
        <v>46076</v>
      </c>
      <c r="I392">
        <f ca="1">Таблица3[[#This Row],[Текущая дата]]-Продажи[[#This Row],[Дата регистрации клиента]]</f>
        <v>1271</v>
      </c>
      <c r="J392">
        <f ca="1">ROUND((Таблица3[[#This Row],[Текущая дата]] - Продажи[[#This Row],[Дата регистрации клиента]]) / 30, 0)</f>
        <v>42</v>
      </c>
      <c r="K392" t="e">
        <f>LEFT(C392,#REF!- 1)</f>
        <v>#REF!</v>
      </c>
    </row>
    <row r="393" spans="1:11" x14ac:dyDescent="0.3">
      <c r="A393">
        <v>181</v>
      </c>
      <c r="B393" t="s">
        <v>644</v>
      </c>
      <c r="C393" t="s">
        <v>643</v>
      </c>
      <c r="D393" t="s">
        <v>142</v>
      </c>
      <c r="E393" s="32">
        <v>44568</v>
      </c>
      <c r="F393" t="s">
        <v>127</v>
      </c>
      <c r="G393" t="str">
        <f>INDEX('коды стран'!$A$2:$A$6, MATCH(F393, 'коды стран'!$B$2:$B$6, 0))</f>
        <v>Украина</v>
      </c>
      <c r="H393" s="32">
        <f t="shared" ca="1" si="6"/>
        <v>46076</v>
      </c>
      <c r="I393">
        <f ca="1">Таблица3[[#This Row],[Текущая дата]]-Продажи[[#This Row],[Дата регистрации клиента]]</f>
        <v>1508</v>
      </c>
      <c r="J393">
        <f ca="1">ROUND((Таблица3[[#This Row],[Текущая дата]] - Продажи[[#This Row],[Дата регистрации клиента]]) / 30, 0)</f>
        <v>50</v>
      </c>
      <c r="K393" t="e">
        <f>LEFT(C393,#REF!- 1)</f>
        <v>#REF!</v>
      </c>
    </row>
    <row r="394" spans="1:11" x14ac:dyDescent="0.3">
      <c r="A394">
        <v>249</v>
      </c>
      <c r="B394" t="s">
        <v>628</v>
      </c>
      <c r="C394" t="s">
        <v>627</v>
      </c>
      <c r="D394" t="s">
        <v>142</v>
      </c>
      <c r="E394" s="32">
        <v>44781</v>
      </c>
      <c r="F394" t="s">
        <v>135</v>
      </c>
      <c r="G394" t="str">
        <f>INDEX('коды стран'!$A$2:$A$6, MATCH(F394, 'коды стран'!$B$2:$B$6, 0))</f>
        <v>Россия</v>
      </c>
      <c r="H394" s="32">
        <f t="shared" ca="1" si="6"/>
        <v>46076</v>
      </c>
      <c r="I394">
        <f ca="1">Таблица3[[#This Row],[Текущая дата]]-Продажи[[#This Row],[Дата регистрации клиента]]</f>
        <v>1158</v>
      </c>
      <c r="J394">
        <f ca="1">ROUND((Таблица3[[#This Row],[Текущая дата]] - Продажи[[#This Row],[Дата регистрации клиента]]) / 30, 0)</f>
        <v>39</v>
      </c>
      <c r="K394" t="e">
        <f>LEFT(C394,#REF!- 1)</f>
        <v>#REF!</v>
      </c>
    </row>
    <row r="395" spans="1:11" x14ac:dyDescent="0.3">
      <c r="A395">
        <v>453</v>
      </c>
      <c r="B395" t="s">
        <v>572</v>
      </c>
      <c r="C395" t="s">
        <v>571</v>
      </c>
      <c r="D395" t="s">
        <v>142</v>
      </c>
      <c r="E395" s="32">
        <v>44635</v>
      </c>
      <c r="F395" t="s">
        <v>135</v>
      </c>
      <c r="G395" t="str">
        <f>INDEX('коды стран'!$A$2:$A$6, MATCH(F395, 'коды стран'!$B$2:$B$6, 0))</f>
        <v>Россия</v>
      </c>
      <c r="H395" s="32">
        <f t="shared" ca="1" si="6"/>
        <v>46076</v>
      </c>
      <c r="I395">
        <f ca="1">Таблица3[[#This Row],[Текущая дата]]-Продажи[[#This Row],[Дата регистрации клиента]]</f>
        <v>1163</v>
      </c>
      <c r="J395">
        <f ca="1">ROUND((Таблица3[[#This Row],[Текущая дата]] - Продажи[[#This Row],[Дата регистрации клиента]]) / 30, 0)</f>
        <v>39</v>
      </c>
      <c r="K395" t="e">
        <f>LEFT(C395,#REF!- 1)</f>
        <v>#REF!</v>
      </c>
    </row>
    <row r="396" spans="1:11" x14ac:dyDescent="0.3">
      <c r="A396">
        <v>307</v>
      </c>
      <c r="B396" t="s">
        <v>520</v>
      </c>
      <c r="C396" t="s">
        <v>519</v>
      </c>
      <c r="D396" t="s">
        <v>142</v>
      </c>
      <c r="E396" s="32">
        <v>44764</v>
      </c>
      <c r="F396" t="s">
        <v>133</v>
      </c>
      <c r="G396" t="str">
        <f>INDEX('коды стран'!$A$2:$A$6, MATCH(F396, 'коды стран'!$B$2:$B$6, 0))</f>
        <v>Беларусь</v>
      </c>
      <c r="H396" s="32">
        <f t="shared" ca="1" si="6"/>
        <v>46076</v>
      </c>
      <c r="I396">
        <f ca="1">Таблица3[[#This Row],[Текущая дата]]-Продажи[[#This Row],[Дата регистрации клиента]]</f>
        <v>1285</v>
      </c>
      <c r="J396">
        <f ca="1">ROUND((Таблица3[[#This Row],[Текущая дата]] - Продажи[[#This Row],[Дата регистрации клиента]]) / 30, 0)</f>
        <v>43</v>
      </c>
      <c r="K396" t="e">
        <f>LEFT(C396,#REF!- 1)</f>
        <v>#REF!</v>
      </c>
    </row>
    <row r="397" spans="1:11" x14ac:dyDescent="0.3">
      <c r="A397">
        <v>72</v>
      </c>
      <c r="B397" t="s">
        <v>496</v>
      </c>
      <c r="C397" t="s">
        <v>495</v>
      </c>
      <c r="D397" t="s">
        <v>142</v>
      </c>
      <c r="E397" s="32">
        <v>44906</v>
      </c>
      <c r="F397" t="s">
        <v>129</v>
      </c>
      <c r="G397" t="str">
        <f>INDEX('коды стран'!$A$2:$A$6, MATCH(F397, 'коды стран'!$B$2:$B$6, 0))</f>
        <v>Таджикистан</v>
      </c>
      <c r="H397" s="32">
        <f t="shared" ca="1" si="6"/>
        <v>46076</v>
      </c>
      <c r="I397">
        <f ca="1">Таблица3[[#This Row],[Текущая дата]]-Продажи[[#This Row],[Дата регистрации клиента]]</f>
        <v>1255</v>
      </c>
      <c r="J397">
        <f ca="1">ROUND((Таблица3[[#This Row],[Текущая дата]] - Продажи[[#This Row],[Дата регистрации клиента]]) / 30, 0)</f>
        <v>42</v>
      </c>
      <c r="K397" t="e">
        <f>LEFT(C397,#REF!- 1)</f>
        <v>#REF!</v>
      </c>
    </row>
    <row r="398" spans="1:11" x14ac:dyDescent="0.3">
      <c r="A398">
        <v>278</v>
      </c>
      <c r="B398" t="s">
        <v>478</v>
      </c>
      <c r="C398" t="s">
        <v>477</v>
      </c>
      <c r="D398" t="s">
        <v>139</v>
      </c>
      <c r="E398" s="32">
        <v>44920</v>
      </c>
      <c r="F398" t="s">
        <v>131</v>
      </c>
      <c r="G398" t="str">
        <f>INDEX('коды стран'!$A$2:$A$6, MATCH(F398, 'коды стран'!$B$2:$B$6, 0))</f>
        <v>Узбекистан</v>
      </c>
      <c r="H398" s="32">
        <f t="shared" ca="1" si="6"/>
        <v>46076</v>
      </c>
      <c r="I398">
        <f ca="1">Таблица3[[#This Row],[Текущая дата]]-Продажи[[#This Row],[Дата регистрации клиента]]</f>
        <v>1393</v>
      </c>
      <c r="J398">
        <f ca="1">ROUND((Таблица3[[#This Row],[Текущая дата]] - Продажи[[#This Row],[Дата регистрации клиента]]) / 30, 0)</f>
        <v>46</v>
      </c>
      <c r="K398" t="e">
        <f>LEFT(C398,#REF!- 1)</f>
        <v>#REF!</v>
      </c>
    </row>
    <row r="399" spans="1:11" x14ac:dyDescent="0.3">
      <c r="A399">
        <v>205</v>
      </c>
      <c r="B399" t="s">
        <v>474</v>
      </c>
      <c r="C399" t="s">
        <v>473</v>
      </c>
      <c r="D399" t="s">
        <v>142</v>
      </c>
      <c r="E399" s="32">
        <v>44918</v>
      </c>
      <c r="F399" t="s">
        <v>135</v>
      </c>
      <c r="G399" t="str">
        <f>INDEX('коды стран'!$A$2:$A$6, MATCH(F399, 'коды стран'!$B$2:$B$6, 0))</f>
        <v>Россия</v>
      </c>
      <c r="H399" s="32">
        <f t="shared" ca="1" si="6"/>
        <v>46076</v>
      </c>
      <c r="I399">
        <f ca="1">Таблица3[[#This Row],[Текущая дата]]-Продажи[[#This Row],[Дата регистрации клиента]]</f>
        <v>1177</v>
      </c>
      <c r="J399">
        <f ca="1">ROUND((Таблица3[[#This Row],[Текущая дата]] - Продажи[[#This Row],[Дата регистрации клиента]]) / 30, 0)</f>
        <v>39</v>
      </c>
      <c r="K399" t="e">
        <f>LEFT(C399,#REF!- 1)</f>
        <v>#REF!</v>
      </c>
    </row>
    <row r="400" spans="1:11" x14ac:dyDescent="0.3">
      <c r="A400">
        <v>219</v>
      </c>
      <c r="B400" t="s">
        <v>452</v>
      </c>
      <c r="C400" t="s">
        <v>451</v>
      </c>
      <c r="D400" t="s">
        <v>142</v>
      </c>
      <c r="E400" s="32">
        <v>44585</v>
      </c>
      <c r="F400" t="s">
        <v>129</v>
      </c>
      <c r="G400" t="str">
        <f>INDEX('коды стран'!$A$2:$A$6, MATCH(F400, 'коды стран'!$B$2:$B$6, 0))</f>
        <v>Таджикистан</v>
      </c>
      <c r="H400" s="32">
        <f t="shared" ca="1" si="6"/>
        <v>46076</v>
      </c>
      <c r="I400">
        <f ca="1">Таблица3[[#This Row],[Текущая дата]]-Продажи[[#This Row],[Дата регистрации клиента]]</f>
        <v>1373</v>
      </c>
      <c r="J400">
        <f ca="1">ROUND((Таблица3[[#This Row],[Текущая дата]] - Продажи[[#This Row],[Дата регистрации клиента]]) / 30, 0)</f>
        <v>46</v>
      </c>
      <c r="K400" t="e">
        <f>LEFT(C400,#REF!- 1)</f>
        <v>#REF!</v>
      </c>
    </row>
    <row r="401" spans="1:11" x14ac:dyDescent="0.3">
      <c r="A401">
        <v>43</v>
      </c>
      <c r="B401" t="s">
        <v>408</v>
      </c>
      <c r="C401" t="s">
        <v>407</v>
      </c>
      <c r="D401" t="s">
        <v>142</v>
      </c>
      <c r="E401" s="32">
        <v>44912</v>
      </c>
      <c r="F401" t="s">
        <v>135</v>
      </c>
      <c r="G401" t="str">
        <f>INDEX('коды стран'!$A$2:$A$6, MATCH(F401, 'коды стран'!$B$2:$B$6, 0))</f>
        <v>Россия</v>
      </c>
      <c r="H401" s="32">
        <f t="shared" ca="1" si="6"/>
        <v>46076</v>
      </c>
      <c r="I401">
        <f ca="1">Таблица3[[#This Row],[Текущая дата]]-Продажи[[#This Row],[Дата регистрации клиента]]</f>
        <v>1402</v>
      </c>
      <c r="J401">
        <f ca="1">ROUND((Таблица3[[#This Row],[Текущая дата]] - Продажи[[#This Row],[Дата регистрации клиента]]) / 30, 0)</f>
        <v>47</v>
      </c>
      <c r="K401" t="e">
        <f>LEFT(C401,#REF!- 1)</f>
        <v>#REF!</v>
      </c>
    </row>
    <row r="402" spans="1:11" x14ac:dyDescent="0.3">
      <c r="A402">
        <v>428</v>
      </c>
      <c r="B402" t="s">
        <v>390</v>
      </c>
      <c r="C402" t="s">
        <v>389</v>
      </c>
      <c r="D402" t="s">
        <v>139</v>
      </c>
      <c r="E402" s="32">
        <v>44848</v>
      </c>
      <c r="F402" t="s">
        <v>133</v>
      </c>
      <c r="G402" t="str">
        <f>INDEX('коды стран'!$A$2:$A$6, MATCH(F402, 'коды стран'!$B$2:$B$6, 0))</f>
        <v>Беларусь</v>
      </c>
      <c r="H402" s="32">
        <f t="shared" ca="1" si="6"/>
        <v>46076</v>
      </c>
      <c r="I402">
        <f ca="1">Таблица3[[#This Row],[Текущая дата]]-Продажи[[#This Row],[Дата регистрации клиента]]</f>
        <v>1346</v>
      </c>
      <c r="J402">
        <f ca="1">ROUND((Таблица3[[#This Row],[Текущая дата]] - Продажи[[#This Row],[Дата регистрации клиента]]) / 30, 0)</f>
        <v>45</v>
      </c>
      <c r="K402" t="e">
        <f>LEFT(C402,#REF!- 1)</f>
        <v>#REF!</v>
      </c>
    </row>
    <row r="403" spans="1:11" x14ac:dyDescent="0.3">
      <c r="A403">
        <v>320</v>
      </c>
      <c r="B403" t="s">
        <v>306</v>
      </c>
      <c r="C403" t="s">
        <v>305</v>
      </c>
      <c r="D403" t="s">
        <v>139</v>
      </c>
      <c r="E403" s="32">
        <v>44869</v>
      </c>
      <c r="F403" t="s">
        <v>133</v>
      </c>
      <c r="G403" t="str">
        <f>INDEX('коды стран'!$A$2:$A$6, MATCH(F403, 'коды стран'!$B$2:$B$6, 0))</f>
        <v>Беларусь</v>
      </c>
      <c r="H403" s="32">
        <f t="shared" ca="1" si="6"/>
        <v>46076</v>
      </c>
      <c r="I403">
        <f ca="1">Таблица3[[#This Row],[Текущая дата]]-Продажи[[#This Row],[Дата регистрации клиента]]</f>
        <v>1460</v>
      </c>
      <c r="J403">
        <f ca="1">ROUND((Таблица3[[#This Row],[Текущая дата]] - Продажи[[#This Row],[Дата регистрации клиента]]) / 30, 0)</f>
        <v>49</v>
      </c>
      <c r="K403" t="e">
        <f>LEFT(C403,#REF!- 1)</f>
        <v>#REF!</v>
      </c>
    </row>
    <row r="404" spans="1:11" x14ac:dyDescent="0.3">
      <c r="A404">
        <v>201</v>
      </c>
      <c r="B404" t="s">
        <v>296</v>
      </c>
      <c r="C404" t="s">
        <v>295</v>
      </c>
      <c r="D404" t="s">
        <v>142</v>
      </c>
      <c r="E404" s="32">
        <v>44843</v>
      </c>
      <c r="F404" t="s">
        <v>129</v>
      </c>
      <c r="G404" t="str">
        <f>INDEX('коды стран'!$A$2:$A$6, MATCH(F404, 'коды стран'!$B$2:$B$6, 0))</f>
        <v>Таджикистан</v>
      </c>
      <c r="H404" s="32">
        <f t="shared" ca="1" si="6"/>
        <v>46076</v>
      </c>
      <c r="I404">
        <f ca="1">Таблица3[[#This Row],[Текущая дата]]-Продажи[[#This Row],[Дата регистрации клиента]]</f>
        <v>1489</v>
      </c>
      <c r="J404">
        <f ca="1">ROUND((Таблица3[[#This Row],[Текущая дата]] - Продажи[[#This Row],[Дата регистрации клиента]]) / 30, 0)</f>
        <v>50</v>
      </c>
      <c r="K404" t="e">
        <f>LEFT(C404,#REF!- 1)</f>
        <v>#REF!</v>
      </c>
    </row>
    <row r="405" spans="1:11" x14ac:dyDescent="0.3">
      <c r="A405">
        <v>243</v>
      </c>
      <c r="B405" t="s">
        <v>282</v>
      </c>
      <c r="C405" t="s">
        <v>281</v>
      </c>
      <c r="D405" t="s">
        <v>139</v>
      </c>
      <c r="E405" s="32">
        <v>44681</v>
      </c>
      <c r="F405" t="s">
        <v>135</v>
      </c>
      <c r="G405" t="str">
        <f>INDEX('коды стран'!$A$2:$A$6, MATCH(F405, 'коды стран'!$B$2:$B$6, 0))</f>
        <v>Россия</v>
      </c>
      <c r="H405" s="32">
        <f t="shared" ca="1" si="6"/>
        <v>46076</v>
      </c>
      <c r="I405">
        <f ca="1">Таблица3[[#This Row],[Текущая дата]]-Продажи[[#This Row],[Дата регистрации клиента]]</f>
        <v>1214</v>
      </c>
      <c r="J405">
        <f ca="1">ROUND((Таблица3[[#This Row],[Текущая дата]] - Продажи[[#This Row],[Дата регистрации клиента]]) / 30, 0)</f>
        <v>40</v>
      </c>
      <c r="K405" t="e">
        <f>LEFT(C405,#REF!- 1)</f>
        <v>#REF!</v>
      </c>
    </row>
    <row r="406" spans="1:11" x14ac:dyDescent="0.3">
      <c r="A406">
        <v>8</v>
      </c>
      <c r="B406" t="s">
        <v>260</v>
      </c>
      <c r="C406" t="s">
        <v>259</v>
      </c>
      <c r="D406" t="s">
        <v>142</v>
      </c>
      <c r="E406" s="32">
        <v>44883</v>
      </c>
      <c r="F406" t="s">
        <v>133</v>
      </c>
      <c r="G406" t="str">
        <f>INDEX('коды стран'!$A$2:$A$6, MATCH(F406, 'коды стран'!$B$2:$B$6, 0))</f>
        <v>Беларусь</v>
      </c>
      <c r="H406" s="32">
        <f t="shared" ca="1" si="6"/>
        <v>46076</v>
      </c>
      <c r="I406">
        <f ca="1">Таблица3[[#This Row],[Текущая дата]]-Продажи[[#This Row],[Дата регистрации клиента]]</f>
        <v>1491</v>
      </c>
      <c r="J406">
        <f ca="1">ROUND((Таблица3[[#This Row],[Текущая дата]] - Продажи[[#This Row],[Дата регистрации клиента]]) / 30, 0)</f>
        <v>50</v>
      </c>
      <c r="K406" t="e">
        <f>LEFT(C406,#REF!- 1)</f>
        <v>#REF!</v>
      </c>
    </row>
    <row r="407" spans="1:11" x14ac:dyDescent="0.3">
      <c r="A407">
        <v>208</v>
      </c>
      <c r="B407" t="s">
        <v>204</v>
      </c>
      <c r="C407" t="s">
        <v>203</v>
      </c>
      <c r="D407" t="s">
        <v>139</v>
      </c>
      <c r="E407" s="32">
        <v>44736</v>
      </c>
      <c r="F407" t="s">
        <v>127</v>
      </c>
      <c r="G407" t="str">
        <f>INDEX('коды стран'!$A$2:$A$6, MATCH(F407, 'коды стран'!$B$2:$B$6, 0))</f>
        <v>Украина</v>
      </c>
      <c r="H407" s="32">
        <f t="shared" ca="1" si="6"/>
        <v>46076</v>
      </c>
      <c r="I407">
        <f ca="1">Таблица3[[#This Row],[Текущая дата]]-Продажи[[#This Row],[Дата регистрации клиента]]</f>
        <v>1458</v>
      </c>
      <c r="J407">
        <f ca="1">ROUND((Таблица3[[#This Row],[Текущая дата]] - Продажи[[#This Row],[Дата регистрации клиента]]) / 30, 0)</f>
        <v>49</v>
      </c>
      <c r="K407" t="e">
        <f>LEFT(C407,#REF!- 1)</f>
        <v>#REF!</v>
      </c>
    </row>
    <row r="408" spans="1:11" x14ac:dyDescent="0.3">
      <c r="A408">
        <v>486</v>
      </c>
      <c r="B408" t="s">
        <v>200</v>
      </c>
      <c r="C408" t="s">
        <v>199</v>
      </c>
      <c r="D408" t="s">
        <v>142</v>
      </c>
      <c r="E408" s="32">
        <v>44723</v>
      </c>
      <c r="F408" t="s">
        <v>135</v>
      </c>
      <c r="G408" t="str">
        <f>INDEX('коды стран'!$A$2:$A$6, MATCH(F408, 'коды стран'!$B$2:$B$6, 0))</f>
        <v>Россия</v>
      </c>
      <c r="H408" s="32">
        <f t="shared" ca="1" si="6"/>
        <v>46076</v>
      </c>
      <c r="I408">
        <f ca="1">Таблица3[[#This Row],[Текущая дата]]-Продажи[[#This Row],[Дата регистрации клиента]]</f>
        <v>1187</v>
      </c>
      <c r="J408">
        <f ca="1">ROUND((Таблица3[[#This Row],[Текущая дата]] - Продажи[[#This Row],[Дата регистрации клиента]]) / 30, 0)</f>
        <v>40</v>
      </c>
      <c r="K408" t="e">
        <f>LEFT(C408,#REF!- 1)</f>
        <v>#REF!</v>
      </c>
    </row>
    <row r="409" spans="1:11" x14ac:dyDescent="0.3">
      <c r="A409">
        <v>347</v>
      </c>
      <c r="B409" t="s">
        <v>156</v>
      </c>
      <c r="C409" t="s">
        <v>155</v>
      </c>
      <c r="D409" t="s">
        <v>142</v>
      </c>
      <c r="E409" s="32">
        <v>44588</v>
      </c>
      <c r="F409" t="s">
        <v>129</v>
      </c>
      <c r="G409" t="str">
        <f>INDEX('коды стран'!$A$2:$A$6, MATCH(F409, 'коды стран'!$B$2:$B$6, 0))</f>
        <v>Таджикистан</v>
      </c>
      <c r="H409" s="32">
        <f t="shared" ca="1" si="6"/>
        <v>46076</v>
      </c>
      <c r="I409">
        <f ca="1">Таблица3[[#This Row],[Текущая дата]]-Продажи[[#This Row],[Дата регистрации клиента]]</f>
        <v>1153</v>
      </c>
      <c r="J409">
        <f ca="1">ROUND((Таблица3[[#This Row],[Текущая дата]] - Продажи[[#This Row],[Дата регистрации клиента]]) / 30, 0)</f>
        <v>38</v>
      </c>
      <c r="K409" t="e">
        <f>LEFT(C409,#REF!- 1)</f>
        <v>#REF!</v>
      </c>
    </row>
    <row r="410" spans="1:11" x14ac:dyDescent="0.3">
      <c r="A410">
        <v>20</v>
      </c>
      <c r="B410" t="s">
        <v>146</v>
      </c>
      <c r="C410" t="s">
        <v>145</v>
      </c>
      <c r="D410" t="s">
        <v>139</v>
      </c>
      <c r="E410" s="32">
        <v>44691</v>
      </c>
      <c r="F410" t="s">
        <v>131</v>
      </c>
      <c r="G410" t="str">
        <f>INDEX('коды стран'!$A$2:$A$6, MATCH(F410, 'коды стран'!$B$2:$B$6, 0))</f>
        <v>Узбекистан</v>
      </c>
      <c r="H410" s="32">
        <f t="shared" ca="1" si="6"/>
        <v>46076</v>
      </c>
      <c r="I410">
        <f ca="1">Таблица3[[#This Row],[Текущая дата]]-Продажи[[#This Row],[Дата регистрации клиента]]</f>
        <v>1346</v>
      </c>
      <c r="J410">
        <f ca="1">ROUND((Таблица3[[#This Row],[Текущая дата]] - Продажи[[#This Row],[Дата регистрации клиента]]) / 30, 0)</f>
        <v>45</v>
      </c>
      <c r="K410" t="e">
        <f>LEFT(C410,#REF!- 1)</f>
        <v>#REF!</v>
      </c>
    </row>
    <row r="411" spans="1:11" x14ac:dyDescent="0.3">
      <c r="A411">
        <v>280</v>
      </c>
      <c r="B411" t="s">
        <v>964</v>
      </c>
      <c r="C411" t="s">
        <v>963</v>
      </c>
      <c r="D411" t="s">
        <v>139</v>
      </c>
      <c r="E411" s="32">
        <v>44563</v>
      </c>
      <c r="F411" t="s">
        <v>135</v>
      </c>
      <c r="G411" t="str">
        <f>INDEX('коды стран'!$A$2:$A$6, MATCH(F411, 'коды стран'!$B$2:$B$6, 0))</f>
        <v>Россия</v>
      </c>
      <c r="H411" s="32">
        <f t="shared" ca="1" si="6"/>
        <v>46076</v>
      </c>
      <c r="I411">
        <f ca="1">Таблица3[[#This Row],[Текущая дата]]-Продажи[[#This Row],[Дата регистрации клиента]]</f>
        <v>1433</v>
      </c>
      <c r="J411">
        <f ca="1">ROUND((Таблица3[[#This Row],[Текущая дата]] - Продажи[[#This Row],[Дата регистрации клиента]]) / 30, 0)</f>
        <v>48</v>
      </c>
      <c r="K411" t="e">
        <f>LEFT(C411,#REF!- 1)</f>
        <v>#REF!</v>
      </c>
    </row>
    <row r="412" spans="1:11" x14ac:dyDescent="0.3">
      <c r="A412">
        <v>346</v>
      </c>
      <c r="B412" t="s">
        <v>882</v>
      </c>
      <c r="C412" t="s">
        <v>881</v>
      </c>
      <c r="D412" t="s">
        <v>142</v>
      </c>
      <c r="E412" s="32">
        <v>44636</v>
      </c>
      <c r="F412" t="s">
        <v>135</v>
      </c>
      <c r="G412" t="str">
        <f>INDEX('коды стран'!$A$2:$A$6, MATCH(F412, 'коды стран'!$B$2:$B$6, 0))</f>
        <v>Россия</v>
      </c>
      <c r="H412" s="32">
        <f t="shared" ca="1" si="6"/>
        <v>46076</v>
      </c>
      <c r="I412">
        <f ca="1">Таблица3[[#This Row],[Текущая дата]]-Продажи[[#This Row],[Дата регистрации клиента]]</f>
        <v>1304</v>
      </c>
      <c r="J412">
        <f ca="1">ROUND((Таблица3[[#This Row],[Текущая дата]] - Продажи[[#This Row],[Дата регистрации клиента]]) / 30, 0)</f>
        <v>43</v>
      </c>
      <c r="K412" t="e">
        <f>LEFT(C412,#REF!- 1)</f>
        <v>#REF!</v>
      </c>
    </row>
    <row r="413" spans="1:11" x14ac:dyDescent="0.3">
      <c r="A413">
        <v>75</v>
      </c>
      <c r="B413" t="s">
        <v>834</v>
      </c>
      <c r="C413" t="s">
        <v>833</v>
      </c>
      <c r="D413" t="s">
        <v>139</v>
      </c>
      <c r="E413" s="32">
        <v>44796</v>
      </c>
      <c r="F413" t="s">
        <v>127</v>
      </c>
      <c r="G413" t="str">
        <f>INDEX('коды стран'!$A$2:$A$6, MATCH(F413, 'коды стран'!$B$2:$B$6, 0))</f>
        <v>Украина</v>
      </c>
      <c r="H413" s="32">
        <f t="shared" ca="1" si="6"/>
        <v>46076</v>
      </c>
      <c r="I413">
        <f ca="1">Таблица3[[#This Row],[Текущая дата]]-Продажи[[#This Row],[Дата регистрации клиента]]</f>
        <v>1358</v>
      </c>
      <c r="J413">
        <f ca="1">ROUND((Таблица3[[#This Row],[Текущая дата]] - Продажи[[#This Row],[Дата регистрации клиента]]) / 30, 0)</f>
        <v>45</v>
      </c>
      <c r="K413" t="e">
        <f>LEFT(C413,#REF!- 1)</f>
        <v>#REF!</v>
      </c>
    </row>
    <row r="414" spans="1:11" x14ac:dyDescent="0.3">
      <c r="A414">
        <v>273</v>
      </c>
      <c r="B414" t="s">
        <v>802</v>
      </c>
      <c r="C414" t="s">
        <v>801</v>
      </c>
      <c r="D414" t="s">
        <v>139</v>
      </c>
      <c r="E414" s="32">
        <v>44599</v>
      </c>
      <c r="F414" t="s">
        <v>131</v>
      </c>
      <c r="G414" t="str">
        <f>INDEX('коды стран'!$A$2:$A$6, MATCH(F414, 'коды стран'!$B$2:$B$6, 0))</f>
        <v>Узбекистан</v>
      </c>
      <c r="H414" s="32">
        <f t="shared" ca="1" si="6"/>
        <v>46076</v>
      </c>
      <c r="I414">
        <f ca="1">Таблица3[[#This Row],[Текущая дата]]-Продажи[[#This Row],[Дата регистрации клиента]]</f>
        <v>1256</v>
      </c>
      <c r="J414">
        <f ca="1">ROUND((Таблица3[[#This Row],[Текущая дата]] - Продажи[[#This Row],[Дата регистрации клиента]]) / 30, 0)</f>
        <v>42</v>
      </c>
      <c r="K414" t="e">
        <f>LEFT(C414,#REF!- 1)</f>
        <v>#REF!</v>
      </c>
    </row>
    <row r="415" spans="1:11" x14ac:dyDescent="0.3">
      <c r="A415">
        <v>450</v>
      </c>
      <c r="B415" t="s">
        <v>762</v>
      </c>
      <c r="C415" t="s">
        <v>761</v>
      </c>
      <c r="D415" t="s">
        <v>142</v>
      </c>
      <c r="E415" s="32">
        <v>44619</v>
      </c>
      <c r="F415" t="s">
        <v>135</v>
      </c>
      <c r="G415" t="str">
        <f>INDEX('коды стран'!$A$2:$A$6, MATCH(F415, 'коды стран'!$B$2:$B$6, 0))</f>
        <v>Россия</v>
      </c>
      <c r="H415" s="32">
        <f t="shared" ca="1" si="6"/>
        <v>46076</v>
      </c>
      <c r="I415">
        <f ca="1">Таблица3[[#This Row],[Текущая дата]]-Продажи[[#This Row],[Дата регистрации клиента]]</f>
        <v>1398</v>
      </c>
      <c r="J415">
        <f ca="1">ROUND((Таблица3[[#This Row],[Текущая дата]] - Продажи[[#This Row],[Дата регистрации клиента]]) / 30, 0)</f>
        <v>47</v>
      </c>
      <c r="K415" t="e">
        <f>LEFT(C415,#REF!- 1)</f>
        <v>#REF!</v>
      </c>
    </row>
    <row r="416" spans="1:11" x14ac:dyDescent="0.3">
      <c r="A416">
        <v>496</v>
      </c>
      <c r="B416" t="s">
        <v>754</v>
      </c>
      <c r="C416" t="s">
        <v>753</v>
      </c>
      <c r="D416" t="s">
        <v>142</v>
      </c>
      <c r="E416" s="32">
        <v>44867</v>
      </c>
      <c r="F416" t="s">
        <v>127</v>
      </c>
      <c r="G416" t="str">
        <f>INDEX('коды стран'!$A$2:$A$6, MATCH(F416, 'коды стран'!$B$2:$B$6, 0))</f>
        <v>Украина</v>
      </c>
      <c r="H416" s="32">
        <f t="shared" ca="1" si="6"/>
        <v>46076</v>
      </c>
      <c r="I416">
        <f ca="1">Таблица3[[#This Row],[Текущая дата]]-Продажи[[#This Row],[Дата регистрации клиента]]</f>
        <v>1377</v>
      </c>
      <c r="J416">
        <f ca="1">ROUND((Таблица3[[#This Row],[Текущая дата]] - Продажи[[#This Row],[Дата регистрации клиента]]) / 30, 0)</f>
        <v>46</v>
      </c>
      <c r="K416" t="e">
        <f>LEFT(C416,#REF!- 1)</f>
        <v>#REF!</v>
      </c>
    </row>
    <row r="417" spans="1:11" x14ac:dyDescent="0.3">
      <c r="A417">
        <v>37</v>
      </c>
      <c r="B417" t="s">
        <v>722</v>
      </c>
      <c r="C417" t="s">
        <v>721</v>
      </c>
      <c r="D417" t="s">
        <v>142</v>
      </c>
      <c r="E417" s="32">
        <v>44728</v>
      </c>
      <c r="F417" t="s">
        <v>127</v>
      </c>
      <c r="G417" t="str">
        <f>INDEX('коды стран'!$A$2:$A$6, MATCH(F417, 'коды стран'!$B$2:$B$6, 0))</f>
        <v>Украина</v>
      </c>
      <c r="H417" s="32">
        <f t="shared" ca="1" si="6"/>
        <v>46076</v>
      </c>
      <c r="I417">
        <f ca="1">Таблица3[[#This Row],[Текущая дата]]-Продажи[[#This Row],[Дата регистрации клиента]]</f>
        <v>1376</v>
      </c>
      <c r="J417">
        <f ca="1">ROUND((Таблица3[[#This Row],[Текущая дата]] - Продажи[[#This Row],[Дата регистрации клиента]]) / 30, 0)</f>
        <v>46</v>
      </c>
      <c r="K417" t="e">
        <f>LEFT(C417,#REF!- 1)</f>
        <v>#REF!</v>
      </c>
    </row>
    <row r="418" spans="1:11" x14ac:dyDescent="0.3">
      <c r="A418">
        <v>434</v>
      </c>
      <c r="B418" t="s">
        <v>718</v>
      </c>
      <c r="C418" t="s">
        <v>717</v>
      </c>
      <c r="D418" t="s">
        <v>139</v>
      </c>
      <c r="E418" s="32">
        <v>44730</v>
      </c>
      <c r="F418" t="s">
        <v>127</v>
      </c>
      <c r="G418" t="str">
        <f>INDEX('коды стран'!$A$2:$A$6, MATCH(F418, 'коды стран'!$B$2:$B$6, 0))</f>
        <v>Украина</v>
      </c>
      <c r="H418" s="32">
        <f t="shared" ca="1" si="6"/>
        <v>46076</v>
      </c>
      <c r="I418">
        <f ca="1">Таблица3[[#This Row],[Текущая дата]]-Продажи[[#This Row],[Дата регистрации клиента]]</f>
        <v>1448</v>
      </c>
      <c r="J418">
        <f ca="1">ROUND((Таблица3[[#This Row],[Текущая дата]] - Продажи[[#This Row],[Дата регистрации клиента]]) / 30, 0)</f>
        <v>48</v>
      </c>
      <c r="K418" t="e">
        <f>LEFT(C418,#REF!- 1)</f>
        <v>#REF!</v>
      </c>
    </row>
    <row r="419" spans="1:11" x14ac:dyDescent="0.3">
      <c r="A419">
        <v>180</v>
      </c>
      <c r="B419" t="s">
        <v>698</v>
      </c>
      <c r="C419" t="s">
        <v>697</v>
      </c>
      <c r="D419" t="s">
        <v>139</v>
      </c>
      <c r="E419" s="32">
        <v>44616</v>
      </c>
      <c r="F419" t="s">
        <v>133</v>
      </c>
      <c r="G419" t="str">
        <f>INDEX('коды стран'!$A$2:$A$6, MATCH(F419, 'коды стран'!$B$2:$B$6, 0))</f>
        <v>Беларусь</v>
      </c>
      <c r="H419" s="32">
        <f t="shared" ca="1" si="6"/>
        <v>46076</v>
      </c>
      <c r="I419">
        <f ca="1">Таблица3[[#This Row],[Текущая дата]]-Продажи[[#This Row],[Дата регистрации клиента]]</f>
        <v>1464</v>
      </c>
      <c r="J419">
        <f ca="1">ROUND((Таблица3[[#This Row],[Текущая дата]] - Продажи[[#This Row],[Дата регистрации клиента]]) / 30, 0)</f>
        <v>49</v>
      </c>
      <c r="K419" t="e">
        <f>LEFT(C419,#REF!- 1)</f>
        <v>#REF!</v>
      </c>
    </row>
    <row r="420" spans="1:11" x14ac:dyDescent="0.3">
      <c r="A420">
        <v>457</v>
      </c>
      <c r="B420" t="s">
        <v>690</v>
      </c>
      <c r="C420" t="s">
        <v>689</v>
      </c>
      <c r="D420" t="s">
        <v>139</v>
      </c>
      <c r="E420" s="32">
        <v>44595</v>
      </c>
      <c r="F420" t="s">
        <v>129</v>
      </c>
      <c r="G420" t="str">
        <f>INDEX('коды стран'!$A$2:$A$6, MATCH(F420, 'коды стран'!$B$2:$B$6, 0))</f>
        <v>Таджикистан</v>
      </c>
      <c r="H420" s="32">
        <f t="shared" ca="1" si="6"/>
        <v>46076</v>
      </c>
      <c r="I420">
        <f ca="1">Таблица3[[#This Row],[Текущая дата]]-Продажи[[#This Row],[Дата регистрации клиента]]</f>
        <v>1431</v>
      </c>
      <c r="J420">
        <f ca="1">ROUND((Таблица3[[#This Row],[Текущая дата]] - Продажи[[#This Row],[Дата регистрации клиента]]) / 30, 0)</f>
        <v>48</v>
      </c>
      <c r="K420" t="e">
        <f>LEFT(C420,#REF!- 1)</f>
        <v>#REF!</v>
      </c>
    </row>
    <row r="421" spans="1:11" x14ac:dyDescent="0.3">
      <c r="A421">
        <v>431</v>
      </c>
      <c r="B421" t="s">
        <v>638</v>
      </c>
      <c r="C421" t="s">
        <v>637</v>
      </c>
      <c r="D421" t="s">
        <v>139</v>
      </c>
      <c r="E421" s="32">
        <v>44623</v>
      </c>
      <c r="F421" t="s">
        <v>135</v>
      </c>
      <c r="G421" t="str">
        <f>INDEX('коды стран'!$A$2:$A$6, MATCH(F421, 'коды стран'!$B$2:$B$6, 0))</f>
        <v>Россия</v>
      </c>
      <c r="H421" s="32">
        <f t="shared" ca="1" si="6"/>
        <v>46076</v>
      </c>
      <c r="I421">
        <f ca="1">Таблица3[[#This Row],[Текущая дата]]-Продажи[[#This Row],[Дата регистрации клиента]]</f>
        <v>1320</v>
      </c>
      <c r="J421">
        <f ca="1">ROUND((Таблица3[[#This Row],[Текущая дата]] - Продажи[[#This Row],[Дата регистрации клиента]]) / 30, 0)</f>
        <v>44</v>
      </c>
      <c r="K421" t="e">
        <f>LEFT(C421,#REF!- 1)</f>
        <v>#REF!</v>
      </c>
    </row>
    <row r="422" spans="1:11" x14ac:dyDescent="0.3">
      <c r="A422">
        <v>489</v>
      </c>
      <c r="B422" t="s">
        <v>618</v>
      </c>
      <c r="C422" t="s">
        <v>617</v>
      </c>
      <c r="D422" t="s">
        <v>142</v>
      </c>
      <c r="E422" s="32">
        <v>44587</v>
      </c>
      <c r="F422" t="s">
        <v>135</v>
      </c>
      <c r="G422" t="str">
        <f>INDEX('коды стран'!$A$2:$A$6, MATCH(F422, 'коды стран'!$B$2:$B$6, 0))</f>
        <v>Россия</v>
      </c>
      <c r="H422" s="32">
        <f t="shared" ca="1" si="6"/>
        <v>46076</v>
      </c>
      <c r="I422">
        <f ca="1">Таблица3[[#This Row],[Текущая дата]]-Продажи[[#This Row],[Дата регистрации клиента]]</f>
        <v>1349</v>
      </c>
      <c r="J422">
        <f ca="1">ROUND((Таблица3[[#This Row],[Текущая дата]] - Продажи[[#This Row],[Дата регистрации клиента]]) / 30, 0)</f>
        <v>45</v>
      </c>
      <c r="K422" t="e">
        <f>LEFT(C422,#REF!- 1)</f>
        <v>#REF!</v>
      </c>
    </row>
    <row r="423" spans="1:11" x14ac:dyDescent="0.3">
      <c r="A423">
        <v>421</v>
      </c>
      <c r="B423" t="s">
        <v>582</v>
      </c>
      <c r="C423" t="s">
        <v>581</v>
      </c>
      <c r="D423" t="s">
        <v>139</v>
      </c>
      <c r="E423" s="32">
        <v>44620</v>
      </c>
      <c r="F423" t="s">
        <v>135</v>
      </c>
      <c r="G423" t="str">
        <f>INDEX('коды стран'!$A$2:$A$6, MATCH(F423, 'коды стран'!$B$2:$B$6, 0))</f>
        <v>Россия</v>
      </c>
      <c r="H423" s="32">
        <f t="shared" ca="1" si="6"/>
        <v>46076</v>
      </c>
      <c r="I423">
        <f ca="1">Таблица3[[#This Row],[Текущая дата]]-Продажи[[#This Row],[Дата регистрации клиента]]</f>
        <v>1281</v>
      </c>
      <c r="J423">
        <f ca="1">ROUND((Таблица3[[#This Row],[Текущая дата]] - Продажи[[#This Row],[Дата регистрации клиента]]) / 30, 0)</f>
        <v>43</v>
      </c>
      <c r="K423" t="e">
        <f>LEFT(C423,#REF!- 1)</f>
        <v>#REF!</v>
      </c>
    </row>
    <row r="424" spans="1:11" x14ac:dyDescent="0.3">
      <c r="A424">
        <v>29</v>
      </c>
      <c r="B424" t="s">
        <v>558</v>
      </c>
      <c r="C424" t="s">
        <v>557</v>
      </c>
      <c r="D424" t="s">
        <v>142</v>
      </c>
      <c r="E424" s="32">
        <v>44704</v>
      </c>
      <c r="F424" t="s">
        <v>135</v>
      </c>
      <c r="G424" t="str">
        <f>INDEX('коды стран'!$A$2:$A$6, MATCH(F424, 'коды стран'!$B$2:$B$6, 0))</f>
        <v>Россия</v>
      </c>
      <c r="H424" s="32">
        <f t="shared" ca="1" si="6"/>
        <v>46076</v>
      </c>
      <c r="I424">
        <f ca="1">Таблица3[[#This Row],[Текущая дата]]-Продажи[[#This Row],[Дата регистрации клиента]]</f>
        <v>1375</v>
      </c>
      <c r="J424">
        <f ca="1">ROUND((Таблица3[[#This Row],[Текущая дата]] - Продажи[[#This Row],[Дата регистрации клиента]]) / 30, 0)</f>
        <v>46</v>
      </c>
      <c r="K424" t="e">
        <f>LEFT(C424,#REF!- 1)</f>
        <v>#REF!</v>
      </c>
    </row>
    <row r="425" spans="1:11" x14ac:dyDescent="0.3">
      <c r="A425">
        <v>446</v>
      </c>
      <c r="B425" t="s">
        <v>548</v>
      </c>
      <c r="C425" t="s">
        <v>547</v>
      </c>
      <c r="D425" t="s">
        <v>142</v>
      </c>
      <c r="E425" s="32">
        <v>44671</v>
      </c>
      <c r="F425" t="s">
        <v>129</v>
      </c>
      <c r="G425" t="str">
        <f>INDEX('коды стран'!$A$2:$A$6, MATCH(F425, 'коды стран'!$B$2:$B$6, 0))</f>
        <v>Таджикистан</v>
      </c>
      <c r="H425" s="32">
        <f t="shared" ca="1" si="6"/>
        <v>46076</v>
      </c>
      <c r="I425">
        <f ca="1">Таблица3[[#This Row],[Текущая дата]]-Продажи[[#This Row],[Дата регистрации клиента]]</f>
        <v>1444</v>
      </c>
      <c r="J425">
        <f ca="1">ROUND((Таблица3[[#This Row],[Текущая дата]] - Продажи[[#This Row],[Дата регистрации клиента]]) / 30, 0)</f>
        <v>48</v>
      </c>
      <c r="K425" t="e">
        <f>LEFT(C425,#REF!- 1)</f>
        <v>#REF!</v>
      </c>
    </row>
    <row r="426" spans="1:11" x14ac:dyDescent="0.3">
      <c r="A426">
        <v>265</v>
      </c>
      <c r="B426" t="s">
        <v>540</v>
      </c>
      <c r="C426" t="s">
        <v>539</v>
      </c>
      <c r="D426" t="s">
        <v>139</v>
      </c>
      <c r="E426" s="32">
        <v>44756</v>
      </c>
      <c r="F426" t="s">
        <v>131</v>
      </c>
      <c r="G426" t="str">
        <f>INDEX('коды стран'!$A$2:$A$6, MATCH(F426, 'коды стран'!$B$2:$B$6, 0))</f>
        <v>Узбекистан</v>
      </c>
      <c r="H426" s="32">
        <f t="shared" ca="1" si="6"/>
        <v>46076</v>
      </c>
      <c r="I426">
        <f ca="1">Таблица3[[#This Row],[Текущая дата]]-Продажи[[#This Row],[Дата регистрации клиента]]</f>
        <v>1365</v>
      </c>
      <c r="J426">
        <f ca="1">ROUND((Таблица3[[#This Row],[Текущая дата]] - Продажи[[#This Row],[Дата регистрации клиента]]) / 30, 0)</f>
        <v>46</v>
      </c>
      <c r="K426" t="e">
        <f>LEFT(C426,#REF!- 1)</f>
        <v>#REF!</v>
      </c>
    </row>
    <row r="427" spans="1:11" x14ac:dyDescent="0.3">
      <c r="A427">
        <v>84</v>
      </c>
      <c r="B427" t="s">
        <v>514</v>
      </c>
      <c r="C427" t="s">
        <v>513</v>
      </c>
      <c r="D427" t="s">
        <v>139</v>
      </c>
      <c r="E427" s="32">
        <v>44805</v>
      </c>
      <c r="F427" t="s">
        <v>129</v>
      </c>
      <c r="G427" t="str">
        <f>INDEX('коды стран'!$A$2:$A$6, MATCH(F427, 'коды стран'!$B$2:$B$6, 0))</f>
        <v>Таджикистан</v>
      </c>
      <c r="H427" s="32">
        <f t="shared" ca="1" si="6"/>
        <v>46076</v>
      </c>
      <c r="I427">
        <f ca="1">Таблица3[[#This Row],[Текущая дата]]-Продажи[[#This Row],[Дата регистрации клиента]]</f>
        <v>1402</v>
      </c>
      <c r="J427">
        <f ca="1">ROUND((Таблица3[[#This Row],[Текущая дата]] - Продажи[[#This Row],[Дата регистрации клиента]]) / 30, 0)</f>
        <v>47</v>
      </c>
      <c r="K427" t="e">
        <f>LEFT(C427,#REF!- 1)</f>
        <v>#REF!</v>
      </c>
    </row>
    <row r="428" spans="1:11" x14ac:dyDescent="0.3">
      <c r="A428">
        <v>81</v>
      </c>
      <c r="B428" t="s">
        <v>512</v>
      </c>
      <c r="C428" t="s">
        <v>511</v>
      </c>
      <c r="D428" t="s">
        <v>142</v>
      </c>
      <c r="E428" s="32">
        <v>44825</v>
      </c>
      <c r="F428" t="s">
        <v>135</v>
      </c>
      <c r="G428" t="str">
        <f>INDEX('коды стран'!$A$2:$A$6, MATCH(F428, 'коды стран'!$B$2:$B$6, 0))</f>
        <v>Россия</v>
      </c>
      <c r="H428" s="32">
        <f t="shared" ca="1" si="6"/>
        <v>46076</v>
      </c>
      <c r="I428">
        <f ca="1">Таблица3[[#This Row],[Текущая дата]]-Продажи[[#This Row],[Дата регистрации клиента]]</f>
        <v>1492</v>
      </c>
      <c r="J428">
        <f ca="1">ROUND((Таблица3[[#This Row],[Текущая дата]] - Продажи[[#This Row],[Дата регистрации клиента]]) / 30, 0)</f>
        <v>50</v>
      </c>
      <c r="K428" t="e">
        <f>LEFT(C428,#REF!- 1)</f>
        <v>#REF!</v>
      </c>
    </row>
    <row r="429" spans="1:11" x14ac:dyDescent="0.3">
      <c r="A429">
        <v>152</v>
      </c>
      <c r="B429" t="s">
        <v>470</v>
      </c>
      <c r="C429" t="s">
        <v>469</v>
      </c>
      <c r="D429" t="s">
        <v>139</v>
      </c>
      <c r="E429" s="32">
        <v>44791</v>
      </c>
      <c r="F429" t="s">
        <v>133</v>
      </c>
      <c r="G429" t="str">
        <f>INDEX('коды стран'!$A$2:$A$6, MATCH(F429, 'коды стран'!$B$2:$B$6, 0))</f>
        <v>Беларусь</v>
      </c>
      <c r="H429" s="32">
        <f t="shared" ca="1" si="6"/>
        <v>46076</v>
      </c>
      <c r="I429">
        <f ca="1">Таблица3[[#This Row],[Текущая дата]]-Продажи[[#This Row],[Дата регистрации клиента]]</f>
        <v>1186</v>
      </c>
      <c r="J429">
        <f ca="1">ROUND((Таблица3[[#This Row],[Текущая дата]] - Продажи[[#This Row],[Дата регистрации клиента]]) / 30, 0)</f>
        <v>40</v>
      </c>
      <c r="K429" t="e">
        <f>LEFT(C429,#REF!- 1)</f>
        <v>#REF!</v>
      </c>
    </row>
    <row r="430" spans="1:11" x14ac:dyDescent="0.3">
      <c r="A430">
        <v>185</v>
      </c>
      <c r="B430" t="s">
        <v>466</v>
      </c>
      <c r="C430" t="s">
        <v>465</v>
      </c>
      <c r="D430" t="s">
        <v>139</v>
      </c>
      <c r="E430" s="32">
        <v>44683</v>
      </c>
      <c r="F430" t="s">
        <v>131</v>
      </c>
      <c r="G430" t="str">
        <f>INDEX('коды стран'!$A$2:$A$6, MATCH(F430, 'коды стран'!$B$2:$B$6, 0))</f>
        <v>Узбекистан</v>
      </c>
      <c r="H430" s="32">
        <f t="shared" ca="1" si="6"/>
        <v>46076</v>
      </c>
      <c r="I430">
        <f ca="1">Таблица3[[#This Row],[Текущая дата]]-Продажи[[#This Row],[Дата регистрации клиента]]</f>
        <v>1332</v>
      </c>
      <c r="J430">
        <f ca="1">ROUND((Таблица3[[#This Row],[Текущая дата]] - Продажи[[#This Row],[Дата регистрации клиента]]) / 30, 0)</f>
        <v>44</v>
      </c>
      <c r="K430" t="e">
        <f>LEFT(C430,#REF!- 1)</f>
        <v>#REF!</v>
      </c>
    </row>
    <row r="431" spans="1:11" x14ac:dyDescent="0.3">
      <c r="A431">
        <v>375</v>
      </c>
      <c r="B431" t="s">
        <v>460</v>
      </c>
      <c r="C431" t="s">
        <v>459</v>
      </c>
      <c r="D431" t="s">
        <v>142</v>
      </c>
      <c r="E431" s="32">
        <v>44674</v>
      </c>
      <c r="F431" t="s">
        <v>135</v>
      </c>
      <c r="G431" t="str">
        <f>INDEX('коды стран'!$A$2:$A$6, MATCH(F431, 'коды стран'!$B$2:$B$6, 0))</f>
        <v>Россия</v>
      </c>
      <c r="H431" s="32">
        <f t="shared" ca="1" si="6"/>
        <v>46076</v>
      </c>
      <c r="I431">
        <f ca="1">Таблица3[[#This Row],[Текущая дата]]-Продажи[[#This Row],[Дата регистрации клиента]]</f>
        <v>1289</v>
      </c>
      <c r="J431">
        <f ca="1">ROUND((Таблица3[[#This Row],[Текущая дата]] - Продажи[[#This Row],[Дата регистрации клиента]]) / 30, 0)</f>
        <v>43</v>
      </c>
      <c r="K431" t="e">
        <f>LEFT(C431,#REF!- 1)</f>
        <v>#REF!</v>
      </c>
    </row>
    <row r="432" spans="1:11" x14ac:dyDescent="0.3">
      <c r="A432">
        <v>15</v>
      </c>
      <c r="B432" t="s">
        <v>382</v>
      </c>
      <c r="C432" t="s">
        <v>381</v>
      </c>
      <c r="D432" t="s">
        <v>139</v>
      </c>
      <c r="E432" s="32">
        <v>44711</v>
      </c>
      <c r="F432" t="s">
        <v>127</v>
      </c>
      <c r="G432" t="str">
        <f>INDEX('коды стран'!$A$2:$A$6, MATCH(F432, 'коды стран'!$B$2:$B$6, 0))</f>
        <v>Украина</v>
      </c>
      <c r="H432" s="32">
        <f t="shared" ca="1" si="6"/>
        <v>46076</v>
      </c>
      <c r="I432">
        <f ca="1">Таблица3[[#This Row],[Текущая дата]]-Продажи[[#This Row],[Дата регистрации клиента]]</f>
        <v>1256</v>
      </c>
      <c r="J432">
        <f ca="1">ROUND((Таблица3[[#This Row],[Текущая дата]] - Продажи[[#This Row],[Дата регистрации клиента]]) / 30, 0)</f>
        <v>42</v>
      </c>
      <c r="K432" t="e">
        <f>LEFT(C432,#REF!- 1)</f>
        <v>#REF!</v>
      </c>
    </row>
    <row r="433" spans="1:11" x14ac:dyDescent="0.3">
      <c r="A433">
        <v>213</v>
      </c>
      <c r="B433" t="s">
        <v>360</v>
      </c>
      <c r="C433" t="s">
        <v>359</v>
      </c>
      <c r="D433" t="s">
        <v>139</v>
      </c>
      <c r="E433" s="32">
        <v>44733</v>
      </c>
      <c r="F433" t="s">
        <v>131</v>
      </c>
      <c r="G433" t="str">
        <f>INDEX('коды стран'!$A$2:$A$6, MATCH(F433, 'коды стран'!$B$2:$B$6, 0))</f>
        <v>Узбекистан</v>
      </c>
      <c r="H433" s="32">
        <f t="shared" ca="1" si="6"/>
        <v>46076</v>
      </c>
      <c r="I433">
        <f ca="1">Таблица3[[#This Row],[Текущая дата]]-Продажи[[#This Row],[Дата регистрации клиента]]</f>
        <v>1496</v>
      </c>
      <c r="J433">
        <f ca="1">ROUND((Таблица3[[#This Row],[Текущая дата]] - Продажи[[#This Row],[Дата регистрации клиента]]) / 30, 0)</f>
        <v>50</v>
      </c>
      <c r="K433" t="e">
        <f>LEFT(C433,#REF!- 1)</f>
        <v>#REF!</v>
      </c>
    </row>
    <row r="434" spans="1:11" x14ac:dyDescent="0.3">
      <c r="A434">
        <v>494</v>
      </c>
      <c r="B434" t="s">
        <v>266</v>
      </c>
      <c r="C434" t="s">
        <v>265</v>
      </c>
      <c r="D434" t="s">
        <v>139</v>
      </c>
      <c r="E434" s="32">
        <v>44738</v>
      </c>
      <c r="F434" t="s">
        <v>133</v>
      </c>
      <c r="G434" t="str">
        <f>INDEX('коды стран'!$A$2:$A$6, MATCH(F434, 'коды стран'!$B$2:$B$6, 0))</f>
        <v>Беларусь</v>
      </c>
      <c r="H434" s="32">
        <f t="shared" ca="1" si="6"/>
        <v>46076</v>
      </c>
      <c r="I434">
        <f ca="1">Таблица3[[#This Row],[Текущая дата]]-Продажи[[#This Row],[Дата регистрации клиента]]</f>
        <v>1204</v>
      </c>
      <c r="J434">
        <f ca="1">ROUND((Таблица3[[#This Row],[Текущая дата]] - Продажи[[#This Row],[Дата регистрации клиента]]) / 30, 0)</f>
        <v>40</v>
      </c>
      <c r="K434" t="e">
        <f>LEFT(C434,#REF!- 1)</f>
        <v>#REF!</v>
      </c>
    </row>
    <row r="435" spans="1:11" x14ac:dyDescent="0.3">
      <c r="A435">
        <v>394</v>
      </c>
      <c r="B435" t="s">
        <v>226</v>
      </c>
      <c r="C435" t="s">
        <v>225</v>
      </c>
      <c r="D435" t="s">
        <v>142</v>
      </c>
      <c r="E435" s="32">
        <v>44708</v>
      </c>
      <c r="F435" t="s">
        <v>135</v>
      </c>
      <c r="G435" t="str">
        <f>INDEX('коды стран'!$A$2:$A$6, MATCH(F435, 'коды стран'!$B$2:$B$6, 0))</f>
        <v>Россия</v>
      </c>
      <c r="H435" s="32">
        <f t="shared" ca="1" si="6"/>
        <v>46076</v>
      </c>
      <c r="I435">
        <f ca="1">Таблица3[[#This Row],[Текущая дата]]-Продажи[[#This Row],[Дата регистрации клиента]]</f>
        <v>1200</v>
      </c>
      <c r="J435">
        <f ca="1">ROUND((Таблица3[[#This Row],[Текущая дата]] - Продажи[[#This Row],[Дата регистрации клиента]]) / 30, 0)</f>
        <v>40</v>
      </c>
      <c r="K435" t="e">
        <f>LEFT(C435,#REF!- 1)</f>
        <v>#REF!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380B-EF2C-443C-8D66-83EF6C97E3DB}">
  <dimension ref="A3:B82"/>
  <sheetViews>
    <sheetView workbookViewId="0">
      <selection activeCell="J25" sqref="J25"/>
    </sheetView>
  </sheetViews>
  <sheetFormatPr defaultRowHeight="14.4" x14ac:dyDescent="0.3"/>
  <cols>
    <col min="1" max="1" width="17" bestFit="1" customWidth="1"/>
    <col min="2" max="2" width="26" bestFit="1" customWidth="1"/>
    <col min="3" max="81" width="6.88671875" bestFit="1" customWidth="1"/>
    <col min="82" max="82" width="12.6640625" bestFit="1" customWidth="1"/>
  </cols>
  <sheetData>
    <row r="3" spans="1:2" x14ac:dyDescent="0.3">
      <c r="A3" s="16" t="s">
        <v>1061</v>
      </c>
      <c r="B3" t="s">
        <v>1059</v>
      </c>
    </row>
    <row r="4" spans="1:2" x14ac:dyDescent="0.3">
      <c r="A4" s="17" t="s">
        <v>39</v>
      </c>
      <c r="B4">
        <v>29430</v>
      </c>
    </row>
    <row r="5" spans="1:2" x14ac:dyDescent="0.3">
      <c r="A5" s="17" t="s">
        <v>32</v>
      </c>
      <c r="B5">
        <v>24872</v>
      </c>
    </row>
    <row r="6" spans="1:2" x14ac:dyDescent="0.3">
      <c r="A6" s="17" t="s">
        <v>49</v>
      </c>
      <c r="B6">
        <v>24200</v>
      </c>
    </row>
    <row r="7" spans="1:2" x14ac:dyDescent="0.3">
      <c r="A7" s="17" t="s">
        <v>107</v>
      </c>
      <c r="B7">
        <v>21191</v>
      </c>
    </row>
    <row r="8" spans="1:2" x14ac:dyDescent="0.3">
      <c r="A8" s="17" t="s">
        <v>64</v>
      </c>
      <c r="B8">
        <v>20462</v>
      </c>
    </row>
    <row r="9" spans="1:2" x14ac:dyDescent="0.3">
      <c r="A9" s="17" t="s">
        <v>91</v>
      </c>
      <c r="B9">
        <v>20345</v>
      </c>
    </row>
    <row r="10" spans="1:2" x14ac:dyDescent="0.3">
      <c r="A10" s="17" t="s">
        <v>43</v>
      </c>
      <c r="B10">
        <v>18739</v>
      </c>
    </row>
    <row r="11" spans="1:2" x14ac:dyDescent="0.3">
      <c r="A11" s="17" t="s">
        <v>102</v>
      </c>
      <c r="B11">
        <v>18368</v>
      </c>
    </row>
    <row r="12" spans="1:2" x14ac:dyDescent="0.3">
      <c r="A12" s="17" t="s">
        <v>114</v>
      </c>
      <c r="B12">
        <v>17471</v>
      </c>
    </row>
    <row r="13" spans="1:2" x14ac:dyDescent="0.3">
      <c r="A13" s="17" t="s">
        <v>80</v>
      </c>
      <c r="B13">
        <v>16874</v>
      </c>
    </row>
    <row r="14" spans="1:2" x14ac:dyDescent="0.3">
      <c r="A14" s="17" t="s">
        <v>82</v>
      </c>
      <c r="B14">
        <v>15751</v>
      </c>
    </row>
    <row r="15" spans="1:2" x14ac:dyDescent="0.3">
      <c r="A15" s="17" t="s">
        <v>62</v>
      </c>
      <c r="B15">
        <v>15581</v>
      </c>
    </row>
    <row r="16" spans="1:2" x14ac:dyDescent="0.3">
      <c r="A16" s="17" t="s">
        <v>54</v>
      </c>
      <c r="B16">
        <v>15507</v>
      </c>
    </row>
    <row r="17" spans="1:2" x14ac:dyDescent="0.3">
      <c r="A17" s="17" t="s">
        <v>109</v>
      </c>
      <c r="B17">
        <v>14457</v>
      </c>
    </row>
    <row r="18" spans="1:2" x14ac:dyDescent="0.3">
      <c r="A18" s="17" t="s">
        <v>61</v>
      </c>
      <c r="B18">
        <v>14154</v>
      </c>
    </row>
    <row r="19" spans="1:2" x14ac:dyDescent="0.3">
      <c r="A19" s="17" t="s">
        <v>73</v>
      </c>
      <c r="B19">
        <v>13987</v>
      </c>
    </row>
    <row r="20" spans="1:2" x14ac:dyDescent="0.3">
      <c r="A20" s="17" t="s">
        <v>70</v>
      </c>
      <c r="B20">
        <v>13772</v>
      </c>
    </row>
    <row r="21" spans="1:2" x14ac:dyDescent="0.3">
      <c r="A21" s="17" t="s">
        <v>89</v>
      </c>
      <c r="B21">
        <v>13106</v>
      </c>
    </row>
    <row r="22" spans="1:2" x14ac:dyDescent="0.3">
      <c r="A22" s="17" t="s">
        <v>87</v>
      </c>
      <c r="B22">
        <v>13056</v>
      </c>
    </row>
    <row r="23" spans="1:2" x14ac:dyDescent="0.3">
      <c r="A23" s="17" t="s">
        <v>14</v>
      </c>
      <c r="B23">
        <v>12899</v>
      </c>
    </row>
    <row r="24" spans="1:2" x14ac:dyDescent="0.3">
      <c r="A24" s="17" t="s">
        <v>66</v>
      </c>
      <c r="B24">
        <v>12851</v>
      </c>
    </row>
    <row r="25" spans="1:2" x14ac:dyDescent="0.3">
      <c r="A25" s="17" t="s">
        <v>75</v>
      </c>
      <c r="B25">
        <v>12813</v>
      </c>
    </row>
    <row r="26" spans="1:2" x14ac:dyDescent="0.3">
      <c r="A26" s="17" t="s">
        <v>93</v>
      </c>
      <c r="B26">
        <v>12712</v>
      </c>
    </row>
    <row r="27" spans="1:2" x14ac:dyDescent="0.3">
      <c r="A27" s="17" t="s">
        <v>68</v>
      </c>
      <c r="B27">
        <v>12474</v>
      </c>
    </row>
    <row r="28" spans="1:2" x14ac:dyDescent="0.3">
      <c r="A28" s="17" t="s">
        <v>104</v>
      </c>
      <c r="B28">
        <v>12207</v>
      </c>
    </row>
    <row r="29" spans="1:2" x14ac:dyDescent="0.3">
      <c r="A29" s="17" t="s">
        <v>28</v>
      </c>
      <c r="B29">
        <v>12078</v>
      </c>
    </row>
    <row r="30" spans="1:2" x14ac:dyDescent="0.3">
      <c r="A30" s="17" t="s">
        <v>96</v>
      </c>
      <c r="B30">
        <v>11937</v>
      </c>
    </row>
    <row r="31" spans="1:2" x14ac:dyDescent="0.3">
      <c r="A31" s="17" t="s">
        <v>65</v>
      </c>
      <c r="B31">
        <v>11630</v>
      </c>
    </row>
    <row r="32" spans="1:2" x14ac:dyDescent="0.3">
      <c r="A32" s="17" t="s">
        <v>74</v>
      </c>
      <c r="B32">
        <v>11100</v>
      </c>
    </row>
    <row r="33" spans="1:2" x14ac:dyDescent="0.3">
      <c r="A33" s="17" t="s">
        <v>106</v>
      </c>
      <c r="B33">
        <v>10813</v>
      </c>
    </row>
    <row r="34" spans="1:2" x14ac:dyDescent="0.3">
      <c r="A34" s="17" t="s">
        <v>99</v>
      </c>
      <c r="B34">
        <v>10714</v>
      </c>
    </row>
    <row r="35" spans="1:2" x14ac:dyDescent="0.3">
      <c r="A35" s="17" t="s">
        <v>38</v>
      </c>
      <c r="B35">
        <v>10620</v>
      </c>
    </row>
    <row r="36" spans="1:2" x14ac:dyDescent="0.3">
      <c r="A36" s="17" t="s">
        <v>111</v>
      </c>
      <c r="B36">
        <v>10451</v>
      </c>
    </row>
    <row r="37" spans="1:2" x14ac:dyDescent="0.3">
      <c r="A37" s="17" t="s">
        <v>63</v>
      </c>
      <c r="B37">
        <v>10223</v>
      </c>
    </row>
    <row r="38" spans="1:2" x14ac:dyDescent="0.3">
      <c r="A38" s="17" t="s">
        <v>115</v>
      </c>
      <c r="B38">
        <v>10168</v>
      </c>
    </row>
    <row r="39" spans="1:2" x14ac:dyDescent="0.3">
      <c r="A39" s="17" t="s">
        <v>98</v>
      </c>
      <c r="B39">
        <v>9900</v>
      </c>
    </row>
    <row r="40" spans="1:2" x14ac:dyDescent="0.3">
      <c r="A40" s="17" t="s">
        <v>110</v>
      </c>
      <c r="B40">
        <v>9699</v>
      </c>
    </row>
    <row r="41" spans="1:2" x14ac:dyDescent="0.3">
      <c r="A41" s="17" t="s">
        <v>100</v>
      </c>
      <c r="B41">
        <v>9294</v>
      </c>
    </row>
    <row r="42" spans="1:2" x14ac:dyDescent="0.3">
      <c r="A42" s="17" t="s">
        <v>81</v>
      </c>
      <c r="B42">
        <v>9286</v>
      </c>
    </row>
    <row r="43" spans="1:2" x14ac:dyDescent="0.3">
      <c r="A43" s="17" t="s">
        <v>101</v>
      </c>
      <c r="B43">
        <v>9123</v>
      </c>
    </row>
    <row r="44" spans="1:2" x14ac:dyDescent="0.3">
      <c r="A44" s="17" t="s">
        <v>71</v>
      </c>
      <c r="B44">
        <v>8954</v>
      </c>
    </row>
    <row r="45" spans="1:2" x14ac:dyDescent="0.3">
      <c r="A45" s="17" t="s">
        <v>79</v>
      </c>
      <c r="B45">
        <v>8905</v>
      </c>
    </row>
    <row r="46" spans="1:2" x14ac:dyDescent="0.3">
      <c r="A46" s="17" t="s">
        <v>51</v>
      </c>
      <c r="B46">
        <v>8861</v>
      </c>
    </row>
    <row r="47" spans="1:2" x14ac:dyDescent="0.3">
      <c r="A47" s="17" t="s">
        <v>78</v>
      </c>
      <c r="B47">
        <v>8841</v>
      </c>
    </row>
    <row r="48" spans="1:2" x14ac:dyDescent="0.3">
      <c r="A48" s="17" t="s">
        <v>117</v>
      </c>
      <c r="B48">
        <v>8649</v>
      </c>
    </row>
    <row r="49" spans="1:2" x14ac:dyDescent="0.3">
      <c r="A49" s="17" t="s">
        <v>122</v>
      </c>
      <c r="B49">
        <v>8568</v>
      </c>
    </row>
    <row r="50" spans="1:2" x14ac:dyDescent="0.3">
      <c r="A50" s="17" t="s">
        <v>45</v>
      </c>
      <c r="B50">
        <v>8543</v>
      </c>
    </row>
    <row r="51" spans="1:2" x14ac:dyDescent="0.3">
      <c r="A51" s="17" t="s">
        <v>67</v>
      </c>
      <c r="B51">
        <v>8502</v>
      </c>
    </row>
    <row r="52" spans="1:2" x14ac:dyDescent="0.3">
      <c r="A52" s="17" t="s">
        <v>121</v>
      </c>
      <c r="B52">
        <v>8237</v>
      </c>
    </row>
    <row r="53" spans="1:2" x14ac:dyDescent="0.3">
      <c r="A53" s="17" t="s">
        <v>41</v>
      </c>
      <c r="B53">
        <v>8230</v>
      </c>
    </row>
    <row r="54" spans="1:2" x14ac:dyDescent="0.3">
      <c r="A54" s="17" t="s">
        <v>116</v>
      </c>
      <c r="B54">
        <v>8047</v>
      </c>
    </row>
    <row r="55" spans="1:2" x14ac:dyDescent="0.3">
      <c r="A55" s="17" t="s">
        <v>124</v>
      </c>
      <c r="B55">
        <v>7964</v>
      </c>
    </row>
    <row r="56" spans="1:2" x14ac:dyDescent="0.3">
      <c r="A56" s="17" t="s">
        <v>97</v>
      </c>
      <c r="B56">
        <v>7420</v>
      </c>
    </row>
    <row r="57" spans="1:2" x14ac:dyDescent="0.3">
      <c r="A57" s="17" t="s">
        <v>103</v>
      </c>
      <c r="B57">
        <v>7239</v>
      </c>
    </row>
    <row r="58" spans="1:2" x14ac:dyDescent="0.3">
      <c r="A58" s="17" t="s">
        <v>84</v>
      </c>
      <c r="B58">
        <v>7224</v>
      </c>
    </row>
    <row r="59" spans="1:2" x14ac:dyDescent="0.3">
      <c r="A59" s="17" t="s">
        <v>30</v>
      </c>
      <c r="B59">
        <v>6781</v>
      </c>
    </row>
    <row r="60" spans="1:2" x14ac:dyDescent="0.3">
      <c r="A60" s="17" t="s">
        <v>105</v>
      </c>
      <c r="B60">
        <v>6367</v>
      </c>
    </row>
    <row r="61" spans="1:2" x14ac:dyDescent="0.3">
      <c r="A61" s="17" t="s">
        <v>77</v>
      </c>
      <c r="B61">
        <v>6364</v>
      </c>
    </row>
    <row r="62" spans="1:2" x14ac:dyDescent="0.3">
      <c r="A62" s="17" t="s">
        <v>92</v>
      </c>
      <c r="B62">
        <v>6329</v>
      </c>
    </row>
    <row r="63" spans="1:2" x14ac:dyDescent="0.3">
      <c r="A63" s="17" t="s">
        <v>34</v>
      </c>
      <c r="B63">
        <v>6186</v>
      </c>
    </row>
    <row r="64" spans="1:2" x14ac:dyDescent="0.3">
      <c r="A64" s="17" t="s">
        <v>83</v>
      </c>
      <c r="B64">
        <v>6162</v>
      </c>
    </row>
    <row r="65" spans="1:2" x14ac:dyDescent="0.3">
      <c r="A65" s="17" t="s">
        <v>36</v>
      </c>
      <c r="B65">
        <v>6133</v>
      </c>
    </row>
    <row r="66" spans="1:2" x14ac:dyDescent="0.3">
      <c r="A66" s="17" t="s">
        <v>88</v>
      </c>
      <c r="B66">
        <v>5915</v>
      </c>
    </row>
    <row r="67" spans="1:2" x14ac:dyDescent="0.3">
      <c r="A67" s="17" t="s">
        <v>120</v>
      </c>
      <c r="B67">
        <v>5903</v>
      </c>
    </row>
    <row r="68" spans="1:2" x14ac:dyDescent="0.3">
      <c r="A68" s="17" t="s">
        <v>58</v>
      </c>
      <c r="B68">
        <v>5896</v>
      </c>
    </row>
    <row r="69" spans="1:2" x14ac:dyDescent="0.3">
      <c r="A69" s="17" t="s">
        <v>118</v>
      </c>
      <c r="B69">
        <v>5878</v>
      </c>
    </row>
    <row r="70" spans="1:2" x14ac:dyDescent="0.3">
      <c r="A70" s="17" t="s">
        <v>47</v>
      </c>
      <c r="B70">
        <v>5299</v>
      </c>
    </row>
    <row r="71" spans="1:2" x14ac:dyDescent="0.3">
      <c r="A71" s="17" t="s">
        <v>85</v>
      </c>
      <c r="B71">
        <v>5099</v>
      </c>
    </row>
    <row r="72" spans="1:2" x14ac:dyDescent="0.3">
      <c r="A72" s="17" t="s">
        <v>94</v>
      </c>
      <c r="B72">
        <v>4813</v>
      </c>
    </row>
    <row r="73" spans="1:2" x14ac:dyDescent="0.3">
      <c r="A73" s="17" t="s">
        <v>112</v>
      </c>
      <c r="B73">
        <v>3892</v>
      </c>
    </row>
    <row r="74" spans="1:2" x14ac:dyDescent="0.3">
      <c r="A74" s="17" t="s">
        <v>86</v>
      </c>
      <c r="B74">
        <v>3625</v>
      </c>
    </row>
    <row r="75" spans="1:2" x14ac:dyDescent="0.3">
      <c r="A75" s="17" t="s">
        <v>56</v>
      </c>
      <c r="B75">
        <v>3104</v>
      </c>
    </row>
    <row r="76" spans="1:2" x14ac:dyDescent="0.3">
      <c r="A76" s="17" t="s">
        <v>59</v>
      </c>
      <c r="B76">
        <v>2748</v>
      </c>
    </row>
    <row r="77" spans="1:2" x14ac:dyDescent="0.3">
      <c r="A77" s="17" t="s">
        <v>95</v>
      </c>
      <c r="B77">
        <v>1546</v>
      </c>
    </row>
    <row r="78" spans="1:2" x14ac:dyDescent="0.3">
      <c r="A78" s="17" t="s">
        <v>123</v>
      </c>
      <c r="B78">
        <v>1529</v>
      </c>
    </row>
    <row r="79" spans="1:2" x14ac:dyDescent="0.3">
      <c r="A79" s="17" t="s">
        <v>52</v>
      </c>
      <c r="B79">
        <v>1201</v>
      </c>
    </row>
    <row r="80" spans="1:2" x14ac:dyDescent="0.3">
      <c r="A80" s="17" t="s">
        <v>113</v>
      </c>
      <c r="B80">
        <v>1082</v>
      </c>
    </row>
    <row r="81" spans="1:2" x14ac:dyDescent="0.3">
      <c r="A81" s="17" t="s">
        <v>119</v>
      </c>
      <c r="B81">
        <v>82</v>
      </c>
    </row>
    <row r="82" spans="1:2" x14ac:dyDescent="0.3">
      <c r="A82" s="17" t="s">
        <v>1044</v>
      </c>
      <c r="B82">
        <v>800433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A946-94A7-431B-BBF2-F27A467E14B7}">
  <dimension ref="A3:B24"/>
  <sheetViews>
    <sheetView workbookViewId="0">
      <selection activeCell="B4" sqref="B4:B23"/>
    </sheetView>
  </sheetViews>
  <sheetFormatPr defaultRowHeight="14.4" x14ac:dyDescent="0.3"/>
  <cols>
    <col min="1" max="1" width="17" bestFit="1" customWidth="1"/>
    <col min="2" max="2" width="34" bestFit="1" customWidth="1"/>
  </cols>
  <sheetData>
    <row r="3" spans="1:2" x14ac:dyDescent="0.3">
      <c r="A3" s="16" t="s">
        <v>1043</v>
      </c>
      <c r="B3" t="s">
        <v>1085</v>
      </c>
    </row>
    <row r="4" spans="1:2" x14ac:dyDescent="0.3">
      <c r="A4" s="17" t="s">
        <v>44</v>
      </c>
      <c r="B4" s="21">
        <v>3.2380952380952381</v>
      </c>
    </row>
    <row r="5" spans="1:2" x14ac:dyDescent="0.3">
      <c r="A5" s="17" t="s">
        <v>90</v>
      </c>
      <c r="B5" s="21">
        <v>3.1875</v>
      </c>
    </row>
    <row r="6" spans="1:2" x14ac:dyDescent="0.3">
      <c r="A6" s="17" t="s">
        <v>31</v>
      </c>
      <c r="B6" s="21">
        <v>3.1463414634146343</v>
      </c>
    </row>
    <row r="7" spans="1:2" x14ac:dyDescent="0.3">
      <c r="A7" s="17" t="s">
        <v>29</v>
      </c>
      <c r="B7" s="21">
        <v>3.1355932203389831</v>
      </c>
    </row>
    <row r="8" spans="1:2" x14ac:dyDescent="0.3">
      <c r="A8" s="17" t="s">
        <v>55</v>
      </c>
      <c r="B8" s="21">
        <v>3.1282051282051282</v>
      </c>
    </row>
    <row r="9" spans="1:2" x14ac:dyDescent="0.3">
      <c r="A9" s="17" t="s">
        <v>108</v>
      </c>
      <c r="B9" s="21">
        <v>3.1272727272727274</v>
      </c>
    </row>
    <row r="10" spans="1:2" x14ac:dyDescent="0.3">
      <c r="A10" s="17" t="s">
        <v>37</v>
      </c>
      <c r="B10" s="21">
        <v>3.0909090909090908</v>
      </c>
    </row>
    <row r="11" spans="1:2" x14ac:dyDescent="0.3">
      <c r="A11" s="17" t="s">
        <v>76</v>
      </c>
      <c r="B11" s="21">
        <v>3.0754716981132075</v>
      </c>
    </row>
    <row r="12" spans="1:2" x14ac:dyDescent="0.3">
      <c r="A12" s="17" t="s">
        <v>69</v>
      </c>
      <c r="B12" s="21">
        <v>3.0638297872340425</v>
      </c>
    </row>
    <row r="13" spans="1:2" x14ac:dyDescent="0.3">
      <c r="A13" s="17" t="s">
        <v>72</v>
      </c>
      <c r="B13" s="21">
        <v>3.0588235294117645</v>
      </c>
    </row>
    <row r="14" spans="1:2" x14ac:dyDescent="0.3">
      <c r="A14" s="17" t="s">
        <v>53</v>
      </c>
      <c r="B14" s="21">
        <v>3.0476190476190474</v>
      </c>
    </row>
    <row r="15" spans="1:2" x14ac:dyDescent="0.3">
      <c r="A15" s="17" t="s">
        <v>48</v>
      </c>
      <c r="B15" s="21">
        <v>2.9838709677419355</v>
      </c>
    </row>
    <row r="16" spans="1:2" x14ac:dyDescent="0.3">
      <c r="A16" s="17" t="s">
        <v>33</v>
      </c>
      <c r="B16" s="21">
        <v>2.9827586206896552</v>
      </c>
    </row>
    <row r="17" spans="1:2" x14ac:dyDescent="0.3">
      <c r="A17" s="17" t="s">
        <v>35</v>
      </c>
      <c r="B17" s="21">
        <v>2.9534883720930232</v>
      </c>
    </row>
    <row r="18" spans="1:2" x14ac:dyDescent="0.3">
      <c r="A18" s="17" t="s">
        <v>40</v>
      </c>
      <c r="B18" s="21">
        <v>2.941860465116279</v>
      </c>
    </row>
    <row r="19" spans="1:2" x14ac:dyDescent="0.3">
      <c r="A19" s="17" t="s">
        <v>60</v>
      </c>
      <c r="B19" s="21">
        <v>2.9272727272727272</v>
      </c>
    </row>
    <row r="20" spans="1:2" x14ac:dyDescent="0.3">
      <c r="A20" s="17" t="s">
        <v>57</v>
      </c>
      <c r="B20" s="21">
        <v>2.8846153846153846</v>
      </c>
    </row>
    <row r="21" spans="1:2" x14ac:dyDescent="0.3">
      <c r="A21" s="17" t="s">
        <v>46</v>
      </c>
      <c r="B21" s="21">
        <v>2.7627118644067798</v>
      </c>
    </row>
    <row r="22" spans="1:2" x14ac:dyDescent="0.3">
      <c r="A22" s="17" t="s">
        <v>42</v>
      </c>
      <c r="B22" s="21">
        <v>2.7209302325581395</v>
      </c>
    </row>
    <row r="23" spans="1:2" x14ac:dyDescent="0.3">
      <c r="A23" s="17" t="s">
        <v>50</v>
      </c>
      <c r="B23" s="21">
        <v>2.5873015873015874</v>
      </c>
    </row>
    <row r="24" spans="1:2" x14ac:dyDescent="0.3">
      <c r="A24" s="17" t="s">
        <v>1044</v>
      </c>
      <c r="B24">
        <v>2.99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016C-4682-4999-B2AA-36BB73195815}">
  <dimension ref="A3:B24"/>
  <sheetViews>
    <sheetView workbookViewId="0">
      <selection activeCell="A5" sqref="A5:B23"/>
    </sheetView>
  </sheetViews>
  <sheetFormatPr defaultRowHeight="14.4" x14ac:dyDescent="0.3"/>
  <cols>
    <col min="1" max="1" width="17" bestFit="1" customWidth="1"/>
    <col min="2" max="2" width="26" bestFit="1" customWidth="1"/>
  </cols>
  <sheetData>
    <row r="3" spans="1:2" x14ac:dyDescent="0.3">
      <c r="A3" s="16" t="s">
        <v>1043</v>
      </c>
      <c r="B3" t="s">
        <v>1059</v>
      </c>
    </row>
    <row r="4" spans="1:2" x14ac:dyDescent="0.3">
      <c r="A4" s="17" t="s">
        <v>40</v>
      </c>
      <c r="B4">
        <v>66945</v>
      </c>
    </row>
    <row r="5" spans="1:2" x14ac:dyDescent="0.3">
      <c r="A5" s="17" t="s">
        <v>48</v>
      </c>
      <c r="B5">
        <v>48797</v>
      </c>
    </row>
    <row r="6" spans="1:2" x14ac:dyDescent="0.3">
      <c r="A6" s="17" t="s">
        <v>108</v>
      </c>
      <c r="B6">
        <v>47223</v>
      </c>
    </row>
    <row r="7" spans="1:2" x14ac:dyDescent="0.3">
      <c r="A7" s="17" t="s">
        <v>33</v>
      </c>
      <c r="B7">
        <v>45862</v>
      </c>
    </row>
    <row r="8" spans="1:2" x14ac:dyDescent="0.3">
      <c r="A8" s="17" t="s">
        <v>72</v>
      </c>
      <c r="B8">
        <v>44539</v>
      </c>
    </row>
    <row r="9" spans="1:2" x14ac:dyDescent="0.3">
      <c r="A9" s="17" t="s">
        <v>76</v>
      </c>
      <c r="B9">
        <v>44468</v>
      </c>
    </row>
    <row r="10" spans="1:2" x14ac:dyDescent="0.3">
      <c r="A10" s="17" t="s">
        <v>50</v>
      </c>
      <c r="B10">
        <v>44265</v>
      </c>
    </row>
    <row r="11" spans="1:2" x14ac:dyDescent="0.3">
      <c r="A11" s="17" t="s">
        <v>29</v>
      </c>
      <c r="B11">
        <v>44151</v>
      </c>
    </row>
    <row r="12" spans="1:2" x14ac:dyDescent="0.3">
      <c r="A12" s="17" t="s">
        <v>60</v>
      </c>
      <c r="B12">
        <v>43626</v>
      </c>
    </row>
    <row r="13" spans="1:2" x14ac:dyDescent="0.3">
      <c r="A13" s="17" t="s">
        <v>37</v>
      </c>
      <c r="B13">
        <v>42352</v>
      </c>
    </row>
    <row r="14" spans="1:2" x14ac:dyDescent="0.3">
      <c r="A14" s="17" t="s">
        <v>44</v>
      </c>
      <c r="B14">
        <v>42165</v>
      </c>
    </row>
    <row r="15" spans="1:2" x14ac:dyDescent="0.3">
      <c r="A15" s="17" t="s">
        <v>46</v>
      </c>
      <c r="B15">
        <v>41745</v>
      </c>
    </row>
    <row r="16" spans="1:2" x14ac:dyDescent="0.3">
      <c r="A16" s="17" t="s">
        <v>69</v>
      </c>
      <c r="B16">
        <v>39632</v>
      </c>
    </row>
    <row r="17" spans="1:2" x14ac:dyDescent="0.3">
      <c r="A17" s="17" t="s">
        <v>35</v>
      </c>
      <c r="B17">
        <v>33802</v>
      </c>
    </row>
    <row r="18" spans="1:2" x14ac:dyDescent="0.3">
      <c r="A18" s="17" t="s">
        <v>55</v>
      </c>
      <c r="B18">
        <v>32430</v>
      </c>
    </row>
    <row r="19" spans="1:2" x14ac:dyDescent="0.3">
      <c r="A19" s="17" t="s">
        <v>31</v>
      </c>
      <c r="B19">
        <v>31147</v>
      </c>
    </row>
    <row r="20" spans="1:2" x14ac:dyDescent="0.3">
      <c r="A20" s="17" t="s">
        <v>53</v>
      </c>
      <c r="B20">
        <v>30543</v>
      </c>
    </row>
    <row r="21" spans="1:2" x14ac:dyDescent="0.3">
      <c r="A21" s="17" t="s">
        <v>42</v>
      </c>
      <c r="B21">
        <v>28053</v>
      </c>
    </row>
    <row r="22" spans="1:2" x14ac:dyDescent="0.3">
      <c r="A22" s="17" t="s">
        <v>90</v>
      </c>
      <c r="B22">
        <v>27375</v>
      </c>
    </row>
    <row r="23" spans="1:2" x14ac:dyDescent="0.3">
      <c r="A23" s="17" t="s">
        <v>57</v>
      </c>
      <c r="B23">
        <v>21313</v>
      </c>
    </row>
    <row r="24" spans="1:2" x14ac:dyDescent="0.3">
      <c r="A24" s="17" t="s">
        <v>1044</v>
      </c>
      <c r="B24">
        <v>800433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P1" workbookViewId="0">
      <selection activeCell="W27" sqref="W27"/>
    </sheetView>
  </sheetViews>
  <sheetFormatPr defaultColWidth="8.77734375" defaultRowHeight="14.4" x14ac:dyDescent="0.3"/>
  <cols>
    <col min="1" max="1" width="8.88671875" customWidth="1"/>
    <col min="2" max="2" width="10.88671875" customWidth="1"/>
    <col min="3" max="3" width="20.21875" customWidth="1"/>
    <col min="4" max="4" width="19.44140625" customWidth="1"/>
    <col min="5" max="5" width="13.109375" customWidth="1"/>
    <col min="6" max="6" width="19.88671875" customWidth="1"/>
    <col min="7" max="7" width="20.109375" bestFit="1" customWidth="1"/>
    <col min="8" max="8" width="11.88671875" customWidth="1"/>
    <col min="9" max="9" width="20.88671875" bestFit="1" customWidth="1"/>
    <col min="10" max="10" width="34" style="21" bestFit="1" customWidth="1"/>
    <col min="11" max="11" width="23.109375" style="24" bestFit="1" customWidth="1"/>
    <col min="12" max="12" width="21.77734375" bestFit="1" customWidth="1"/>
    <col min="13" max="13" width="24.33203125" bestFit="1" customWidth="1"/>
    <col min="14" max="14" width="35" style="29" customWidth="1"/>
    <col min="15" max="15" width="28.77734375" style="32" bestFit="1" customWidth="1"/>
    <col min="16" max="16" width="42" bestFit="1" customWidth="1"/>
    <col min="17" max="17" width="12" bestFit="1" customWidth="1"/>
  </cols>
  <sheetData>
    <row r="1" spans="1:17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1060</v>
      </c>
      <c r="J1" s="20" t="s">
        <v>1063</v>
      </c>
      <c r="K1" s="23" t="s">
        <v>1064</v>
      </c>
      <c r="L1" s="15" t="s">
        <v>1062</v>
      </c>
      <c r="M1" s="15" t="s">
        <v>1089</v>
      </c>
      <c r="N1" s="28" t="s">
        <v>1068</v>
      </c>
      <c r="O1" s="31" t="s">
        <v>1009</v>
      </c>
      <c r="P1" s="15" t="s">
        <v>1072</v>
      </c>
      <c r="Q1" s="15" t="s">
        <v>1077</v>
      </c>
    </row>
    <row r="2" spans="1:17" x14ac:dyDescent="0.3">
      <c r="A2">
        <v>1</v>
      </c>
      <c r="B2">
        <v>300</v>
      </c>
      <c r="C2">
        <v>103</v>
      </c>
      <c r="D2">
        <v>4</v>
      </c>
      <c r="E2">
        <v>412</v>
      </c>
      <c r="F2" s="32">
        <v>45187</v>
      </c>
      <c r="G2" t="s">
        <v>8</v>
      </c>
      <c r="H2">
        <v>315</v>
      </c>
      <c r="I2" t="str">
        <f>VLOOKUP(B2,товар!$A$1:$C$433,2,FALSE)</f>
        <v>Сахар</v>
      </c>
      <c r="J2" s="22">
        <f t="shared" ref="J2:J65" si="0">AVERAGEIF($I$2:$I$1001,I2,$C$2:$C$1001)</f>
        <v>252.76271186440678</v>
      </c>
      <c r="K2" s="24">
        <f t="shared" ref="K2:K65" si="1">C2/J2-1</f>
        <v>-0.59250318514048139</v>
      </c>
      <c r="L2" t="str">
        <f>VLOOKUP(B2,товар!$A$1:$C$433,3,FALSE)</f>
        <v>Продимекс</v>
      </c>
      <c r="M2" s="24">
        <f t="shared" ref="M2:M65" si="2">C2/N2-1</f>
        <v>-0.5717255717255717</v>
      </c>
      <c r="N2" s="29">
        <f t="shared" ref="N2:N65" si="3">AVERAGEIFS($C$2:$C$1001,$I$2:$I$1001,I2,$L$2:$L$1001,L2)</f>
        <v>240.5</v>
      </c>
      <c r="O2" s="32">
        <f>VLOOKUP(H2,клиенты!$A$2:$G$435,5,FALSE)</f>
        <v>44747</v>
      </c>
      <c r="P2">
        <f>Продажи[[#This Row],[дата создания чека]]-Продажи[[#This Row],[Дата регистрации клиента]]</f>
        <v>440</v>
      </c>
      <c r="Q2" t="str">
        <f>VLOOKUP(H2,Таблица3[],7,FALSE)</f>
        <v>Узбекистан</v>
      </c>
    </row>
    <row r="3" spans="1:17" x14ac:dyDescent="0.3">
      <c r="A3">
        <v>2</v>
      </c>
      <c r="B3">
        <v>486</v>
      </c>
      <c r="C3">
        <v>296</v>
      </c>
      <c r="D3">
        <v>3</v>
      </c>
      <c r="E3">
        <v>888</v>
      </c>
      <c r="F3" s="32">
        <v>45083</v>
      </c>
      <c r="G3" t="s">
        <v>9</v>
      </c>
      <c r="H3">
        <v>253</v>
      </c>
      <c r="I3" t="str">
        <f>VLOOKUP(B3,товар!$A$1:$C$433,2,FALSE)</f>
        <v>Соль</v>
      </c>
      <c r="J3" s="22">
        <f t="shared" si="0"/>
        <v>264.8679245283019</v>
      </c>
      <c r="K3" s="24">
        <f t="shared" si="1"/>
        <v>0.11753811084200017</v>
      </c>
      <c r="L3" t="str">
        <f>VLOOKUP(B3,товар!$A$1:$C$433,3,FALSE)</f>
        <v>Илецкая</v>
      </c>
      <c r="M3" s="24">
        <f t="shared" si="2"/>
        <v>0.24282715185444381</v>
      </c>
      <c r="N3" s="29">
        <f t="shared" si="3"/>
        <v>238.16666666666666</v>
      </c>
      <c r="O3" s="32">
        <f>VLOOKUP(H3,клиенты!$A$2:$G$435,5,FALSE)</f>
        <v>44750</v>
      </c>
      <c r="P3">
        <f>Продажи[[#This Row],[дата создания чека]]-Продажи[[#This Row],[Дата регистрации клиента]]</f>
        <v>333</v>
      </c>
      <c r="Q3" t="str">
        <f>VLOOKUP(H3,Таблица3[],7,FALSE)</f>
        <v>Беларусь</v>
      </c>
    </row>
    <row r="4" spans="1:17" x14ac:dyDescent="0.3">
      <c r="A4">
        <v>3</v>
      </c>
      <c r="B4">
        <v>76</v>
      </c>
      <c r="C4">
        <v>139</v>
      </c>
      <c r="D4">
        <v>5</v>
      </c>
      <c r="E4">
        <v>695</v>
      </c>
      <c r="F4" s="32">
        <v>45363</v>
      </c>
      <c r="G4" t="s">
        <v>10</v>
      </c>
      <c r="H4">
        <v>12</v>
      </c>
      <c r="I4" t="str">
        <f>VLOOKUP(B4,товар!$A$1:$C$433,2,FALSE)</f>
        <v>Печенье</v>
      </c>
      <c r="J4" s="22">
        <f t="shared" si="0"/>
        <v>283.468085106383</v>
      </c>
      <c r="K4" s="24">
        <f t="shared" si="1"/>
        <v>-0.50964497485551308</v>
      </c>
      <c r="L4" t="str">
        <f>VLOOKUP(B4,товар!$A$1:$C$433,3,FALSE)</f>
        <v>Юбилейное</v>
      </c>
      <c r="M4" s="24">
        <f t="shared" si="2"/>
        <v>-0.40200764818355639</v>
      </c>
      <c r="N4" s="29">
        <f t="shared" si="3"/>
        <v>232.44444444444446</v>
      </c>
      <c r="O4" s="32">
        <f>VLOOKUP(H4,клиенты!$A$2:$G$435,5,FALSE)</f>
        <v>44842</v>
      </c>
      <c r="P4">
        <f>Продажи[[#This Row],[дата создания чека]]-Продажи[[#This Row],[Дата регистрации клиента]]</f>
        <v>521</v>
      </c>
      <c r="Q4" t="str">
        <f>VLOOKUP(H4,Таблица3[],7,FALSE)</f>
        <v>Беларусь</v>
      </c>
    </row>
    <row r="5" spans="1:17" x14ac:dyDescent="0.3">
      <c r="A5">
        <v>4</v>
      </c>
      <c r="B5">
        <v>240</v>
      </c>
      <c r="C5">
        <v>141</v>
      </c>
      <c r="D5">
        <v>5</v>
      </c>
      <c r="E5">
        <v>705</v>
      </c>
      <c r="F5" s="32">
        <v>45262</v>
      </c>
      <c r="G5" t="s">
        <v>11</v>
      </c>
      <c r="H5">
        <v>116</v>
      </c>
      <c r="I5" t="str">
        <f>VLOOKUP(B5,товар!$A$1:$C$433,2,FALSE)</f>
        <v>Макароны</v>
      </c>
      <c r="J5" s="22">
        <f t="shared" si="0"/>
        <v>265.47674418604652</v>
      </c>
      <c r="K5" s="24">
        <f t="shared" si="1"/>
        <v>-0.46888003153606939</v>
      </c>
      <c r="L5" t="str">
        <f>VLOOKUP(B5,товар!$A$1:$C$433,3,FALSE)</f>
        <v>Борилла</v>
      </c>
      <c r="M5" s="24">
        <f t="shared" si="2"/>
        <v>-0.40323992994746061</v>
      </c>
      <c r="N5" s="29">
        <f t="shared" si="3"/>
        <v>236.27586206896552</v>
      </c>
      <c r="O5" s="32">
        <f>VLOOKUP(H5,клиенты!$A$2:$G$435,5,FALSE)</f>
        <v>44643</v>
      </c>
      <c r="P5">
        <f>Продажи[[#This Row],[дата создания чека]]-Продажи[[#This Row],[Дата регистрации клиента]]</f>
        <v>619</v>
      </c>
      <c r="Q5" t="str">
        <f>VLOOKUP(H5,Таблица3[],7,FALSE)</f>
        <v>Россия</v>
      </c>
    </row>
    <row r="6" spans="1:17" x14ac:dyDescent="0.3">
      <c r="A6">
        <v>5</v>
      </c>
      <c r="B6">
        <v>32</v>
      </c>
      <c r="C6">
        <v>123</v>
      </c>
      <c r="D6">
        <v>2</v>
      </c>
      <c r="E6">
        <v>246</v>
      </c>
      <c r="F6" s="32">
        <v>45151</v>
      </c>
      <c r="G6" t="s">
        <v>12</v>
      </c>
      <c r="H6">
        <v>471</v>
      </c>
      <c r="I6" t="str">
        <f>VLOOKUP(B6,товар!$A$1:$C$433,2,FALSE)</f>
        <v>Овощи</v>
      </c>
      <c r="J6" s="22">
        <f t="shared" si="0"/>
        <v>250.48780487804879</v>
      </c>
      <c r="K6" s="24">
        <f t="shared" si="1"/>
        <v>-0.5089581304771178</v>
      </c>
      <c r="L6" t="str">
        <f>VLOOKUP(B6,товар!$A$1:$C$433,3,FALSE)</f>
        <v>Зеленая грядка</v>
      </c>
      <c r="M6" s="24">
        <f t="shared" si="2"/>
        <v>-0.22738693467336679</v>
      </c>
      <c r="N6" s="29">
        <f t="shared" si="3"/>
        <v>159.19999999999999</v>
      </c>
      <c r="O6" s="32">
        <f>VLOOKUP(H6,клиенты!$A$2:$G$435,5,FALSE)</f>
        <v>44577</v>
      </c>
      <c r="P6">
        <f>Продажи[[#This Row],[дата создания чека]]-Продажи[[#This Row],[Дата регистрации клиента]]</f>
        <v>574</v>
      </c>
      <c r="Q6" t="str">
        <f>VLOOKUP(H6,Таблица3[],7,FALSE)</f>
        <v>Украина</v>
      </c>
    </row>
    <row r="7" spans="1:17" x14ac:dyDescent="0.3">
      <c r="A7">
        <v>6</v>
      </c>
      <c r="B7">
        <v>162</v>
      </c>
      <c r="C7">
        <v>452</v>
      </c>
      <c r="D7">
        <v>2</v>
      </c>
      <c r="E7">
        <v>904</v>
      </c>
      <c r="F7" s="32">
        <v>45281</v>
      </c>
      <c r="G7" t="s">
        <v>8</v>
      </c>
      <c r="H7">
        <v>374</v>
      </c>
      <c r="I7" t="str">
        <f>VLOOKUP(B7,товар!$A$1:$C$433,2,FALSE)</f>
        <v>Сок</v>
      </c>
      <c r="J7" s="22">
        <f t="shared" si="0"/>
        <v>268.60344827586209</v>
      </c>
      <c r="K7" s="24">
        <f t="shared" si="1"/>
        <v>0.68277809872263928</v>
      </c>
      <c r="L7" t="str">
        <f>VLOOKUP(B7,товар!$A$1:$C$433,3,FALSE)</f>
        <v>Фруктовый сад</v>
      </c>
      <c r="M7" s="24">
        <f t="shared" si="2"/>
        <v>0.60301451845284282</v>
      </c>
      <c r="N7" s="29">
        <f t="shared" si="3"/>
        <v>281.96875</v>
      </c>
      <c r="O7" s="32">
        <f>VLOOKUP(H7,клиенты!$A$2:$G$435,5,FALSE)</f>
        <v>44582</v>
      </c>
      <c r="P7">
        <f>Продажи[[#This Row],[дата создания чека]]-Продажи[[#This Row],[Дата регистрации клиента]]</f>
        <v>699</v>
      </c>
      <c r="Q7" t="str">
        <f>VLOOKUP(H7,Таблица3[],7,FALSE)</f>
        <v>Украина</v>
      </c>
    </row>
    <row r="8" spans="1:17" x14ac:dyDescent="0.3">
      <c r="A8">
        <v>7</v>
      </c>
      <c r="B8">
        <v>323</v>
      </c>
      <c r="C8">
        <v>149</v>
      </c>
      <c r="D8">
        <v>5</v>
      </c>
      <c r="E8">
        <v>745</v>
      </c>
      <c r="F8" s="32">
        <v>45349</v>
      </c>
      <c r="G8" t="s">
        <v>13</v>
      </c>
      <c r="H8">
        <v>477</v>
      </c>
      <c r="I8" t="str">
        <f>VLOOKUP(B8,товар!$A$1:$C$433,2,FALSE)</f>
        <v>Рыба</v>
      </c>
      <c r="J8" s="22">
        <f t="shared" si="0"/>
        <v>258.5128205128205</v>
      </c>
      <c r="K8" s="24">
        <f t="shared" si="1"/>
        <v>-0.42362626463003372</v>
      </c>
      <c r="L8" t="str">
        <f>VLOOKUP(B8,товар!$A$1:$C$433,3,FALSE)</f>
        <v>Меридиан</v>
      </c>
      <c r="M8" s="24">
        <f t="shared" si="2"/>
        <v>-0.42834574588129082</v>
      </c>
      <c r="N8" s="29">
        <f t="shared" si="3"/>
        <v>260.64705882352939</v>
      </c>
      <c r="O8" s="32">
        <f>VLOOKUP(H8,клиенты!$A$2:$G$435,5,FALSE)</f>
        <v>44738</v>
      </c>
      <c r="P8">
        <f>Продажи[[#This Row],[дата создания чека]]-Продажи[[#This Row],[Дата регистрации клиента]]</f>
        <v>611</v>
      </c>
      <c r="Q8" t="str">
        <f>VLOOKUP(H8,Таблица3[],7,FALSE)</f>
        <v>Узбекистан</v>
      </c>
    </row>
    <row r="9" spans="1:17" x14ac:dyDescent="0.3">
      <c r="A9">
        <v>8</v>
      </c>
      <c r="B9">
        <v>60</v>
      </c>
      <c r="C9">
        <v>489</v>
      </c>
      <c r="D9">
        <v>4</v>
      </c>
      <c r="E9">
        <v>1956</v>
      </c>
      <c r="F9" s="32">
        <v>45327</v>
      </c>
      <c r="G9" t="s">
        <v>14</v>
      </c>
      <c r="H9">
        <v>335</v>
      </c>
      <c r="I9" t="str">
        <f>VLOOKUP(B9,товар!$A$1:$C$433,2,FALSE)</f>
        <v>Кофе</v>
      </c>
      <c r="J9" s="22">
        <f t="shared" si="0"/>
        <v>249.02380952380952</v>
      </c>
      <c r="K9" s="24">
        <f t="shared" si="1"/>
        <v>0.9636676546514964</v>
      </c>
      <c r="L9" t="str">
        <f>VLOOKUP(B9,товар!$A$1:$C$433,3,FALSE)</f>
        <v>Jacobs</v>
      </c>
      <c r="M9" s="24">
        <f t="shared" si="2"/>
        <v>0.77038871951219501</v>
      </c>
      <c r="N9" s="29">
        <f t="shared" si="3"/>
        <v>276.21052631578948</v>
      </c>
      <c r="O9" s="32">
        <f>VLOOKUP(H9,клиенты!$A$2:$G$435,5,FALSE)</f>
        <v>44619</v>
      </c>
      <c r="P9">
        <f>Продажи[[#This Row],[дата создания чека]]-Продажи[[#This Row],[Дата регистрации клиента]]</f>
        <v>708</v>
      </c>
      <c r="Q9" t="str">
        <f>VLOOKUP(H9,Таблица3[],7,FALSE)</f>
        <v>Узбекистан</v>
      </c>
    </row>
    <row r="10" spans="1:17" x14ac:dyDescent="0.3">
      <c r="A10">
        <v>9</v>
      </c>
      <c r="B10">
        <v>401</v>
      </c>
      <c r="C10">
        <v>416</v>
      </c>
      <c r="D10">
        <v>5</v>
      </c>
      <c r="E10">
        <v>2080</v>
      </c>
      <c r="F10" s="32">
        <v>45376</v>
      </c>
      <c r="G10" t="s">
        <v>15</v>
      </c>
      <c r="H10">
        <v>350</v>
      </c>
      <c r="I10" t="str">
        <f>VLOOKUP(B10,товар!$A$1:$C$433,2,FALSE)</f>
        <v>Чай</v>
      </c>
      <c r="J10" s="22">
        <f t="shared" si="0"/>
        <v>271.18181818181819</v>
      </c>
      <c r="K10" s="24">
        <f t="shared" si="1"/>
        <v>0.53402614817298022</v>
      </c>
      <c r="L10" t="str">
        <f>VLOOKUP(B10,товар!$A$1:$C$433,3,FALSE)</f>
        <v>Greenfield</v>
      </c>
      <c r="M10" s="24">
        <f t="shared" si="2"/>
        <v>0.42732376793512161</v>
      </c>
      <c r="N10" s="29">
        <f t="shared" si="3"/>
        <v>291.45454545454544</v>
      </c>
      <c r="O10" s="32">
        <f>VLOOKUP(H10,клиенты!$A$2:$G$435,5,FALSE)</f>
        <v>44684</v>
      </c>
      <c r="P10">
        <f>Продажи[[#This Row],[дата создания чека]]-Продажи[[#This Row],[Дата регистрации клиента]]</f>
        <v>692</v>
      </c>
      <c r="Q10" t="str">
        <f>VLOOKUP(H10,Таблица3[],7,FALSE)</f>
        <v>Украина</v>
      </c>
    </row>
    <row r="11" spans="1:17" x14ac:dyDescent="0.3">
      <c r="A11">
        <v>10</v>
      </c>
      <c r="B11">
        <v>100</v>
      </c>
      <c r="C11">
        <v>449</v>
      </c>
      <c r="D11">
        <v>2</v>
      </c>
      <c r="E11">
        <v>898</v>
      </c>
      <c r="F11" s="32">
        <v>45032</v>
      </c>
      <c r="G11" t="s">
        <v>13</v>
      </c>
      <c r="H11">
        <v>413</v>
      </c>
      <c r="I11" t="str">
        <f>VLOOKUP(B11,товар!$A$1:$C$433,2,FALSE)</f>
        <v>Йогурт</v>
      </c>
      <c r="J11" s="22">
        <f t="shared" si="0"/>
        <v>263.25423728813558</v>
      </c>
      <c r="K11" s="24">
        <f t="shared" si="1"/>
        <v>0.7055755858872006</v>
      </c>
      <c r="L11" t="str">
        <f>VLOOKUP(B11,товар!$A$1:$C$433,3,FALSE)</f>
        <v>Ростагроэкспорт</v>
      </c>
      <c r="M11" s="24">
        <f t="shared" si="2"/>
        <v>0.74177770281666366</v>
      </c>
      <c r="N11" s="29">
        <f t="shared" si="3"/>
        <v>257.78260869565219</v>
      </c>
      <c r="O11" s="32">
        <f>VLOOKUP(H11,клиенты!$A$2:$G$435,5,FALSE)</f>
        <v>44699</v>
      </c>
      <c r="P11">
        <f>Продажи[[#This Row],[дата создания чека]]-Продажи[[#This Row],[Дата регистрации клиента]]</f>
        <v>333</v>
      </c>
      <c r="Q11" t="str">
        <f>VLOOKUP(H11,Таблица3[],7,FALSE)</f>
        <v>Россия</v>
      </c>
    </row>
    <row r="12" spans="1:17" x14ac:dyDescent="0.3">
      <c r="A12">
        <v>11</v>
      </c>
      <c r="B12">
        <v>217</v>
      </c>
      <c r="C12">
        <v>296</v>
      </c>
      <c r="D12">
        <v>2</v>
      </c>
      <c r="E12">
        <v>592</v>
      </c>
      <c r="F12" s="32">
        <v>45136</v>
      </c>
      <c r="G12" t="s">
        <v>13</v>
      </c>
      <c r="H12">
        <v>495</v>
      </c>
      <c r="I12" t="str">
        <f>VLOOKUP(B12,товар!$A$1:$C$433,2,FALSE)</f>
        <v>Мясо</v>
      </c>
      <c r="J12" s="22">
        <f t="shared" si="0"/>
        <v>271.74545454545455</v>
      </c>
      <c r="K12" s="24">
        <f t="shared" si="1"/>
        <v>8.925465007359823E-2</v>
      </c>
      <c r="L12" t="str">
        <f>VLOOKUP(B12,товар!$A$1:$C$433,3,FALSE)</f>
        <v>Агрокомплекс</v>
      </c>
      <c r="M12" s="24">
        <f t="shared" si="2"/>
        <v>-4.8843187660668308E-2</v>
      </c>
      <c r="N12" s="29">
        <f t="shared" si="3"/>
        <v>311.2</v>
      </c>
      <c r="O12" s="32">
        <f>VLOOKUP(H12,клиенты!$A$2:$G$435,5,FALSE)</f>
        <v>44654</v>
      </c>
      <c r="P12">
        <f>Продажи[[#This Row],[дата создания чека]]-Продажи[[#This Row],[Дата регистрации клиента]]</f>
        <v>482</v>
      </c>
      <c r="Q12" t="str">
        <f>VLOOKUP(H12,Таблица3[],7,FALSE)</f>
        <v>Узбекистан</v>
      </c>
    </row>
    <row r="13" spans="1:17" x14ac:dyDescent="0.3">
      <c r="A13">
        <v>12</v>
      </c>
      <c r="B13">
        <v>445</v>
      </c>
      <c r="C13">
        <v>109</v>
      </c>
      <c r="D13">
        <v>5</v>
      </c>
      <c r="E13">
        <v>545</v>
      </c>
      <c r="F13" s="32">
        <v>45394</v>
      </c>
      <c r="G13" t="s">
        <v>14</v>
      </c>
      <c r="H13">
        <v>353</v>
      </c>
      <c r="I13" t="str">
        <f>VLOOKUP(B13,товар!$A$1:$C$433,2,FALSE)</f>
        <v>Сахар</v>
      </c>
      <c r="J13" s="22">
        <f t="shared" si="0"/>
        <v>252.76271186440678</v>
      </c>
      <c r="K13" s="24">
        <f t="shared" si="1"/>
        <v>-0.56876550660497549</v>
      </c>
      <c r="L13" t="str">
        <f>VLOOKUP(B13,товар!$A$1:$C$433,3,FALSE)</f>
        <v>Сладов</v>
      </c>
      <c r="M13" s="24">
        <f t="shared" si="2"/>
        <v>-0.54633740288568267</v>
      </c>
      <c r="N13" s="29">
        <f t="shared" si="3"/>
        <v>240.26666666666668</v>
      </c>
      <c r="O13" s="32">
        <f>VLOOKUP(H13,клиенты!$A$2:$G$435,5,FALSE)</f>
        <v>44656</v>
      </c>
      <c r="P13">
        <f>Продажи[[#This Row],[дата создания чека]]-Продажи[[#This Row],[Дата регистрации клиента]]</f>
        <v>738</v>
      </c>
      <c r="Q13" t="str">
        <f>VLOOKUP(H13,Таблица3[],7,FALSE)</f>
        <v>Таджикистан</v>
      </c>
    </row>
    <row r="14" spans="1:17" x14ac:dyDescent="0.3">
      <c r="A14">
        <v>13</v>
      </c>
      <c r="B14">
        <v>284</v>
      </c>
      <c r="C14">
        <v>213</v>
      </c>
      <c r="D14">
        <v>3</v>
      </c>
      <c r="E14">
        <v>639</v>
      </c>
      <c r="F14" s="32">
        <v>45266</v>
      </c>
      <c r="G14" t="s">
        <v>10</v>
      </c>
      <c r="H14">
        <v>332</v>
      </c>
      <c r="I14" t="str">
        <f>VLOOKUP(B14,товар!$A$1:$C$433,2,FALSE)</f>
        <v>Мясо</v>
      </c>
      <c r="J14" s="22">
        <f t="shared" si="0"/>
        <v>271.74545454545455</v>
      </c>
      <c r="K14" s="24">
        <f t="shared" si="1"/>
        <v>-0.21617824167001209</v>
      </c>
      <c r="L14" t="str">
        <f>VLOOKUP(B14,товар!$A$1:$C$433,3,FALSE)</f>
        <v>Сава</v>
      </c>
      <c r="M14" s="24">
        <f t="shared" si="2"/>
        <v>8.8105726872256263E-4</v>
      </c>
      <c r="N14" s="29">
        <f t="shared" si="3"/>
        <v>212.8125</v>
      </c>
      <c r="O14" s="32">
        <f>VLOOKUP(H14,клиенты!$A$2:$G$435,5,FALSE)</f>
        <v>44858</v>
      </c>
      <c r="P14">
        <f>Продажи[[#This Row],[дата создания чека]]-Продажи[[#This Row],[Дата регистрации клиента]]</f>
        <v>408</v>
      </c>
      <c r="Q14" t="str">
        <f>VLOOKUP(H14,Таблица3[],7,FALSE)</f>
        <v>Узбекистан</v>
      </c>
    </row>
    <row r="15" spans="1:17" x14ac:dyDescent="0.3">
      <c r="A15">
        <v>14</v>
      </c>
      <c r="B15">
        <v>116</v>
      </c>
      <c r="C15">
        <v>190</v>
      </c>
      <c r="D15">
        <v>4</v>
      </c>
      <c r="E15">
        <v>760</v>
      </c>
      <c r="F15" s="32">
        <v>45133</v>
      </c>
      <c r="G15" t="s">
        <v>11</v>
      </c>
      <c r="H15">
        <v>414</v>
      </c>
      <c r="I15" t="str">
        <f>VLOOKUP(B15,товар!$A$1:$C$433,2,FALSE)</f>
        <v>Соль</v>
      </c>
      <c r="J15" s="22">
        <f t="shared" si="0"/>
        <v>264.8679245283019</v>
      </c>
      <c r="K15" s="24">
        <f t="shared" si="1"/>
        <v>-0.28266134777033769</v>
      </c>
      <c r="L15" t="str">
        <f>VLOOKUP(B15,товар!$A$1:$C$433,3,FALSE)</f>
        <v>Экстра</v>
      </c>
      <c r="M15" s="24">
        <f t="shared" si="2"/>
        <v>-0.40781587149364662</v>
      </c>
      <c r="N15" s="29">
        <f t="shared" si="3"/>
        <v>320.84615384615387</v>
      </c>
      <c r="O15" s="32">
        <f>VLOOKUP(H15,клиенты!$A$2:$G$435,5,FALSE)</f>
        <v>44794</v>
      </c>
      <c r="P15">
        <f>Продажи[[#This Row],[дата создания чека]]-Продажи[[#This Row],[Дата регистрации клиента]]</f>
        <v>339</v>
      </c>
      <c r="Q15" t="str">
        <f>VLOOKUP(H15,Таблица3[],7,FALSE)</f>
        <v>Беларусь</v>
      </c>
    </row>
    <row r="16" spans="1:17" x14ac:dyDescent="0.3">
      <c r="A16">
        <v>15</v>
      </c>
      <c r="B16">
        <v>378</v>
      </c>
      <c r="C16">
        <v>237</v>
      </c>
      <c r="D16">
        <v>1</v>
      </c>
      <c r="E16">
        <v>237</v>
      </c>
      <c r="F16" s="32">
        <v>44972</v>
      </c>
      <c r="G16" t="s">
        <v>13</v>
      </c>
      <c r="H16">
        <v>236</v>
      </c>
      <c r="I16" t="str">
        <f>VLOOKUP(B16,товар!$A$1:$C$433,2,FALSE)</f>
        <v>Сок</v>
      </c>
      <c r="J16" s="22">
        <f t="shared" si="0"/>
        <v>268.60344827586209</v>
      </c>
      <c r="K16" s="24">
        <f t="shared" si="1"/>
        <v>-0.11765838628923564</v>
      </c>
      <c r="L16" t="str">
        <f>VLOOKUP(B16,товар!$A$1:$C$433,3,FALSE)</f>
        <v>Фруктовый сад</v>
      </c>
      <c r="M16" s="24">
        <f t="shared" si="2"/>
        <v>-0.15948132550149619</v>
      </c>
      <c r="N16" s="29">
        <f t="shared" si="3"/>
        <v>281.96875</v>
      </c>
      <c r="O16" s="32">
        <f>VLOOKUP(H16,клиенты!$A$2:$G$435,5,FALSE)</f>
        <v>44820</v>
      </c>
      <c r="P16">
        <f>Продажи[[#This Row],[дата создания чека]]-Продажи[[#This Row],[Дата регистрации клиента]]</f>
        <v>152</v>
      </c>
      <c r="Q16" t="str">
        <f>VLOOKUP(H16,Таблица3[],7,FALSE)</f>
        <v>Узбекистан</v>
      </c>
    </row>
    <row r="17" spans="1:17" x14ac:dyDescent="0.3">
      <c r="A17">
        <v>16</v>
      </c>
      <c r="B17">
        <v>299</v>
      </c>
      <c r="C17">
        <v>178</v>
      </c>
      <c r="D17">
        <v>3</v>
      </c>
      <c r="E17">
        <v>534</v>
      </c>
      <c r="F17" s="32">
        <v>44980</v>
      </c>
      <c r="G17" t="s">
        <v>14</v>
      </c>
      <c r="H17">
        <v>164</v>
      </c>
      <c r="I17" t="str">
        <f>VLOOKUP(B17,товар!$A$1:$C$433,2,FALSE)</f>
        <v>Чай</v>
      </c>
      <c r="J17" s="22">
        <f t="shared" si="0"/>
        <v>271.18181818181819</v>
      </c>
      <c r="K17" s="24">
        <f t="shared" si="1"/>
        <v>-0.34361381159906135</v>
      </c>
      <c r="L17" t="str">
        <f>VLOOKUP(B17,товар!$A$1:$C$433,3,FALSE)</f>
        <v>Lipton</v>
      </c>
      <c r="M17" s="24">
        <f t="shared" si="2"/>
        <v>-0.315800121383775</v>
      </c>
      <c r="N17" s="29">
        <f t="shared" si="3"/>
        <v>260.15789473684208</v>
      </c>
      <c r="O17" s="32">
        <f>VLOOKUP(H17,клиенты!$A$2:$G$435,5,FALSE)</f>
        <v>44678</v>
      </c>
      <c r="P17">
        <f>Продажи[[#This Row],[дата создания чека]]-Продажи[[#This Row],[Дата регистрации клиента]]</f>
        <v>302</v>
      </c>
      <c r="Q17" t="str">
        <f>VLOOKUP(H17,Таблица3[],7,FALSE)</f>
        <v>Россия</v>
      </c>
    </row>
    <row r="18" spans="1:17" x14ac:dyDescent="0.3">
      <c r="A18">
        <v>17</v>
      </c>
      <c r="B18">
        <v>359</v>
      </c>
      <c r="C18">
        <v>320</v>
      </c>
      <c r="D18">
        <v>5</v>
      </c>
      <c r="E18">
        <v>1600</v>
      </c>
      <c r="F18" s="32">
        <v>45216</v>
      </c>
      <c r="G18" t="s">
        <v>16</v>
      </c>
      <c r="H18">
        <v>490</v>
      </c>
      <c r="I18" t="str">
        <f>VLOOKUP(B18,товар!$A$1:$C$433,2,FALSE)</f>
        <v>Мясо</v>
      </c>
      <c r="J18" s="22">
        <f t="shared" si="0"/>
        <v>271.74545454545455</v>
      </c>
      <c r="K18" s="24">
        <f t="shared" si="1"/>
        <v>0.1775725946741602</v>
      </c>
      <c r="L18" t="str">
        <f>VLOOKUP(B18,товар!$A$1:$C$433,3,FALSE)</f>
        <v>Мираторг</v>
      </c>
      <c r="M18" s="24">
        <f t="shared" si="2"/>
        <v>1.0792313766780692E-2</v>
      </c>
      <c r="N18" s="29">
        <f t="shared" si="3"/>
        <v>316.58333333333331</v>
      </c>
      <c r="O18" s="32">
        <f>VLOOKUP(H18,клиенты!$A$2:$G$435,5,FALSE)</f>
        <v>44603</v>
      </c>
      <c r="P18">
        <f>Продажи[[#This Row],[дата создания чека]]-Продажи[[#This Row],[Дата регистрации клиента]]</f>
        <v>613</v>
      </c>
      <c r="Q18" t="str">
        <f>VLOOKUP(H18,Таблица3[],7,FALSE)</f>
        <v>Россия</v>
      </c>
    </row>
    <row r="19" spans="1:17" x14ac:dyDescent="0.3">
      <c r="A19">
        <v>18</v>
      </c>
      <c r="B19">
        <v>337</v>
      </c>
      <c r="C19">
        <v>419</v>
      </c>
      <c r="D19">
        <v>2</v>
      </c>
      <c r="E19">
        <v>838</v>
      </c>
      <c r="F19" s="32">
        <v>45116</v>
      </c>
      <c r="G19" t="s">
        <v>10</v>
      </c>
      <c r="H19">
        <v>223</v>
      </c>
      <c r="I19" t="str">
        <f>VLOOKUP(B19,товар!$A$1:$C$433,2,FALSE)</f>
        <v>Макароны</v>
      </c>
      <c r="J19" s="22">
        <f t="shared" si="0"/>
        <v>265.47674418604652</v>
      </c>
      <c r="K19" s="24">
        <f t="shared" si="1"/>
        <v>0.57829267224387881</v>
      </c>
      <c r="L19" t="str">
        <f>VLOOKUP(B19,товар!$A$1:$C$433,3,FALSE)</f>
        <v>Паста Зара</v>
      </c>
      <c r="M19" s="24">
        <f t="shared" si="2"/>
        <v>0.51440851812054311</v>
      </c>
      <c r="N19" s="29">
        <f t="shared" si="3"/>
        <v>276.67567567567568</v>
      </c>
      <c r="O19" s="32">
        <f>VLOOKUP(H19,клиенты!$A$2:$G$435,5,FALSE)</f>
        <v>44893</v>
      </c>
      <c r="P19">
        <f>Продажи[[#This Row],[дата создания чека]]-Продажи[[#This Row],[Дата регистрации клиента]]</f>
        <v>223</v>
      </c>
      <c r="Q19" t="str">
        <f>VLOOKUP(H19,Таблица3[],7,FALSE)</f>
        <v>Украина</v>
      </c>
    </row>
    <row r="20" spans="1:17" x14ac:dyDescent="0.3">
      <c r="A20">
        <v>19</v>
      </c>
      <c r="B20">
        <v>226</v>
      </c>
      <c r="C20">
        <v>190</v>
      </c>
      <c r="D20">
        <v>5</v>
      </c>
      <c r="E20">
        <v>950</v>
      </c>
      <c r="F20" s="32">
        <v>45058</v>
      </c>
      <c r="G20" t="s">
        <v>17</v>
      </c>
      <c r="H20">
        <v>204</v>
      </c>
      <c r="I20" t="str">
        <f>VLOOKUP(B20,товар!$A$1:$C$433,2,FALSE)</f>
        <v>Сыр</v>
      </c>
      <c r="J20" s="22">
        <f t="shared" si="0"/>
        <v>262.63492063492066</v>
      </c>
      <c r="K20" s="24">
        <f t="shared" si="1"/>
        <v>-0.2765623111326001</v>
      </c>
      <c r="L20" t="str">
        <f>VLOOKUP(B20,товар!$A$1:$C$433,3,FALSE)</f>
        <v>Карат</v>
      </c>
      <c r="M20" s="24">
        <f t="shared" si="2"/>
        <v>-0.38972162740899352</v>
      </c>
      <c r="N20" s="29">
        <f t="shared" si="3"/>
        <v>311.33333333333331</v>
      </c>
      <c r="O20" s="32">
        <f>VLOOKUP(H20,клиенты!$A$2:$G$435,5,FALSE)</f>
        <v>44867</v>
      </c>
      <c r="P20">
        <f>Продажи[[#This Row],[дата создания чека]]-Продажи[[#This Row],[Дата регистрации клиента]]</f>
        <v>191</v>
      </c>
      <c r="Q20" t="str">
        <f>VLOOKUP(H20,Таблица3[],7,FALSE)</f>
        <v>Россия</v>
      </c>
    </row>
    <row r="21" spans="1:17" x14ac:dyDescent="0.3">
      <c r="A21">
        <v>20</v>
      </c>
      <c r="B21">
        <v>310</v>
      </c>
      <c r="C21">
        <v>458</v>
      </c>
      <c r="D21">
        <v>2</v>
      </c>
      <c r="E21">
        <v>916</v>
      </c>
      <c r="F21" s="32">
        <v>45158</v>
      </c>
      <c r="G21" t="s">
        <v>17</v>
      </c>
      <c r="H21">
        <v>481</v>
      </c>
      <c r="I21" t="str">
        <f>VLOOKUP(B21,товар!$A$1:$C$433,2,FALSE)</f>
        <v>Макароны</v>
      </c>
      <c r="J21" s="22">
        <f t="shared" si="0"/>
        <v>265.47674418604652</v>
      </c>
      <c r="K21" s="24">
        <f t="shared" si="1"/>
        <v>0.72519819543603004</v>
      </c>
      <c r="L21" t="str">
        <f>VLOOKUP(B21,товар!$A$1:$C$433,3,FALSE)</f>
        <v>Паста Зара</v>
      </c>
      <c r="M21" s="24">
        <f t="shared" si="2"/>
        <v>0.65536778353033109</v>
      </c>
      <c r="N21" s="29">
        <f t="shared" si="3"/>
        <v>276.67567567567568</v>
      </c>
      <c r="O21" s="32">
        <f>VLOOKUP(H21,клиенты!$A$2:$G$435,5,FALSE)</f>
        <v>44756</v>
      </c>
      <c r="P21">
        <f>Продажи[[#This Row],[дата создания чека]]-Продажи[[#This Row],[Дата регистрации клиента]]</f>
        <v>402</v>
      </c>
      <c r="Q21" t="str">
        <f>VLOOKUP(H21,Таблица3[],7,FALSE)</f>
        <v>Беларусь</v>
      </c>
    </row>
    <row r="22" spans="1:17" x14ac:dyDescent="0.3">
      <c r="A22">
        <v>21</v>
      </c>
      <c r="B22">
        <v>137</v>
      </c>
      <c r="C22">
        <v>152</v>
      </c>
      <c r="D22">
        <v>2</v>
      </c>
      <c r="E22">
        <v>304</v>
      </c>
      <c r="F22" s="32">
        <v>45244</v>
      </c>
      <c r="G22" t="s">
        <v>8</v>
      </c>
      <c r="H22">
        <v>363</v>
      </c>
      <c r="I22" t="str">
        <f>VLOOKUP(B22,товар!$A$1:$C$433,2,FALSE)</f>
        <v>Фрукты</v>
      </c>
      <c r="J22" s="22">
        <f t="shared" si="0"/>
        <v>274.16279069767444</v>
      </c>
      <c r="K22" s="24">
        <f t="shared" si="1"/>
        <v>-0.4455848672491306</v>
      </c>
      <c r="L22" t="str">
        <f>VLOOKUP(B22,товар!$A$1:$C$433,3,FALSE)</f>
        <v>Экзотик</v>
      </c>
      <c r="M22" s="24">
        <f t="shared" si="2"/>
        <v>-0.40083764474008376</v>
      </c>
      <c r="N22" s="29">
        <f t="shared" si="3"/>
        <v>253.6875</v>
      </c>
      <c r="O22" s="32">
        <f>VLOOKUP(H22,клиенты!$A$2:$G$435,5,FALSE)</f>
        <v>44675</v>
      </c>
      <c r="P22">
        <f>Продажи[[#This Row],[дата создания чека]]-Продажи[[#This Row],[Дата регистрации клиента]]</f>
        <v>569</v>
      </c>
      <c r="Q22" t="str">
        <f>VLOOKUP(H22,Таблица3[],7,FALSE)</f>
        <v>Узбекистан</v>
      </c>
    </row>
    <row r="23" spans="1:17" x14ac:dyDescent="0.3">
      <c r="A23">
        <v>22</v>
      </c>
      <c r="B23">
        <v>385</v>
      </c>
      <c r="C23">
        <v>352</v>
      </c>
      <c r="D23">
        <v>2</v>
      </c>
      <c r="E23">
        <v>704</v>
      </c>
      <c r="F23" s="32">
        <v>45123</v>
      </c>
      <c r="G23" t="s">
        <v>14</v>
      </c>
      <c r="H23">
        <v>397</v>
      </c>
      <c r="I23" t="str">
        <f>VLOOKUP(B23,товар!$A$1:$C$433,2,FALSE)</f>
        <v>Макароны</v>
      </c>
      <c r="J23" s="22">
        <f t="shared" si="0"/>
        <v>265.47674418604652</v>
      </c>
      <c r="K23" s="24">
        <f t="shared" si="1"/>
        <v>0.32591651701633739</v>
      </c>
      <c r="L23" t="str">
        <f>VLOOKUP(B23,товар!$A$1:$C$433,3,FALSE)</f>
        <v>Макфа</v>
      </c>
      <c r="M23" s="24">
        <f t="shared" si="2"/>
        <v>6.9022639425731613E-2</v>
      </c>
      <c r="N23" s="29">
        <f t="shared" si="3"/>
        <v>329.27272727272725</v>
      </c>
      <c r="O23" s="32">
        <f>VLOOKUP(H23,клиенты!$A$2:$G$435,5,FALSE)</f>
        <v>44728</v>
      </c>
      <c r="P23">
        <f>Продажи[[#This Row],[дата создания чека]]-Продажи[[#This Row],[Дата регистрации клиента]]</f>
        <v>395</v>
      </c>
      <c r="Q23" t="str">
        <f>VLOOKUP(H23,Таблица3[],7,FALSE)</f>
        <v>Беларусь</v>
      </c>
    </row>
    <row r="24" spans="1:17" x14ac:dyDescent="0.3">
      <c r="A24">
        <v>23</v>
      </c>
      <c r="B24">
        <v>226</v>
      </c>
      <c r="C24">
        <v>228</v>
      </c>
      <c r="D24">
        <v>2</v>
      </c>
      <c r="E24">
        <v>456</v>
      </c>
      <c r="F24" s="32">
        <v>45027</v>
      </c>
      <c r="G24" t="s">
        <v>18</v>
      </c>
      <c r="H24">
        <v>280</v>
      </c>
      <c r="I24" t="str">
        <f>VLOOKUP(B24,товар!$A$1:$C$433,2,FALSE)</f>
        <v>Сыр</v>
      </c>
      <c r="J24" s="22">
        <f t="shared" si="0"/>
        <v>262.63492063492066</v>
      </c>
      <c r="K24" s="24">
        <f t="shared" si="1"/>
        <v>-0.13187477335912012</v>
      </c>
      <c r="L24" t="str">
        <f>VLOOKUP(B24,товар!$A$1:$C$433,3,FALSE)</f>
        <v>Карат</v>
      </c>
      <c r="M24" s="24">
        <f t="shared" si="2"/>
        <v>-0.2676659528907922</v>
      </c>
      <c r="N24" s="29">
        <f t="shared" si="3"/>
        <v>311.33333333333331</v>
      </c>
      <c r="O24" s="32">
        <f>VLOOKUP(H24,клиенты!$A$2:$G$435,5,FALSE)</f>
        <v>44563</v>
      </c>
      <c r="P24">
        <f>Продажи[[#This Row],[дата создания чека]]-Продажи[[#This Row],[Дата регистрации клиента]]</f>
        <v>464</v>
      </c>
      <c r="Q24" t="str">
        <f>VLOOKUP(H24,Таблица3[],7,FALSE)</f>
        <v>Россия</v>
      </c>
    </row>
    <row r="25" spans="1:17" x14ac:dyDescent="0.3">
      <c r="A25">
        <v>24</v>
      </c>
      <c r="B25">
        <v>451</v>
      </c>
      <c r="C25">
        <v>161</v>
      </c>
      <c r="D25">
        <v>4</v>
      </c>
      <c r="E25">
        <v>644</v>
      </c>
      <c r="F25" s="32">
        <v>44966</v>
      </c>
      <c r="G25" t="s">
        <v>15</v>
      </c>
      <c r="H25">
        <v>39</v>
      </c>
      <c r="I25" t="str">
        <f>VLOOKUP(B25,товар!$A$1:$C$433,2,FALSE)</f>
        <v>Рис</v>
      </c>
      <c r="J25" s="22">
        <f t="shared" si="0"/>
        <v>258.375</v>
      </c>
      <c r="K25" s="24">
        <f t="shared" si="1"/>
        <v>-0.37687469762941461</v>
      </c>
      <c r="L25" t="str">
        <f>VLOOKUP(B25,товар!$A$1:$C$433,3,FALSE)</f>
        <v>Белый Злат</v>
      </c>
      <c r="M25" s="24">
        <f t="shared" si="2"/>
        <v>-0.40305343511450376</v>
      </c>
      <c r="N25" s="29">
        <f t="shared" si="3"/>
        <v>269.70588235294116</v>
      </c>
      <c r="O25" s="32">
        <f>VLOOKUP(H25,клиенты!$A$2:$G$435,5,FALSE)</f>
        <v>44653</v>
      </c>
      <c r="P25">
        <f>Продажи[[#This Row],[дата создания чека]]-Продажи[[#This Row],[Дата регистрации клиента]]</f>
        <v>313</v>
      </c>
      <c r="Q25" t="str">
        <f>VLOOKUP(H25,Таблица3[],7,FALSE)</f>
        <v>Беларусь</v>
      </c>
    </row>
    <row r="26" spans="1:17" x14ac:dyDescent="0.3">
      <c r="A26">
        <v>25</v>
      </c>
      <c r="B26">
        <v>7</v>
      </c>
      <c r="C26">
        <v>362</v>
      </c>
      <c r="D26">
        <v>1</v>
      </c>
      <c r="E26">
        <v>362</v>
      </c>
      <c r="F26" s="32">
        <v>45326</v>
      </c>
      <c r="G26" t="s">
        <v>12</v>
      </c>
      <c r="H26">
        <v>303</v>
      </c>
      <c r="I26" t="str">
        <f>VLOOKUP(B26,товар!$A$1:$C$433,2,FALSE)</f>
        <v>Сыр</v>
      </c>
      <c r="J26" s="22">
        <f t="shared" si="0"/>
        <v>262.63492063492066</v>
      </c>
      <c r="K26" s="24">
        <f t="shared" si="1"/>
        <v>0.37833917563157238</v>
      </c>
      <c r="L26" t="str">
        <f>VLOOKUP(B26,товар!$A$1:$C$433,3,FALSE)</f>
        <v>President</v>
      </c>
      <c r="M26" s="24">
        <f t="shared" si="2"/>
        <v>0.51640679543867818</v>
      </c>
      <c r="N26" s="29">
        <f t="shared" si="3"/>
        <v>238.72222222222223</v>
      </c>
      <c r="O26" s="32">
        <f>VLOOKUP(H26,клиенты!$A$2:$G$435,5,FALSE)</f>
        <v>44689</v>
      </c>
      <c r="P26">
        <f>Продажи[[#This Row],[дата создания чека]]-Продажи[[#This Row],[Дата регистрации клиента]]</f>
        <v>637</v>
      </c>
      <c r="Q26" t="str">
        <f>VLOOKUP(H26,Таблица3[],7,FALSE)</f>
        <v>Узбекистан</v>
      </c>
    </row>
    <row r="27" spans="1:17" x14ac:dyDescent="0.3">
      <c r="A27">
        <v>26</v>
      </c>
      <c r="B27">
        <v>495</v>
      </c>
      <c r="C27">
        <v>312</v>
      </c>
      <c r="D27">
        <v>1</v>
      </c>
      <c r="E27">
        <v>312</v>
      </c>
      <c r="F27" s="32">
        <v>45174</v>
      </c>
      <c r="G27" t="s">
        <v>16</v>
      </c>
      <c r="H27">
        <v>422</v>
      </c>
      <c r="I27" t="str">
        <f>VLOOKUP(B27,товар!$A$1:$C$433,2,FALSE)</f>
        <v>Чай</v>
      </c>
      <c r="J27" s="22">
        <f t="shared" si="0"/>
        <v>271.18181818181819</v>
      </c>
      <c r="K27" s="24">
        <f t="shared" si="1"/>
        <v>0.15051961112973511</v>
      </c>
      <c r="L27" t="str">
        <f>VLOOKUP(B27,товар!$A$1:$C$433,3,FALSE)</f>
        <v>Greenfield</v>
      </c>
      <c r="M27" s="24">
        <f t="shared" si="2"/>
        <v>7.049282595134132E-2</v>
      </c>
      <c r="N27" s="29">
        <f t="shared" si="3"/>
        <v>291.45454545454544</v>
      </c>
      <c r="O27" s="32">
        <f>VLOOKUP(H27,клиенты!$A$2:$G$435,5,FALSE)</f>
        <v>44784</v>
      </c>
      <c r="P27">
        <f>Продажи[[#This Row],[дата создания чека]]-Продажи[[#This Row],[Дата регистрации клиента]]</f>
        <v>390</v>
      </c>
      <c r="Q27" t="str">
        <f>VLOOKUP(H27,Таблица3[],7,FALSE)</f>
        <v>Украина</v>
      </c>
    </row>
    <row r="28" spans="1:17" x14ac:dyDescent="0.3">
      <c r="A28">
        <v>27</v>
      </c>
      <c r="B28">
        <v>415</v>
      </c>
      <c r="C28">
        <v>311</v>
      </c>
      <c r="D28">
        <v>5</v>
      </c>
      <c r="E28">
        <v>1555</v>
      </c>
      <c r="F28" s="32">
        <v>45099</v>
      </c>
      <c r="G28" t="s">
        <v>19</v>
      </c>
      <c r="H28">
        <v>24</v>
      </c>
      <c r="I28" t="str">
        <f>VLOOKUP(B28,товар!$A$1:$C$433,2,FALSE)</f>
        <v>Чипсы</v>
      </c>
      <c r="J28" s="22">
        <f t="shared" si="0"/>
        <v>273.72549019607845</v>
      </c>
      <c r="K28" s="24">
        <f t="shared" si="1"/>
        <v>0.13617478510028636</v>
      </c>
      <c r="L28" t="str">
        <f>VLOOKUP(B28,товар!$A$1:$C$433,3,FALSE)</f>
        <v>Pringles</v>
      </c>
      <c r="M28" s="24">
        <f t="shared" si="2"/>
        <v>0.10977060322854704</v>
      </c>
      <c r="N28" s="29">
        <f t="shared" si="3"/>
        <v>280.23809523809524</v>
      </c>
      <c r="O28" s="32">
        <f>VLOOKUP(H28,клиенты!$A$2:$G$435,5,FALSE)</f>
        <v>44609</v>
      </c>
      <c r="P28">
        <f>Продажи[[#This Row],[дата создания чека]]-Продажи[[#This Row],[Дата регистрации клиента]]</f>
        <v>490</v>
      </c>
      <c r="Q28" t="str">
        <f>VLOOKUP(H28,Таблица3[],7,FALSE)</f>
        <v>Узбекистан</v>
      </c>
    </row>
    <row r="29" spans="1:17" x14ac:dyDescent="0.3">
      <c r="A29">
        <v>28</v>
      </c>
      <c r="B29">
        <v>176</v>
      </c>
      <c r="C29">
        <v>220</v>
      </c>
      <c r="D29">
        <v>1</v>
      </c>
      <c r="E29">
        <v>220</v>
      </c>
      <c r="F29" s="32">
        <v>45368</v>
      </c>
      <c r="G29" t="s">
        <v>8</v>
      </c>
      <c r="H29">
        <v>112</v>
      </c>
      <c r="I29" t="str">
        <f>VLOOKUP(B29,товар!$A$1:$C$433,2,FALSE)</f>
        <v>Сахар</v>
      </c>
      <c r="J29" s="22">
        <f t="shared" si="0"/>
        <v>252.76271186440678</v>
      </c>
      <c r="K29" s="24">
        <f t="shared" si="1"/>
        <v>-0.12961845369811575</v>
      </c>
      <c r="L29" t="str">
        <f>VLOOKUP(B29,товар!$A$1:$C$433,3,FALSE)</f>
        <v>Продимекс</v>
      </c>
      <c r="M29" s="24">
        <f t="shared" si="2"/>
        <v>-8.5239085239085188E-2</v>
      </c>
      <c r="N29" s="29">
        <f t="shared" si="3"/>
        <v>240.5</v>
      </c>
      <c r="O29" s="32">
        <f>VLOOKUP(H29,клиенты!$A$2:$G$435,5,FALSE)</f>
        <v>44652</v>
      </c>
      <c r="P29">
        <f>Продажи[[#This Row],[дата создания чека]]-Продажи[[#This Row],[Дата регистрации клиента]]</f>
        <v>716</v>
      </c>
      <c r="Q29" t="str">
        <f>VLOOKUP(H29,Таблица3[],7,FALSE)</f>
        <v>Россия</v>
      </c>
    </row>
    <row r="30" spans="1:17" x14ac:dyDescent="0.3">
      <c r="A30">
        <v>29</v>
      </c>
      <c r="B30">
        <v>181</v>
      </c>
      <c r="C30">
        <v>476</v>
      </c>
      <c r="D30">
        <v>4</v>
      </c>
      <c r="E30">
        <v>1904</v>
      </c>
      <c r="F30" s="32">
        <v>45040</v>
      </c>
      <c r="G30" t="s">
        <v>8</v>
      </c>
      <c r="H30">
        <v>451</v>
      </c>
      <c r="I30" t="str">
        <f>VLOOKUP(B30,товар!$A$1:$C$433,2,FALSE)</f>
        <v>Молоко</v>
      </c>
      <c r="J30" s="22">
        <f t="shared" si="0"/>
        <v>294.95238095238096</v>
      </c>
      <c r="K30" s="24">
        <f t="shared" si="1"/>
        <v>0.61381982563771387</v>
      </c>
      <c r="L30" t="str">
        <f>VLOOKUP(B30,товар!$A$1:$C$433,3,FALSE)</f>
        <v>Простоквашино</v>
      </c>
      <c r="M30" s="24">
        <f t="shared" si="2"/>
        <v>0.49301397205588815</v>
      </c>
      <c r="N30" s="29">
        <f t="shared" si="3"/>
        <v>318.81818181818181</v>
      </c>
      <c r="O30" s="32">
        <f>VLOOKUP(H30,клиенты!$A$2:$G$435,5,FALSE)</f>
        <v>44584</v>
      </c>
      <c r="P30">
        <f>Продажи[[#This Row],[дата создания чека]]-Продажи[[#This Row],[Дата регистрации клиента]]</f>
        <v>456</v>
      </c>
      <c r="Q30" t="str">
        <f>VLOOKUP(H30,Таблица3[],7,FALSE)</f>
        <v>Россия</v>
      </c>
    </row>
    <row r="31" spans="1:17" x14ac:dyDescent="0.3">
      <c r="A31">
        <v>30</v>
      </c>
      <c r="B31">
        <v>399</v>
      </c>
      <c r="C31">
        <v>190</v>
      </c>
      <c r="D31">
        <v>1</v>
      </c>
      <c r="E31">
        <v>190</v>
      </c>
      <c r="F31" s="32">
        <v>45414</v>
      </c>
      <c r="G31" t="s">
        <v>10</v>
      </c>
      <c r="H31">
        <v>131</v>
      </c>
      <c r="I31" t="str">
        <f>VLOOKUP(B31,товар!$A$1:$C$433,2,FALSE)</f>
        <v>Хлеб</v>
      </c>
      <c r="J31" s="22">
        <f t="shared" si="0"/>
        <v>300.31818181818181</v>
      </c>
      <c r="K31" s="24">
        <f t="shared" si="1"/>
        <v>-0.36733767216588464</v>
      </c>
      <c r="L31" t="str">
        <f>VLOOKUP(B31,товар!$A$1:$C$433,3,FALSE)</f>
        <v>Хлебный Дом</v>
      </c>
      <c r="M31" s="24">
        <f t="shared" si="2"/>
        <v>-0.32560340747752015</v>
      </c>
      <c r="N31" s="29">
        <f t="shared" si="3"/>
        <v>281.73333333333335</v>
      </c>
      <c r="O31" s="32">
        <f>VLOOKUP(H31,клиенты!$A$2:$G$435,5,FALSE)</f>
        <v>44693</v>
      </c>
      <c r="P31">
        <f>Продажи[[#This Row],[дата создания чека]]-Продажи[[#This Row],[Дата регистрации клиента]]</f>
        <v>721</v>
      </c>
      <c r="Q31" t="str">
        <f>VLOOKUP(H31,Таблица3[],7,FALSE)</f>
        <v>Россия</v>
      </c>
    </row>
    <row r="32" spans="1:17" x14ac:dyDescent="0.3">
      <c r="A32">
        <v>31</v>
      </c>
      <c r="B32">
        <v>382</v>
      </c>
      <c r="C32">
        <v>198</v>
      </c>
      <c r="D32">
        <v>5</v>
      </c>
      <c r="E32">
        <v>990</v>
      </c>
      <c r="F32" s="32">
        <v>45125</v>
      </c>
      <c r="G32" t="s">
        <v>20</v>
      </c>
      <c r="H32">
        <v>160</v>
      </c>
      <c r="I32" t="str">
        <f>VLOOKUP(B32,товар!$A$1:$C$433,2,FALSE)</f>
        <v>Овощи</v>
      </c>
      <c r="J32" s="22">
        <f t="shared" si="0"/>
        <v>250.48780487804879</v>
      </c>
      <c r="K32" s="24">
        <f t="shared" si="1"/>
        <v>-0.2095423563777995</v>
      </c>
      <c r="L32" t="str">
        <f>VLOOKUP(B32,товар!$A$1:$C$433,3,FALSE)</f>
        <v>Овощной ряд</v>
      </c>
      <c r="M32" s="24">
        <f t="shared" si="2"/>
        <v>-0.34830590513068727</v>
      </c>
      <c r="N32" s="29">
        <f t="shared" si="3"/>
        <v>303.8235294117647</v>
      </c>
      <c r="O32" s="32">
        <f>VLOOKUP(H32,клиенты!$A$2:$G$435,5,FALSE)</f>
        <v>44649</v>
      </c>
      <c r="P32">
        <f>Продажи[[#This Row],[дата создания чека]]-Продажи[[#This Row],[Дата регистрации клиента]]</f>
        <v>476</v>
      </c>
      <c r="Q32" t="str">
        <f>VLOOKUP(H32,Таблица3[],7,FALSE)</f>
        <v>Узбекистан</v>
      </c>
    </row>
    <row r="33" spans="1:17" x14ac:dyDescent="0.3">
      <c r="A33">
        <v>32</v>
      </c>
      <c r="B33">
        <v>103</v>
      </c>
      <c r="C33">
        <v>254</v>
      </c>
      <c r="D33">
        <v>3</v>
      </c>
      <c r="E33">
        <v>762</v>
      </c>
      <c r="F33" s="32">
        <v>45352</v>
      </c>
      <c r="G33" t="s">
        <v>21</v>
      </c>
      <c r="H33">
        <v>408</v>
      </c>
      <c r="I33" t="str">
        <f>VLOOKUP(B33,товар!$A$1:$C$433,2,FALSE)</f>
        <v>Рыба</v>
      </c>
      <c r="J33" s="22">
        <f t="shared" si="0"/>
        <v>258.5128205128205</v>
      </c>
      <c r="K33" s="24">
        <f t="shared" si="1"/>
        <v>-1.7456853798849425E-2</v>
      </c>
      <c r="L33" t="str">
        <f>VLOOKUP(B33,товар!$A$1:$C$433,3,FALSE)</f>
        <v>Санта Бремор</v>
      </c>
      <c r="M33" s="24">
        <f t="shared" si="2"/>
        <v>0.17375231053604434</v>
      </c>
      <c r="N33" s="29">
        <f t="shared" si="3"/>
        <v>216.4</v>
      </c>
      <c r="O33" s="32">
        <f>VLOOKUP(H33,клиенты!$A$2:$G$435,5,FALSE)</f>
        <v>44857</v>
      </c>
      <c r="P33">
        <f>Продажи[[#This Row],[дата создания чека]]-Продажи[[#This Row],[Дата регистрации клиента]]</f>
        <v>495</v>
      </c>
      <c r="Q33" t="str">
        <f>VLOOKUP(H33,Таблица3[],7,FALSE)</f>
        <v>Россия</v>
      </c>
    </row>
    <row r="34" spans="1:17" x14ac:dyDescent="0.3">
      <c r="A34">
        <v>33</v>
      </c>
      <c r="B34">
        <v>104</v>
      </c>
      <c r="C34">
        <v>351</v>
      </c>
      <c r="D34">
        <v>1</v>
      </c>
      <c r="E34">
        <v>351</v>
      </c>
      <c r="F34" s="32">
        <v>44997</v>
      </c>
      <c r="G34" t="s">
        <v>20</v>
      </c>
      <c r="H34">
        <v>324</v>
      </c>
      <c r="I34" t="str">
        <f>VLOOKUP(B34,товар!$A$1:$C$433,2,FALSE)</f>
        <v>Йогурт</v>
      </c>
      <c r="J34" s="22">
        <f t="shared" si="0"/>
        <v>263.25423728813558</v>
      </c>
      <c r="K34" s="24">
        <f t="shared" si="1"/>
        <v>0.33331187226371362</v>
      </c>
      <c r="L34" t="str">
        <f>VLOOKUP(B34,товар!$A$1:$C$433,3,FALSE)</f>
        <v>Ростагроэкспорт</v>
      </c>
      <c r="M34" s="24">
        <f t="shared" si="2"/>
        <v>0.36161241356046547</v>
      </c>
      <c r="N34" s="29">
        <f t="shared" si="3"/>
        <v>257.78260869565219</v>
      </c>
      <c r="O34" s="32">
        <f>VLOOKUP(H34,клиенты!$A$2:$G$435,5,FALSE)</f>
        <v>44761</v>
      </c>
      <c r="P34">
        <f>Продажи[[#This Row],[дата создания чека]]-Продажи[[#This Row],[Дата регистрации клиента]]</f>
        <v>236</v>
      </c>
      <c r="Q34" t="str">
        <f>VLOOKUP(H34,Таблица3[],7,FALSE)</f>
        <v>Узбекистан</v>
      </c>
    </row>
    <row r="35" spans="1:17" x14ac:dyDescent="0.3">
      <c r="A35">
        <v>34</v>
      </c>
      <c r="B35">
        <v>213</v>
      </c>
      <c r="C35">
        <v>387</v>
      </c>
      <c r="D35">
        <v>1</v>
      </c>
      <c r="E35">
        <v>387</v>
      </c>
      <c r="F35" s="32">
        <v>45267</v>
      </c>
      <c r="G35" t="s">
        <v>13</v>
      </c>
      <c r="H35">
        <v>310</v>
      </c>
      <c r="I35" t="str">
        <f>VLOOKUP(B35,товар!$A$1:$C$433,2,FALSE)</f>
        <v>Сахар</v>
      </c>
      <c r="J35" s="22">
        <f t="shared" si="0"/>
        <v>252.76271186440678</v>
      </c>
      <c r="K35" s="24">
        <f t="shared" si="1"/>
        <v>0.53108026554013277</v>
      </c>
      <c r="L35" t="str">
        <f>VLOOKUP(B35,товар!$A$1:$C$433,3,FALSE)</f>
        <v>Продимекс</v>
      </c>
      <c r="M35" s="24">
        <f t="shared" si="2"/>
        <v>0.60914760914760913</v>
      </c>
      <c r="N35" s="29">
        <f t="shared" si="3"/>
        <v>240.5</v>
      </c>
      <c r="O35" s="32">
        <f>VLOOKUP(H35,клиенты!$A$2:$G$435,5,FALSE)</f>
        <v>44807</v>
      </c>
      <c r="P35">
        <f>Продажи[[#This Row],[дата создания чека]]-Продажи[[#This Row],[Дата регистрации клиента]]</f>
        <v>460</v>
      </c>
      <c r="Q35" t="str">
        <f>VLOOKUP(H35,Таблица3[],7,FALSE)</f>
        <v>Таджикистан</v>
      </c>
    </row>
    <row r="36" spans="1:17" x14ac:dyDescent="0.3">
      <c r="A36">
        <v>35</v>
      </c>
      <c r="B36">
        <v>157</v>
      </c>
      <c r="C36">
        <v>55</v>
      </c>
      <c r="D36">
        <v>2</v>
      </c>
      <c r="E36">
        <v>110</v>
      </c>
      <c r="F36" s="32">
        <v>45381</v>
      </c>
      <c r="G36" t="s">
        <v>10</v>
      </c>
      <c r="H36">
        <v>179</v>
      </c>
      <c r="I36" t="str">
        <f>VLOOKUP(B36,товар!$A$1:$C$433,2,FALSE)</f>
        <v>Сыр</v>
      </c>
      <c r="J36" s="22">
        <f t="shared" si="0"/>
        <v>262.63492063492066</v>
      </c>
      <c r="K36" s="24">
        <f t="shared" si="1"/>
        <v>-0.79058382690680529</v>
      </c>
      <c r="L36" t="str">
        <f>VLOOKUP(B36,товар!$A$1:$C$433,3,FALSE)</f>
        <v>President</v>
      </c>
      <c r="M36" s="24">
        <f t="shared" si="2"/>
        <v>-0.76960670235047712</v>
      </c>
      <c r="N36" s="29">
        <f t="shared" si="3"/>
        <v>238.72222222222223</v>
      </c>
      <c r="O36" s="32">
        <f>VLOOKUP(H36,клиенты!$A$2:$G$435,5,FALSE)</f>
        <v>44833</v>
      </c>
      <c r="P36">
        <f>Продажи[[#This Row],[дата создания чека]]-Продажи[[#This Row],[Дата регистрации клиента]]</f>
        <v>548</v>
      </c>
      <c r="Q36" t="str">
        <f>VLOOKUP(H36,Таблица3[],7,FALSE)</f>
        <v>Россия</v>
      </c>
    </row>
    <row r="37" spans="1:17" x14ac:dyDescent="0.3">
      <c r="A37">
        <v>36</v>
      </c>
      <c r="B37">
        <v>237</v>
      </c>
      <c r="C37">
        <v>336</v>
      </c>
      <c r="D37">
        <v>1</v>
      </c>
      <c r="E37">
        <v>336</v>
      </c>
      <c r="F37" s="32">
        <v>44971</v>
      </c>
      <c r="G37" t="s">
        <v>17</v>
      </c>
      <c r="H37">
        <v>64</v>
      </c>
      <c r="I37" t="str">
        <f>VLOOKUP(B37,товар!$A$1:$C$433,2,FALSE)</f>
        <v>Конфеты</v>
      </c>
      <c r="J37" s="22">
        <f t="shared" si="0"/>
        <v>267.85483870967744</v>
      </c>
      <c r="K37" s="24">
        <f t="shared" si="1"/>
        <v>0.25441079063045691</v>
      </c>
      <c r="L37" t="str">
        <f>VLOOKUP(B37,товар!$A$1:$C$433,3,FALSE)</f>
        <v>Рот Фронт</v>
      </c>
      <c r="M37" s="24">
        <f t="shared" si="2"/>
        <v>0.16570295721130024</v>
      </c>
      <c r="N37" s="29">
        <f t="shared" si="3"/>
        <v>288.23809523809524</v>
      </c>
      <c r="O37" s="32">
        <f>VLOOKUP(H37,клиенты!$A$2:$G$435,5,FALSE)</f>
        <v>44707</v>
      </c>
      <c r="P37">
        <f>Продажи[[#This Row],[дата создания чека]]-Продажи[[#This Row],[Дата регистрации клиента]]</f>
        <v>264</v>
      </c>
      <c r="Q37" t="str">
        <f>VLOOKUP(H37,Таблица3[],7,FALSE)</f>
        <v>Узбекистан</v>
      </c>
    </row>
    <row r="38" spans="1:17" x14ac:dyDescent="0.3">
      <c r="A38">
        <v>37</v>
      </c>
      <c r="B38">
        <v>8</v>
      </c>
      <c r="C38">
        <v>480</v>
      </c>
      <c r="D38">
        <v>4</v>
      </c>
      <c r="E38">
        <v>1920</v>
      </c>
      <c r="F38" s="32">
        <v>44947</v>
      </c>
      <c r="G38" t="s">
        <v>22</v>
      </c>
      <c r="H38">
        <v>318</v>
      </c>
      <c r="I38" t="str">
        <f>VLOOKUP(B38,товар!$A$1:$C$433,2,FALSE)</f>
        <v>Макароны</v>
      </c>
      <c r="J38" s="22">
        <f t="shared" si="0"/>
        <v>265.47674418604652</v>
      </c>
      <c r="K38" s="24">
        <f t="shared" si="1"/>
        <v>0.80806797774955097</v>
      </c>
      <c r="L38" t="str">
        <f>VLOOKUP(B38,товар!$A$1:$C$433,3,FALSE)</f>
        <v>Паста Зара</v>
      </c>
      <c r="M38" s="24">
        <f t="shared" si="2"/>
        <v>0.73488326658200642</v>
      </c>
      <c r="N38" s="29">
        <f t="shared" si="3"/>
        <v>276.67567567567568</v>
      </c>
      <c r="O38" s="32">
        <f>VLOOKUP(H38,клиенты!$A$2:$G$435,5,FALSE)</f>
        <v>44892</v>
      </c>
      <c r="P38">
        <f>Продажи[[#This Row],[дата создания чека]]-Продажи[[#This Row],[Дата регистрации клиента]]</f>
        <v>55</v>
      </c>
      <c r="Q38" t="str">
        <f>VLOOKUP(H38,Таблица3[],7,FALSE)</f>
        <v>Узбекистан</v>
      </c>
    </row>
    <row r="39" spans="1:17" x14ac:dyDescent="0.3">
      <c r="A39">
        <v>38</v>
      </c>
      <c r="B39">
        <v>65</v>
      </c>
      <c r="C39">
        <v>214</v>
      </c>
      <c r="D39">
        <v>3</v>
      </c>
      <c r="E39">
        <v>642</v>
      </c>
      <c r="F39" s="32">
        <v>45129</v>
      </c>
      <c r="G39" t="s">
        <v>8</v>
      </c>
      <c r="H39">
        <v>239</v>
      </c>
      <c r="I39" t="str">
        <f>VLOOKUP(B39,товар!$A$1:$C$433,2,FALSE)</f>
        <v>Хлеб</v>
      </c>
      <c r="J39" s="22">
        <f t="shared" si="0"/>
        <v>300.31818181818181</v>
      </c>
      <c r="K39" s="24">
        <f t="shared" si="1"/>
        <v>-0.28742243075525953</v>
      </c>
      <c r="L39" t="str">
        <f>VLOOKUP(B39,товар!$A$1:$C$433,3,FALSE)</f>
        <v>Хлебный Дом</v>
      </c>
      <c r="M39" s="24">
        <f t="shared" si="2"/>
        <v>-0.24041646947468054</v>
      </c>
      <c r="N39" s="29">
        <f t="shared" si="3"/>
        <v>281.73333333333335</v>
      </c>
      <c r="O39" s="32">
        <f>VLOOKUP(H39,клиенты!$A$2:$G$435,5,FALSE)</f>
        <v>44767</v>
      </c>
      <c r="P39">
        <f>Продажи[[#This Row],[дата создания чека]]-Продажи[[#This Row],[Дата регистрации клиента]]</f>
        <v>362</v>
      </c>
      <c r="Q39" t="str">
        <f>VLOOKUP(H39,Таблица3[],7,FALSE)</f>
        <v>Узбекистан</v>
      </c>
    </row>
    <row r="40" spans="1:17" x14ac:dyDescent="0.3">
      <c r="A40">
        <v>39</v>
      </c>
      <c r="B40">
        <v>45</v>
      </c>
      <c r="C40">
        <v>60</v>
      </c>
      <c r="D40">
        <v>2</v>
      </c>
      <c r="E40">
        <v>120</v>
      </c>
      <c r="F40" s="32">
        <v>45406</v>
      </c>
      <c r="G40" t="s">
        <v>23</v>
      </c>
      <c r="H40">
        <v>194</v>
      </c>
      <c r="I40" t="str">
        <f>VLOOKUP(B40,товар!$A$1:$C$433,2,FALSE)</f>
        <v>Сок</v>
      </c>
      <c r="J40" s="22">
        <f t="shared" si="0"/>
        <v>268.60344827586209</v>
      </c>
      <c r="K40" s="24">
        <f t="shared" si="1"/>
        <v>-0.77662237627575581</v>
      </c>
      <c r="L40" t="str">
        <f>VLOOKUP(B40,товар!$A$1:$C$433,3,FALSE)</f>
        <v>Добрый</v>
      </c>
      <c r="M40" s="24">
        <f t="shared" si="2"/>
        <v>-0.75290153500561585</v>
      </c>
      <c r="N40" s="29">
        <f t="shared" si="3"/>
        <v>242.81818181818181</v>
      </c>
      <c r="O40" s="32">
        <f>VLOOKUP(H40,клиенты!$A$2:$G$435,5,FALSE)</f>
        <v>44924</v>
      </c>
      <c r="P40">
        <f>Продажи[[#This Row],[дата создания чека]]-Продажи[[#This Row],[Дата регистрации клиента]]</f>
        <v>482</v>
      </c>
      <c r="Q40" t="str">
        <f>VLOOKUP(H40,Таблица3[],7,FALSE)</f>
        <v>Россия</v>
      </c>
    </row>
    <row r="41" spans="1:17" x14ac:dyDescent="0.3">
      <c r="A41">
        <v>40</v>
      </c>
      <c r="B41">
        <v>36</v>
      </c>
      <c r="C41">
        <v>414</v>
      </c>
      <c r="D41">
        <v>3</v>
      </c>
      <c r="E41">
        <v>1242</v>
      </c>
      <c r="F41" s="32">
        <v>45117</v>
      </c>
      <c r="G41" t="s">
        <v>14</v>
      </c>
      <c r="H41">
        <v>267</v>
      </c>
      <c r="I41" t="str">
        <f>VLOOKUP(B41,товар!$A$1:$C$433,2,FALSE)</f>
        <v>Макароны</v>
      </c>
      <c r="J41" s="22">
        <f t="shared" si="0"/>
        <v>265.47674418604652</v>
      </c>
      <c r="K41" s="24">
        <f t="shared" si="1"/>
        <v>0.55945863080898772</v>
      </c>
      <c r="L41" t="str">
        <f>VLOOKUP(B41,товар!$A$1:$C$433,3,FALSE)</f>
        <v>Роллтон</v>
      </c>
      <c r="M41" s="24">
        <f t="shared" si="2"/>
        <v>0.75754716981132075</v>
      </c>
      <c r="N41" s="29">
        <f t="shared" si="3"/>
        <v>235.55555555555554</v>
      </c>
      <c r="O41" s="32">
        <f>VLOOKUP(H41,клиенты!$A$2:$G$435,5,FALSE)</f>
        <v>44910</v>
      </c>
      <c r="P41">
        <f>Продажи[[#This Row],[дата создания чека]]-Продажи[[#This Row],[Дата регистрации клиента]]</f>
        <v>207</v>
      </c>
      <c r="Q41" t="str">
        <f>VLOOKUP(H41,Таблица3[],7,FALSE)</f>
        <v>Россия</v>
      </c>
    </row>
    <row r="42" spans="1:17" x14ac:dyDescent="0.3">
      <c r="A42">
        <v>41</v>
      </c>
      <c r="B42">
        <v>443</v>
      </c>
      <c r="C42">
        <v>62</v>
      </c>
      <c r="D42">
        <v>3</v>
      </c>
      <c r="E42">
        <v>186</v>
      </c>
      <c r="F42" s="32">
        <v>45194</v>
      </c>
      <c r="G42" t="s">
        <v>12</v>
      </c>
      <c r="H42">
        <v>334</v>
      </c>
      <c r="I42" t="str">
        <f>VLOOKUP(B42,товар!$A$1:$C$433,2,FALSE)</f>
        <v>Кофе</v>
      </c>
      <c r="J42" s="22">
        <f t="shared" si="0"/>
        <v>249.02380952380952</v>
      </c>
      <c r="K42" s="24">
        <f t="shared" si="1"/>
        <v>-0.75102782292762216</v>
      </c>
      <c r="L42" t="str">
        <f>VLOOKUP(B42,товар!$A$1:$C$433,3,FALSE)</f>
        <v>Jacobs</v>
      </c>
      <c r="M42" s="24">
        <f t="shared" si="2"/>
        <v>-0.77553353658536583</v>
      </c>
      <c r="N42" s="29">
        <f t="shared" si="3"/>
        <v>276.21052631578948</v>
      </c>
      <c r="O42" s="32">
        <f>VLOOKUP(H42,клиенты!$A$2:$G$435,5,FALSE)</f>
        <v>44881</v>
      </c>
      <c r="P42">
        <f>Продажи[[#This Row],[дата создания чека]]-Продажи[[#This Row],[Дата регистрации клиента]]</f>
        <v>313</v>
      </c>
      <c r="Q42" t="str">
        <f>VLOOKUP(H42,Таблица3[],7,FALSE)</f>
        <v>Украина</v>
      </c>
    </row>
    <row r="43" spans="1:17" x14ac:dyDescent="0.3">
      <c r="A43">
        <v>42</v>
      </c>
      <c r="B43">
        <v>384</v>
      </c>
      <c r="C43">
        <v>357</v>
      </c>
      <c r="D43">
        <v>1</v>
      </c>
      <c r="E43">
        <v>357</v>
      </c>
      <c r="F43" s="32">
        <v>45196</v>
      </c>
      <c r="G43" t="s">
        <v>24</v>
      </c>
      <c r="H43">
        <v>47</v>
      </c>
      <c r="I43" t="str">
        <f>VLOOKUP(B43,товар!$A$1:$C$433,2,FALSE)</f>
        <v>Сахар</v>
      </c>
      <c r="J43" s="22">
        <f t="shared" si="0"/>
        <v>252.76271186440678</v>
      </c>
      <c r="K43" s="24">
        <f t="shared" si="1"/>
        <v>0.41239187286260304</v>
      </c>
      <c r="L43" t="str">
        <f>VLOOKUP(B43,товар!$A$1:$C$433,3,FALSE)</f>
        <v>Сладов</v>
      </c>
      <c r="M43" s="24">
        <f t="shared" si="2"/>
        <v>0.48584905660377342</v>
      </c>
      <c r="N43" s="29">
        <f t="shared" si="3"/>
        <v>240.26666666666668</v>
      </c>
      <c r="O43" s="32">
        <f>VLOOKUP(H43,клиенты!$A$2:$G$435,5,FALSE)</f>
        <v>44693</v>
      </c>
      <c r="P43">
        <f>Продажи[[#This Row],[дата создания чека]]-Продажи[[#This Row],[Дата регистрации клиента]]</f>
        <v>503</v>
      </c>
      <c r="Q43" t="str">
        <f>VLOOKUP(H43,Таблица3[],7,FALSE)</f>
        <v>Беларусь</v>
      </c>
    </row>
    <row r="44" spans="1:17" x14ac:dyDescent="0.3">
      <c r="A44">
        <v>43</v>
      </c>
      <c r="B44">
        <v>41</v>
      </c>
      <c r="C44">
        <v>493</v>
      </c>
      <c r="D44">
        <v>3</v>
      </c>
      <c r="E44">
        <v>1479</v>
      </c>
      <c r="F44" s="32">
        <v>45104</v>
      </c>
      <c r="G44" t="s">
        <v>9</v>
      </c>
      <c r="H44">
        <v>287</v>
      </c>
      <c r="I44" t="str">
        <f>VLOOKUP(B44,товар!$A$1:$C$433,2,FALSE)</f>
        <v>Рис</v>
      </c>
      <c r="J44" s="22">
        <f t="shared" si="0"/>
        <v>258.375</v>
      </c>
      <c r="K44" s="24">
        <f t="shared" si="1"/>
        <v>0.90807934204160623</v>
      </c>
      <c r="L44" t="str">
        <f>VLOOKUP(B44,товар!$A$1:$C$433,3,FALSE)</f>
        <v>Агро-Альянс</v>
      </c>
      <c r="M44" s="24">
        <f t="shared" si="2"/>
        <v>0.5510112359550563</v>
      </c>
      <c r="N44" s="29">
        <f t="shared" si="3"/>
        <v>317.85714285714283</v>
      </c>
      <c r="O44" s="32">
        <f>VLOOKUP(H44,клиенты!$A$2:$G$435,5,FALSE)</f>
        <v>44608</v>
      </c>
      <c r="P44">
        <f>Продажи[[#This Row],[дата создания чека]]-Продажи[[#This Row],[Дата регистрации клиента]]</f>
        <v>496</v>
      </c>
      <c r="Q44" t="str">
        <f>VLOOKUP(H44,Таблица3[],7,FALSE)</f>
        <v>Россия</v>
      </c>
    </row>
    <row r="45" spans="1:17" x14ac:dyDescent="0.3">
      <c r="A45">
        <v>44</v>
      </c>
      <c r="B45">
        <v>484</v>
      </c>
      <c r="C45">
        <v>305</v>
      </c>
      <c r="D45">
        <v>2</v>
      </c>
      <c r="E45">
        <v>610</v>
      </c>
      <c r="F45" s="32">
        <v>45234</v>
      </c>
      <c r="G45" t="s">
        <v>19</v>
      </c>
      <c r="H45">
        <v>145</v>
      </c>
      <c r="I45" t="str">
        <f>VLOOKUP(B45,товар!$A$1:$C$433,2,FALSE)</f>
        <v>Печенье</v>
      </c>
      <c r="J45" s="22">
        <f t="shared" si="0"/>
        <v>283.468085106383</v>
      </c>
      <c r="K45" s="24">
        <f t="shared" si="1"/>
        <v>7.5958868122795176E-2</v>
      </c>
      <c r="L45" t="str">
        <f>VLOOKUP(B45,товар!$A$1:$C$433,3,FALSE)</f>
        <v>КДВ</v>
      </c>
      <c r="M45" s="24">
        <f t="shared" si="2"/>
        <v>-5.5952380952380976E-2</v>
      </c>
      <c r="N45" s="29">
        <f t="shared" si="3"/>
        <v>323.07692307692309</v>
      </c>
      <c r="O45" s="32">
        <f>VLOOKUP(H45,клиенты!$A$2:$G$435,5,FALSE)</f>
        <v>44653</v>
      </c>
      <c r="P45">
        <f>Продажи[[#This Row],[дата создания чека]]-Продажи[[#This Row],[Дата регистрации клиента]]</f>
        <v>581</v>
      </c>
      <c r="Q45" t="str">
        <f>VLOOKUP(H45,Таблица3[],7,FALSE)</f>
        <v>Украина</v>
      </c>
    </row>
    <row r="46" spans="1:17" x14ac:dyDescent="0.3">
      <c r="A46">
        <v>45</v>
      </c>
      <c r="B46">
        <v>7</v>
      </c>
      <c r="C46">
        <v>162</v>
      </c>
      <c r="D46">
        <v>4</v>
      </c>
      <c r="E46">
        <v>648</v>
      </c>
      <c r="F46" s="32">
        <v>45387</v>
      </c>
      <c r="G46" t="s">
        <v>16</v>
      </c>
      <c r="H46">
        <v>270</v>
      </c>
      <c r="I46" t="str">
        <f>VLOOKUP(B46,товар!$A$1:$C$433,2,FALSE)</f>
        <v>Сыр</v>
      </c>
      <c r="J46" s="22">
        <f t="shared" si="0"/>
        <v>262.63492063492066</v>
      </c>
      <c r="K46" s="24">
        <f t="shared" si="1"/>
        <v>-0.3831741810709538</v>
      </c>
      <c r="L46" t="str">
        <f>VLOOKUP(B46,товар!$A$1:$C$433,3,FALSE)</f>
        <v>President</v>
      </c>
      <c r="M46" s="24">
        <f t="shared" si="2"/>
        <v>-0.32138701419595073</v>
      </c>
      <c r="N46" s="29">
        <f t="shared" si="3"/>
        <v>238.72222222222223</v>
      </c>
      <c r="O46" s="32">
        <f>VLOOKUP(H46,клиенты!$A$2:$G$435,5,FALSE)</f>
        <v>44827</v>
      </c>
      <c r="P46">
        <f>Продажи[[#This Row],[дата создания чека]]-Продажи[[#This Row],[Дата регистрации клиента]]</f>
        <v>560</v>
      </c>
      <c r="Q46" t="str">
        <f>VLOOKUP(H46,Таблица3[],7,FALSE)</f>
        <v>Таджикистан</v>
      </c>
    </row>
    <row r="47" spans="1:17" x14ac:dyDescent="0.3">
      <c r="A47">
        <v>46</v>
      </c>
      <c r="B47">
        <v>390</v>
      </c>
      <c r="C47">
        <v>78</v>
      </c>
      <c r="D47">
        <v>1</v>
      </c>
      <c r="E47">
        <v>78</v>
      </c>
      <c r="F47" s="32">
        <v>44976</v>
      </c>
      <c r="G47" t="s">
        <v>15</v>
      </c>
      <c r="H47">
        <v>64</v>
      </c>
      <c r="I47" t="str">
        <f>VLOOKUP(B47,товар!$A$1:$C$433,2,FALSE)</f>
        <v>Сок</v>
      </c>
      <c r="J47" s="22">
        <f t="shared" si="0"/>
        <v>268.60344827586209</v>
      </c>
      <c r="K47" s="24">
        <f t="shared" si="1"/>
        <v>-0.70960908915848253</v>
      </c>
      <c r="L47" t="str">
        <f>VLOOKUP(B47,товар!$A$1:$C$433,3,FALSE)</f>
        <v>Сады Придонья</v>
      </c>
      <c r="M47" s="24">
        <f t="shared" si="2"/>
        <v>-0.69313304721030045</v>
      </c>
      <c r="N47" s="29">
        <f t="shared" si="3"/>
        <v>254.18181818181819</v>
      </c>
      <c r="O47" s="32">
        <f>VLOOKUP(H47,клиенты!$A$2:$G$435,5,FALSE)</f>
        <v>44707</v>
      </c>
      <c r="P47">
        <f>Продажи[[#This Row],[дата создания чека]]-Продажи[[#This Row],[Дата регистрации клиента]]</f>
        <v>269</v>
      </c>
      <c r="Q47" t="str">
        <f>VLOOKUP(H47,Таблица3[],7,FALSE)</f>
        <v>Узбекистан</v>
      </c>
    </row>
    <row r="48" spans="1:17" x14ac:dyDescent="0.3">
      <c r="A48">
        <v>47</v>
      </c>
      <c r="B48">
        <v>57</v>
      </c>
      <c r="C48">
        <v>343</v>
      </c>
      <c r="D48">
        <v>5</v>
      </c>
      <c r="E48">
        <v>1715</v>
      </c>
      <c r="F48" s="32">
        <v>45063</v>
      </c>
      <c r="G48" t="s">
        <v>9</v>
      </c>
      <c r="H48">
        <v>183</v>
      </c>
      <c r="I48" t="str">
        <f>VLOOKUP(B48,товар!$A$1:$C$433,2,FALSE)</f>
        <v>Печенье</v>
      </c>
      <c r="J48" s="22">
        <f t="shared" si="0"/>
        <v>283.468085106383</v>
      </c>
      <c r="K48" s="24">
        <f t="shared" si="1"/>
        <v>0.21001275988891388</v>
      </c>
      <c r="L48" t="str">
        <f>VLOOKUP(B48,товар!$A$1:$C$433,3,FALSE)</f>
        <v>Юбилейное</v>
      </c>
      <c r="M48" s="24">
        <f t="shared" si="2"/>
        <v>0.47562141491395793</v>
      </c>
      <c r="N48" s="29">
        <f t="shared" si="3"/>
        <v>232.44444444444446</v>
      </c>
      <c r="O48" s="32">
        <f>VLOOKUP(H48,клиенты!$A$2:$G$435,5,FALSE)</f>
        <v>44900</v>
      </c>
      <c r="P48">
        <f>Продажи[[#This Row],[дата создания чека]]-Продажи[[#This Row],[Дата регистрации клиента]]</f>
        <v>163</v>
      </c>
      <c r="Q48" t="str">
        <f>VLOOKUP(H48,Таблица3[],7,FALSE)</f>
        <v>Таджикистан</v>
      </c>
    </row>
    <row r="49" spans="1:17" x14ac:dyDescent="0.3">
      <c r="A49">
        <v>48</v>
      </c>
      <c r="B49">
        <v>285</v>
      </c>
      <c r="C49">
        <v>498</v>
      </c>
      <c r="D49">
        <v>4</v>
      </c>
      <c r="E49">
        <v>1992</v>
      </c>
      <c r="F49" s="32">
        <v>45208</v>
      </c>
      <c r="G49" t="s">
        <v>17</v>
      </c>
      <c r="H49">
        <v>2</v>
      </c>
      <c r="I49" t="str">
        <f>VLOOKUP(B49,товар!$A$1:$C$433,2,FALSE)</f>
        <v>Макароны</v>
      </c>
      <c r="J49" s="22">
        <f t="shared" si="0"/>
        <v>265.47674418604652</v>
      </c>
      <c r="K49" s="24">
        <f t="shared" si="1"/>
        <v>0.87587052691515921</v>
      </c>
      <c r="L49" t="str">
        <f>VLOOKUP(B49,товар!$A$1:$C$433,3,FALSE)</f>
        <v>Паста Зара</v>
      </c>
      <c r="M49" s="24">
        <f t="shared" si="2"/>
        <v>0.79994138907883161</v>
      </c>
      <c r="N49" s="29">
        <f t="shared" si="3"/>
        <v>276.67567567567568</v>
      </c>
      <c r="O49" s="32">
        <f>VLOOKUP(H49,клиенты!$A$2:$G$435,5,FALSE)</f>
        <v>44775</v>
      </c>
      <c r="P49">
        <f>Продажи[[#This Row],[дата создания чека]]-Продажи[[#This Row],[Дата регистрации клиента]]</f>
        <v>433</v>
      </c>
      <c r="Q49" t="str">
        <f>VLOOKUP(H49,Таблица3[],7,FALSE)</f>
        <v>Узбекистан</v>
      </c>
    </row>
    <row r="50" spans="1:17" x14ac:dyDescent="0.3">
      <c r="A50">
        <v>49</v>
      </c>
      <c r="B50">
        <v>299</v>
      </c>
      <c r="C50">
        <v>133</v>
      </c>
      <c r="D50">
        <v>1</v>
      </c>
      <c r="E50">
        <v>133</v>
      </c>
      <c r="F50" s="32">
        <v>45104</v>
      </c>
      <c r="G50" t="s">
        <v>16</v>
      </c>
      <c r="H50">
        <v>204</v>
      </c>
      <c r="I50" t="str">
        <f>VLOOKUP(B50,товар!$A$1:$C$433,2,FALSE)</f>
        <v>Чай</v>
      </c>
      <c r="J50" s="22">
        <f t="shared" si="0"/>
        <v>271.18181818181819</v>
      </c>
      <c r="K50" s="24">
        <f t="shared" si="1"/>
        <v>-0.50955414012738853</v>
      </c>
      <c r="L50" t="str">
        <f>VLOOKUP(B50,товар!$A$1:$C$433,3,FALSE)</f>
        <v>Lipton</v>
      </c>
      <c r="M50" s="24">
        <f t="shared" si="2"/>
        <v>-0.48877200080922512</v>
      </c>
      <c r="N50" s="29">
        <f t="shared" si="3"/>
        <v>260.15789473684208</v>
      </c>
      <c r="O50" s="32">
        <f>VLOOKUP(H50,клиенты!$A$2:$G$435,5,FALSE)</f>
        <v>44867</v>
      </c>
      <c r="P50">
        <f>Продажи[[#This Row],[дата создания чека]]-Продажи[[#This Row],[Дата регистрации клиента]]</f>
        <v>237</v>
      </c>
      <c r="Q50" t="str">
        <f>VLOOKUP(H50,Таблица3[],7,FALSE)</f>
        <v>Россия</v>
      </c>
    </row>
    <row r="51" spans="1:17" x14ac:dyDescent="0.3">
      <c r="A51">
        <v>50</v>
      </c>
      <c r="B51">
        <v>444</v>
      </c>
      <c r="C51">
        <v>311</v>
      </c>
      <c r="D51">
        <v>4</v>
      </c>
      <c r="E51">
        <v>1244</v>
      </c>
      <c r="F51" s="32">
        <v>45398</v>
      </c>
      <c r="G51" t="s">
        <v>23</v>
      </c>
      <c r="H51">
        <v>229</v>
      </c>
      <c r="I51" t="str">
        <f>VLOOKUP(B51,товар!$A$1:$C$433,2,FALSE)</f>
        <v>Йогурт</v>
      </c>
      <c r="J51" s="22">
        <f t="shared" si="0"/>
        <v>263.25423728813558</v>
      </c>
      <c r="K51" s="24">
        <f t="shared" si="1"/>
        <v>0.18136749935616803</v>
      </c>
      <c r="L51" t="str">
        <f>VLOOKUP(B51,товар!$A$1:$C$433,3,FALSE)</f>
        <v>Эрманн</v>
      </c>
      <c r="M51" s="24">
        <f t="shared" si="2"/>
        <v>0.25150905432595572</v>
      </c>
      <c r="N51" s="29">
        <f t="shared" si="3"/>
        <v>248.5</v>
      </c>
      <c r="O51" s="32">
        <f>VLOOKUP(H51,клиенты!$A$2:$G$435,5,FALSE)</f>
        <v>44766</v>
      </c>
      <c r="P51">
        <f>Продажи[[#This Row],[дата создания чека]]-Продажи[[#This Row],[Дата регистрации клиента]]</f>
        <v>632</v>
      </c>
      <c r="Q51" t="str">
        <f>VLOOKUP(H51,Таблица3[],7,FALSE)</f>
        <v>Беларусь</v>
      </c>
    </row>
    <row r="52" spans="1:17" x14ac:dyDescent="0.3">
      <c r="A52">
        <v>51</v>
      </c>
      <c r="B52">
        <v>35</v>
      </c>
      <c r="C52">
        <v>242</v>
      </c>
      <c r="D52">
        <v>2</v>
      </c>
      <c r="E52">
        <v>484</v>
      </c>
      <c r="F52" s="32">
        <v>45239</v>
      </c>
      <c r="G52" t="s">
        <v>22</v>
      </c>
      <c r="H52">
        <v>385</v>
      </c>
      <c r="I52" t="str">
        <f>VLOOKUP(B52,товар!$A$1:$C$433,2,FALSE)</f>
        <v>Крупа</v>
      </c>
      <c r="J52" s="22">
        <f t="shared" si="0"/>
        <v>255.11627906976744</v>
      </c>
      <c r="K52" s="24">
        <f t="shared" si="1"/>
        <v>-5.1412944393801285E-2</v>
      </c>
      <c r="L52" t="str">
        <f>VLOOKUP(B52,товар!$A$1:$C$433,3,FALSE)</f>
        <v>Мистраль</v>
      </c>
      <c r="M52" s="24">
        <f t="shared" si="2"/>
        <v>-3.3189920098340542E-2</v>
      </c>
      <c r="N52" s="29">
        <f t="shared" si="3"/>
        <v>250.30769230769232</v>
      </c>
      <c r="O52" s="32">
        <f>VLOOKUP(H52,клиенты!$A$2:$G$435,5,FALSE)</f>
        <v>44753</v>
      </c>
      <c r="P52">
        <f>Продажи[[#This Row],[дата создания чека]]-Продажи[[#This Row],[Дата регистрации клиента]]</f>
        <v>486</v>
      </c>
      <c r="Q52" t="str">
        <f>VLOOKUP(H52,Таблица3[],7,FALSE)</f>
        <v>Украина</v>
      </c>
    </row>
    <row r="53" spans="1:17" x14ac:dyDescent="0.3">
      <c r="A53">
        <v>52</v>
      </c>
      <c r="B53">
        <v>296</v>
      </c>
      <c r="C53">
        <v>101</v>
      </c>
      <c r="D53">
        <v>3</v>
      </c>
      <c r="E53">
        <v>303</v>
      </c>
      <c r="F53" s="32">
        <v>45080</v>
      </c>
      <c r="G53" t="s">
        <v>19</v>
      </c>
      <c r="H53">
        <v>407</v>
      </c>
      <c r="I53" t="str">
        <f>VLOOKUP(B53,товар!$A$1:$C$433,2,FALSE)</f>
        <v>Крупа</v>
      </c>
      <c r="J53" s="22">
        <f t="shared" si="0"/>
        <v>255.11627906976744</v>
      </c>
      <c r="K53" s="24">
        <f t="shared" si="1"/>
        <v>-0.60410209662716507</v>
      </c>
      <c r="L53" t="str">
        <f>VLOOKUP(B53,товар!$A$1:$C$433,3,FALSE)</f>
        <v>Мистраль</v>
      </c>
      <c r="M53" s="24">
        <f t="shared" si="2"/>
        <v>-0.59649661954517519</v>
      </c>
      <c r="N53" s="29">
        <f t="shared" si="3"/>
        <v>250.30769230769232</v>
      </c>
      <c r="O53" s="32">
        <f>VLOOKUP(H53,клиенты!$A$2:$G$435,5,FALSE)</f>
        <v>44621</v>
      </c>
      <c r="P53">
        <f>Продажи[[#This Row],[дата создания чека]]-Продажи[[#This Row],[Дата регистрации клиента]]</f>
        <v>459</v>
      </c>
      <c r="Q53" t="str">
        <f>VLOOKUP(H53,Таблица3[],7,FALSE)</f>
        <v>Беларусь</v>
      </c>
    </row>
    <row r="54" spans="1:17" x14ac:dyDescent="0.3">
      <c r="A54">
        <v>53</v>
      </c>
      <c r="B54">
        <v>227</v>
      </c>
      <c r="C54">
        <v>65</v>
      </c>
      <c r="D54">
        <v>1</v>
      </c>
      <c r="E54">
        <v>65</v>
      </c>
      <c r="F54" s="32">
        <v>45308</v>
      </c>
      <c r="G54" t="s">
        <v>10</v>
      </c>
      <c r="H54">
        <v>493</v>
      </c>
      <c r="I54" t="str">
        <f>VLOOKUP(B54,товар!$A$1:$C$433,2,FALSE)</f>
        <v>Макароны</v>
      </c>
      <c r="J54" s="22">
        <f t="shared" si="0"/>
        <v>265.47674418604652</v>
      </c>
      <c r="K54" s="24">
        <f t="shared" si="1"/>
        <v>-0.75515746134641493</v>
      </c>
      <c r="L54" t="str">
        <f>VLOOKUP(B54,товар!$A$1:$C$433,3,FALSE)</f>
        <v>Макфа</v>
      </c>
      <c r="M54" s="24">
        <f t="shared" si="2"/>
        <v>-0.80259525124240749</v>
      </c>
      <c r="N54" s="29">
        <f t="shared" si="3"/>
        <v>329.27272727272725</v>
      </c>
      <c r="O54" s="32">
        <f>VLOOKUP(H54,клиенты!$A$2:$G$435,5,FALSE)</f>
        <v>44855</v>
      </c>
      <c r="P54">
        <f>Продажи[[#This Row],[дата создания чека]]-Продажи[[#This Row],[Дата регистрации клиента]]</f>
        <v>453</v>
      </c>
      <c r="Q54" t="str">
        <f>VLOOKUP(H54,Таблица3[],7,FALSE)</f>
        <v>Украина</v>
      </c>
    </row>
    <row r="55" spans="1:17" x14ac:dyDescent="0.3">
      <c r="A55">
        <v>54</v>
      </c>
      <c r="B55">
        <v>167</v>
      </c>
      <c r="C55">
        <v>143</v>
      </c>
      <c r="D55">
        <v>3</v>
      </c>
      <c r="E55">
        <v>429</v>
      </c>
      <c r="F55" s="32">
        <v>45246</v>
      </c>
      <c r="G55" t="s">
        <v>22</v>
      </c>
      <c r="H55">
        <v>34</v>
      </c>
      <c r="I55" t="str">
        <f>VLOOKUP(B55,товар!$A$1:$C$433,2,FALSE)</f>
        <v>Мясо</v>
      </c>
      <c r="J55" s="22">
        <f t="shared" si="0"/>
        <v>271.74545454545455</v>
      </c>
      <c r="K55" s="24">
        <f t="shared" si="1"/>
        <v>-0.47377224675498464</v>
      </c>
      <c r="L55" t="str">
        <f>VLOOKUP(B55,товар!$A$1:$C$433,3,FALSE)</f>
        <v>Сава</v>
      </c>
      <c r="M55" s="24">
        <f t="shared" si="2"/>
        <v>-0.32804698972099855</v>
      </c>
      <c r="N55" s="29">
        <f t="shared" si="3"/>
        <v>212.8125</v>
      </c>
      <c r="O55" s="32">
        <f>VLOOKUP(H55,клиенты!$A$2:$G$435,5,FALSE)</f>
        <v>44654</v>
      </c>
      <c r="P55">
        <f>Продажи[[#This Row],[дата создания чека]]-Продажи[[#This Row],[Дата регистрации клиента]]</f>
        <v>592</v>
      </c>
      <c r="Q55" t="str">
        <f>VLOOKUP(H55,Таблица3[],7,FALSE)</f>
        <v>Таджикистан</v>
      </c>
    </row>
    <row r="56" spans="1:17" x14ac:dyDescent="0.3">
      <c r="A56">
        <v>55</v>
      </c>
      <c r="B56">
        <v>146</v>
      </c>
      <c r="C56">
        <v>402</v>
      </c>
      <c r="D56">
        <v>5</v>
      </c>
      <c r="E56">
        <v>2010</v>
      </c>
      <c r="F56" s="32">
        <v>45356</v>
      </c>
      <c r="G56" t="s">
        <v>13</v>
      </c>
      <c r="H56">
        <v>190</v>
      </c>
      <c r="I56" t="str">
        <f>VLOOKUP(B56,товар!$A$1:$C$433,2,FALSE)</f>
        <v>Сок</v>
      </c>
      <c r="J56" s="22">
        <f t="shared" si="0"/>
        <v>268.60344827586209</v>
      </c>
      <c r="K56" s="24">
        <f t="shared" si="1"/>
        <v>0.49663007895243583</v>
      </c>
      <c r="L56" t="str">
        <f>VLOOKUP(B56,товар!$A$1:$C$433,3,FALSE)</f>
        <v>Добрый</v>
      </c>
      <c r="M56" s="24">
        <f t="shared" si="2"/>
        <v>0.65555971546237357</v>
      </c>
      <c r="N56" s="29">
        <f t="shared" si="3"/>
        <v>242.81818181818181</v>
      </c>
      <c r="O56" s="32">
        <f>VLOOKUP(H56,клиенты!$A$2:$G$435,5,FALSE)</f>
        <v>44689</v>
      </c>
      <c r="P56">
        <f>Продажи[[#This Row],[дата создания чека]]-Продажи[[#This Row],[Дата регистрации клиента]]</f>
        <v>667</v>
      </c>
      <c r="Q56" t="str">
        <f>VLOOKUP(H56,Таблица3[],7,FALSE)</f>
        <v>Беларусь</v>
      </c>
    </row>
    <row r="57" spans="1:17" x14ac:dyDescent="0.3">
      <c r="A57">
        <v>56</v>
      </c>
      <c r="B57">
        <v>338</v>
      </c>
      <c r="C57">
        <v>97</v>
      </c>
      <c r="D57">
        <v>1</v>
      </c>
      <c r="E57">
        <v>97</v>
      </c>
      <c r="F57" s="32">
        <v>45234</v>
      </c>
      <c r="G57" t="s">
        <v>17</v>
      </c>
      <c r="H57">
        <v>266</v>
      </c>
      <c r="I57" t="str">
        <f>VLOOKUP(B57,товар!$A$1:$C$433,2,FALSE)</f>
        <v>Сыр</v>
      </c>
      <c r="J57" s="22">
        <f t="shared" si="0"/>
        <v>262.63492063492066</v>
      </c>
      <c r="K57" s="24">
        <f t="shared" si="1"/>
        <v>-0.6306660219992748</v>
      </c>
      <c r="L57" t="str">
        <f>VLOOKUP(B57,товар!$A$1:$C$433,3,FALSE)</f>
        <v>President</v>
      </c>
      <c r="M57" s="24">
        <f t="shared" si="2"/>
        <v>-0.59367000232720502</v>
      </c>
      <c r="N57" s="29">
        <f t="shared" si="3"/>
        <v>238.72222222222223</v>
      </c>
      <c r="O57" s="32">
        <f>VLOOKUP(H57,клиенты!$A$2:$G$435,5,FALSE)</f>
        <v>44795</v>
      </c>
      <c r="P57">
        <f>Продажи[[#This Row],[дата создания чека]]-Продажи[[#This Row],[Дата регистрации клиента]]</f>
        <v>439</v>
      </c>
      <c r="Q57" t="str">
        <f>VLOOKUP(H57,Таблица3[],7,FALSE)</f>
        <v>Россия</v>
      </c>
    </row>
    <row r="58" spans="1:17" x14ac:dyDescent="0.3">
      <c r="A58">
        <v>57</v>
      </c>
      <c r="B58">
        <v>155</v>
      </c>
      <c r="C58">
        <v>482</v>
      </c>
      <c r="D58">
        <v>1</v>
      </c>
      <c r="E58">
        <v>482</v>
      </c>
      <c r="F58" s="32">
        <v>45400</v>
      </c>
      <c r="G58" t="s">
        <v>14</v>
      </c>
      <c r="H58">
        <v>222</v>
      </c>
      <c r="I58" t="str">
        <f>VLOOKUP(B58,товар!$A$1:$C$433,2,FALSE)</f>
        <v>Йогурт</v>
      </c>
      <c r="J58" s="22">
        <f t="shared" si="0"/>
        <v>263.25423728813558</v>
      </c>
      <c r="K58" s="24">
        <f t="shared" si="1"/>
        <v>0.83092969353592583</v>
      </c>
      <c r="L58" t="str">
        <f>VLOOKUP(B58,товар!$A$1:$C$433,3,FALSE)</f>
        <v>Эрманн</v>
      </c>
      <c r="M58" s="24">
        <f t="shared" si="2"/>
        <v>0.93963782696177067</v>
      </c>
      <c r="N58" s="29">
        <f t="shared" si="3"/>
        <v>248.5</v>
      </c>
      <c r="O58" s="32">
        <f>VLOOKUP(H58,клиенты!$A$2:$G$435,5,FALSE)</f>
        <v>44694</v>
      </c>
      <c r="P58">
        <f>Продажи[[#This Row],[дата создания чека]]-Продажи[[#This Row],[Дата регистрации клиента]]</f>
        <v>706</v>
      </c>
      <c r="Q58" t="str">
        <f>VLOOKUP(H58,Таблица3[],7,FALSE)</f>
        <v>Украина</v>
      </c>
    </row>
    <row r="59" spans="1:17" x14ac:dyDescent="0.3">
      <c r="A59">
        <v>58</v>
      </c>
      <c r="B59">
        <v>239</v>
      </c>
      <c r="C59">
        <v>59</v>
      </c>
      <c r="D59">
        <v>1</v>
      </c>
      <c r="E59">
        <v>59</v>
      </c>
      <c r="F59" s="32">
        <v>45214</v>
      </c>
      <c r="G59" t="s">
        <v>25</v>
      </c>
      <c r="H59">
        <v>382</v>
      </c>
      <c r="I59" t="str">
        <f>VLOOKUP(B59,товар!$A$1:$C$433,2,FALSE)</f>
        <v>Йогурт</v>
      </c>
      <c r="J59" s="22">
        <f t="shared" si="0"/>
        <v>263.25423728813558</v>
      </c>
      <c r="K59" s="24">
        <f t="shared" si="1"/>
        <v>-0.77588204996137011</v>
      </c>
      <c r="L59" t="str">
        <f>VLOOKUP(B59,товар!$A$1:$C$433,3,FALSE)</f>
        <v>Эрманн</v>
      </c>
      <c r="M59" s="24">
        <f t="shared" si="2"/>
        <v>-0.76257545271629779</v>
      </c>
      <c r="N59" s="29">
        <f t="shared" si="3"/>
        <v>248.5</v>
      </c>
      <c r="O59" s="32">
        <f>VLOOKUP(H59,клиенты!$A$2:$G$435,5,FALSE)</f>
        <v>44850</v>
      </c>
      <c r="P59">
        <f>Продажи[[#This Row],[дата создания чека]]-Продажи[[#This Row],[Дата регистрации клиента]]</f>
        <v>364</v>
      </c>
      <c r="Q59" t="str">
        <f>VLOOKUP(H59,Таблица3[],7,FALSE)</f>
        <v>Беларусь</v>
      </c>
    </row>
    <row r="60" spans="1:17" x14ac:dyDescent="0.3">
      <c r="A60">
        <v>59</v>
      </c>
      <c r="B60">
        <v>158</v>
      </c>
      <c r="C60">
        <v>87</v>
      </c>
      <c r="D60">
        <v>4</v>
      </c>
      <c r="E60">
        <v>348</v>
      </c>
      <c r="F60" s="32">
        <v>45423</v>
      </c>
      <c r="G60" t="s">
        <v>16</v>
      </c>
      <c r="H60">
        <v>142</v>
      </c>
      <c r="I60" t="str">
        <f>VLOOKUP(B60,товар!$A$1:$C$433,2,FALSE)</f>
        <v>Сахар</v>
      </c>
      <c r="J60" s="22">
        <f t="shared" si="0"/>
        <v>252.76271186440678</v>
      </c>
      <c r="K60" s="24">
        <f t="shared" si="1"/>
        <v>-0.65580366123516398</v>
      </c>
      <c r="L60" t="str">
        <f>VLOOKUP(B60,товар!$A$1:$C$433,3,FALSE)</f>
        <v>Сладов</v>
      </c>
      <c r="M60" s="24">
        <f t="shared" si="2"/>
        <v>-0.63790233074361824</v>
      </c>
      <c r="N60" s="29">
        <f t="shared" si="3"/>
        <v>240.26666666666668</v>
      </c>
      <c r="O60" s="32">
        <f>VLOOKUP(H60,клиенты!$A$2:$G$435,5,FALSE)</f>
        <v>44683</v>
      </c>
      <c r="P60">
        <f>Продажи[[#This Row],[дата создания чека]]-Продажи[[#This Row],[Дата регистрации клиента]]</f>
        <v>740</v>
      </c>
      <c r="Q60" t="str">
        <f>VLOOKUP(H60,Таблица3[],7,FALSE)</f>
        <v>Россия</v>
      </c>
    </row>
    <row r="61" spans="1:17" x14ac:dyDescent="0.3">
      <c r="A61">
        <v>60</v>
      </c>
      <c r="B61">
        <v>147</v>
      </c>
      <c r="C61">
        <v>238</v>
      </c>
      <c r="D61">
        <v>5</v>
      </c>
      <c r="E61">
        <v>1190</v>
      </c>
      <c r="F61" s="32">
        <v>44981</v>
      </c>
      <c r="G61" t="s">
        <v>15</v>
      </c>
      <c r="H61">
        <v>270</v>
      </c>
      <c r="I61" t="str">
        <f>VLOOKUP(B61,товар!$A$1:$C$433,2,FALSE)</f>
        <v>Конфеты</v>
      </c>
      <c r="J61" s="22">
        <f t="shared" si="0"/>
        <v>267.85483870967744</v>
      </c>
      <c r="K61" s="24">
        <f t="shared" si="1"/>
        <v>-0.11145902330342627</v>
      </c>
      <c r="L61" t="str">
        <f>VLOOKUP(B61,товар!$A$1:$C$433,3,FALSE)</f>
        <v>Бабаевский</v>
      </c>
      <c r="M61" s="24">
        <f t="shared" si="2"/>
        <v>-4.8986236495486168E-2</v>
      </c>
      <c r="N61" s="29">
        <f t="shared" si="3"/>
        <v>250.25925925925927</v>
      </c>
      <c r="O61" s="32">
        <f>VLOOKUP(H61,клиенты!$A$2:$G$435,5,FALSE)</f>
        <v>44827</v>
      </c>
      <c r="P61">
        <f>Продажи[[#This Row],[дата создания чека]]-Продажи[[#This Row],[Дата регистрации клиента]]</f>
        <v>154</v>
      </c>
      <c r="Q61" t="str">
        <f>VLOOKUP(H61,Таблица3[],7,FALSE)</f>
        <v>Таджикистан</v>
      </c>
    </row>
    <row r="62" spans="1:17" x14ac:dyDescent="0.3">
      <c r="A62">
        <v>61</v>
      </c>
      <c r="B62">
        <v>311</v>
      </c>
      <c r="C62">
        <v>238</v>
      </c>
      <c r="D62">
        <v>5</v>
      </c>
      <c r="E62">
        <v>1190</v>
      </c>
      <c r="F62" s="32">
        <v>45245</v>
      </c>
      <c r="G62" t="s">
        <v>15</v>
      </c>
      <c r="H62">
        <v>150</v>
      </c>
      <c r="I62" t="str">
        <f>VLOOKUP(B62,товар!$A$1:$C$433,2,FALSE)</f>
        <v>Макароны</v>
      </c>
      <c r="J62" s="22">
        <f t="shared" si="0"/>
        <v>265.47674418604652</v>
      </c>
      <c r="K62" s="24">
        <f t="shared" si="1"/>
        <v>-0.10349962769918097</v>
      </c>
      <c r="L62" t="str">
        <f>VLOOKUP(B62,товар!$A$1:$C$433,3,FALSE)</f>
        <v>Паста Зара</v>
      </c>
      <c r="M62" s="24">
        <f t="shared" si="2"/>
        <v>-0.13978704698642186</v>
      </c>
      <c r="N62" s="29">
        <f t="shared" si="3"/>
        <v>276.67567567567568</v>
      </c>
      <c r="O62" s="32">
        <f>VLOOKUP(H62,клиенты!$A$2:$G$435,5,FALSE)</f>
        <v>44622</v>
      </c>
      <c r="P62">
        <f>Продажи[[#This Row],[дата создания чека]]-Продажи[[#This Row],[Дата регистрации клиента]]</f>
        <v>623</v>
      </c>
      <c r="Q62" t="str">
        <f>VLOOKUP(H62,Таблица3[],7,FALSE)</f>
        <v>Узбекистан</v>
      </c>
    </row>
    <row r="63" spans="1:17" x14ac:dyDescent="0.3">
      <c r="A63">
        <v>62</v>
      </c>
      <c r="B63">
        <v>465</v>
      </c>
      <c r="C63">
        <v>311</v>
      </c>
      <c r="D63">
        <v>2</v>
      </c>
      <c r="E63">
        <v>622</v>
      </c>
      <c r="F63" s="32">
        <v>44934</v>
      </c>
      <c r="G63" t="s">
        <v>9</v>
      </c>
      <c r="H63">
        <v>14</v>
      </c>
      <c r="I63" t="str">
        <f>VLOOKUP(B63,товар!$A$1:$C$433,2,FALSE)</f>
        <v>Йогурт</v>
      </c>
      <c r="J63" s="22">
        <f t="shared" si="0"/>
        <v>263.25423728813558</v>
      </c>
      <c r="K63" s="24">
        <f t="shared" si="1"/>
        <v>0.18136749935616803</v>
      </c>
      <c r="L63" t="str">
        <f>VLOOKUP(B63,товар!$A$1:$C$433,3,FALSE)</f>
        <v>Ростагроэкспорт</v>
      </c>
      <c r="M63" s="24">
        <f t="shared" si="2"/>
        <v>0.20644290774160901</v>
      </c>
      <c r="N63" s="29">
        <f t="shared" si="3"/>
        <v>257.78260869565219</v>
      </c>
      <c r="O63" s="32">
        <f>VLOOKUP(H63,клиенты!$A$2:$G$435,5,FALSE)</f>
        <v>44775</v>
      </c>
      <c r="P63">
        <f>Продажи[[#This Row],[дата создания чека]]-Продажи[[#This Row],[Дата регистрации клиента]]</f>
        <v>159</v>
      </c>
      <c r="Q63" t="str">
        <f>VLOOKUP(H63,Таблица3[],7,FALSE)</f>
        <v>Таджикистан</v>
      </c>
    </row>
    <row r="64" spans="1:17" x14ac:dyDescent="0.3">
      <c r="A64">
        <v>63</v>
      </c>
      <c r="B64">
        <v>449</v>
      </c>
      <c r="C64">
        <v>392</v>
      </c>
      <c r="D64">
        <v>3</v>
      </c>
      <c r="E64">
        <v>1176</v>
      </c>
      <c r="F64" s="32">
        <v>45267</v>
      </c>
      <c r="G64" t="s">
        <v>19</v>
      </c>
      <c r="H64">
        <v>371</v>
      </c>
      <c r="I64" t="str">
        <f>VLOOKUP(B64,товар!$A$1:$C$433,2,FALSE)</f>
        <v>Мясо</v>
      </c>
      <c r="J64" s="22">
        <f t="shared" si="0"/>
        <v>271.74545454545455</v>
      </c>
      <c r="K64" s="24">
        <f t="shared" si="1"/>
        <v>0.44252642847584633</v>
      </c>
      <c r="L64" t="str">
        <f>VLOOKUP(B64,товар!$A$1:$C$433,3,FALSE)</f>
        <v>Агрокомплекс</v>
      </c>
      <c r="M64" s="24">
        <f t="shared" si="2"/>
        <v>0.25964010282776351</v>
      </c>
      <c r="N64" s="29">
        <f t="shared" si="3"/>
        <v>311.2</v>
      </c>
      <c r="O64" s="32">
        <f>VLOOKUP(H64,клиенты!$A$2:$G$435,5,FALSE)</f>
        <v>44844</v>
      </c>
      <c r="P64">
        <f>Продажи[[#This Row],[дата создания чека]]-Продажи[[#This Row],[Дата регистрации клиента]]</f>
        <v>423</v>
      </c>
      <c r="Q64" t="str">
        <f>VLOOKUP(H64,Таблица3[],7,FALSE)</f>
        <v>Украина</v>
      </c>
    </row>
    <row r="65" spans="1:17" x14ac:dyDescent="0.3">
      <c r="A65">
        <v>64</v>
      </c>
      <c r="B65">
        <v>144</v>
      </c>
      <c r="C65">
        <v>473</v>
      </c>
      <c r="D65">
        <v>5</v>
      </c>
      <c r="E65">
        <v>2365</v>
      </c>
      <c r="F65" s="32">
        <v>45280</v>
      </c>
      <c r="G65" t="s">
        <v>17</v>
      </c>
      <c r="H65">
        <v>328</v>
      </c>
      <c r="I65" t="str">
        <f>VLOOKUP(B65,товар!$A$1:$C$433,2,FALSE)</f>
        <v>Макароны</v>
      </c>
      <c r="J65" s="22">
        <f t="shared" si="0"/>
        <v>265.47674418604652</v>
      </c>
      <c r="K65" s="24">
        <f t="shared" si="1"/>
        <v>0.78170031974070331</v>
      </c>
      <c r="L65" t="str">
        <f>VLOOKUP(B65,товар!$A$1:$C$433,3,FALSE)</f>
        <v>Роллтон</v>
      </c>
      <c r="M65" s="24">
        <f t="shared" si="2"/>
        <v>1.0080188679245285</v>
      </c>
      <c r="N65" s="29">
        <f t="shared" si="3"/>
        <v>235.55555555555554</v>
      </c>
      <c r="O65" s="32">
        <f>VLOOKUP(H65,клиенты!$A$2:$G$435,5,FALSE)</f>
        <v>44568</v>
      </c>
      <c r="P65">
        <f>Продажи[[#This Row],[дата создания чека]]-Продажи[[#This Row],[Дата регистрации клиента]]</f>
        <v>712</v>
      </c>
      <c r="Q65" t="str">
        <f>VLOOKUP(H65,Таблица3[],7,FALSE)</f>
        <v>Россия</v>
      </c>
    </row>
    <row r="66" spans="1:17" x14ac:dyDescent="0.3">
      <c r="A66">
        <v>65</v>
      </c>
      <c r="B66">
        <v>375</v>
      </c>
      <c r="C66">
        <v>231</v>
      </c>
      <c r="D66">
        <v>2</v>
      </c>
      <c r="E66">
        <v>462</v>
      </c>
      <c r="F66" s="32">
        <v>45114</v>
      </c>
      <c r="G66" t="s">
        <v>18</v>
      </c>
      <c r="H66">
        <v>171</v>
      </c>
      <c r="I66" t="str">
        <f>VLOOKUP(B66,товар!$A$1:$C$433,2,FALSE)</f>
        <v>Макароны</v>
      </c>
      <c r="J66" s="22">
        <f t="shared" ref="J66:J129" si="4">AVERAGEIF($I$2:$I$1001,I66,$C$2:$C$1001)</f>
        <v>265.47674418604652</v>
      </c>
      <c r="K66" s="24">
        <f t="shared" ref="K66:K129" si="5">C66/J66-1</f>
        <v>-0.12986728570802852</v>
      </c>
      <c r="L66" t="str">
        <f>VLOOKUP(B66,товар!$A$1:$C$433,3,FALSE)</f>
        <v>Борилла</v>
      </c>
      <c r="M66" s="24">
        <f t="shared" ref="M66:M129" si="6">C66/N66-1</f>
        <v>-2.2329246935201441E-2</v>
      </c>
      <c r="N66" s="29">
        <f t="shared" ref="N66:N129" si="7">AVERAGEIFS($C$2:$C$1001,$I$2:$I$1001,I66,$L$2:$L$1001,L66)</f>
        <v>236.27586206896552</v>
      </c>
      <c r="O66" s="32">
        <f>VLOOKUP(H66,клиенты!$A$2:$G$435,5,FALSE)</f>
        <v>44710</v>
      </c>
      <c r="P66">
        <f>Продажи[[#This Row],[дата создания чека]]-Продажи[[#This Row],[Дата регистрации клиента]]</f>
        <v>404</v>
      </c>
      <c r="Q66" t="str">
        <f>VLOOKUP(H66,Таблица3[],7,FALSE)</f>
        <v>Россия</v>
      </c>
    </row>
    <row r="67" spans="1:17" x14ac:dyDescent="0.3">
      <c r="A67">
        <v>66</v>
      </c>
      <c r="B67">
        <v>408</v>
      </c>
      <c r="C67">
        <v>438</v>
      </c>
      <c r="D67">
        <v>3</v>
      </c>
      <c r="E67">
        <v>1314</v>
      </c>
      <c r="F67" s="32">
        <v>44973</v>
      </c>
      <c r="G67" t="s">
        <v>19</v>
      </c>
      <c r="H67">
        <v>68</v>
      </c>
      <c r="I67" t="str">
        <f>VLOOKUP(B67,товар!$A$1:$C$433,2,FALSE)</f>
        <v>Йогурт</v>
      </c>
      <c r="J67" s="22">
        <f t="shared" si="4"/>
        <v>263.25423728813558</v>
      </c>
      <c r="K67" s="24">
        <f t="shared" si="5"/>
        <v>0.66379088333762559</v>
      </c>
      <c r="L67" t="str">
        <f>VLOOKUP(B67,товар!$A$1:$C$433,3,FALSE)</f>
        <v>Эрманн</v>
      </c>
      <c r="M67" s="24">
        <f t="shared" si="6"/>
        <v>0.76257545271629779</v>
      </c>
      <c r="N67" s="29">
        <f t="shared" si="7"/>
        <v>248.5</v>
      </c>
      <c r="O67" s="32">
        <f>VLOOKUP(H67,клиенты!$A$2:$G$435,5,FALSE)</f>
        <v>44882</v>
      </c>
      <c r="P67">
        <f>Продажи[[#This Row],[дата создания чека]]-Продажи[[#This Row],[Дата регистрации клиента]]</f>
        <v>91</v>
      </c>
      <c r="Q67" t="str">
        <f>VLOOKUP(H67,Таблица3[],7,FALSE)</f>
        <v>Узбекистан</v>
      </c>
    </row>
    <row r="68" spans="1:17" x14ac:dyDescent="0.3">
      <c r="A68">
        <v>67</v>
      </c>
      <c r="B68">
        <v>425</v>
      </c>
      <c r="C68">
        <v>365</v>
      </c>
      <c r="D68">
        <v>2</v>
      </c>
      <c r="E68">
        <v>730</v>
      </c>
      <c r="F68" s="32">
        <v>44989</v>
      </c>
      <c r="G68" t="s">
        <v>21</v>
      </c>
      <c r="H68">
        <v>346</v>
      </c>
      <c r="I68" t="str">
        <f>VLOOKUP(B68,товар!$A$1:$C$433,2,FALSE)</f>
        <v>Соль</v>
      </c>
      <c r="J68" s="22">
        <f t="shared" si="4"/>
        <v>264.8679245283019</v>
      </c>
      <c r="K68" s="24">
        <f t="shared" si="5"/>
        <v>0.37804530559908822</v>
      </c>
      <c r="L68" t="str">
        <f>VLOOKUP(B68,товар!$A$1:$C$433,3,FALSE)</f>
        <v>Экстра</v>
      </c>
      <c r="M68" s="24">
        <f t="shared" si="6"/>
        <v>0.13761687844641557</v>
      </c>
      <c r="N68" s="29">
        <f t="shared" si="7"/>
        <v>320.84615384615387</v>
      </c>
      <c r="O68" s="32">
        <f>VLOOKUP(H68,клиенты!$A$2:$G$435,5,FALSE)</f>
        <v>44636</v>
      </c>
      <c r="P68">
        <f>Продажи[[#This Row],[дата создания чека]]-Продажи[[#This Row],[Дата регистрации клиента]]</f>
        <v>353</v>
      </c>
      <c r="Q68" t="str">
        <f>VLOOKUP(H68,Таблица3[],7,FALSE)</f>
        <v>Россия</v>
      </c>
    </row>
    <row r="69" spans="1:17" x14ac:dyDescent="0.3">
      <c r="A69">
        <v>68</v>
      </c>
      <c r="B69">
        <v>277</v>
      </c>
      <c r="C69">
        <v>324</v>
      </c>
      <c r="D69">
        <v>2</v>
      </c>
      <c r="E69">
        <v>648</v>
      </c>
      <c r="F69" s="32">
        <v>45287</v>
      </c>
      <c r="G69" t="s">
        <v>21</v>
      </c>
      <c r="H69">
        <v>415</v>
      </c>
      <c r="I69" t="str">
        <f>VLOOKUP(B69,товар!$A$1:$C$433,2,FALSE)</f>
        <v>Чай</v>
      </c>
      <c r="J69" s="22">
        <f t="shared" si="4"/>
        <v>271.18181818181819</v>
      </c>
      <c r="K69" s="24">
        <f t="shared" si="5"/>
        <v>0.19477036540395565</v>
      </c>
      <c r="L69" t="str">
        <f>VLOOKUP(B69,товар!$A$1:$C$433,3,FALSE)</f>
        <v>Greenfield</v>
      </c>
      <c r="M69" s="24">
        <f t="shared" si="6"/>
        <v>0.1116656269494698</v>
      </c>
      <c r="N69" s="29">
        <f t="shared" si="7"/>
        <v>291.45454545454544</v>
      </c>
      <c r="O69" s="32">
        <f>VLOOKUP(H69,клиенты!$A$2:$G$435,5,FALSE)</f>
        <v>44661</v>
      </c>
      <c r="P69">
        <f>Продажи[[#This Row],[дата создания чека]]-Продажи[[#This Row],[Дата регистрации клиента]]</f>
        <v>626</v>
      </c>
      <c r="Q69" t="str">
        <f>VLOOKUP(H69,Таблица3[],7,FALSE)</f>
        <v>Украина</v>
      </c>
    </row>
    <row r="70" spans="1:17" x14ac:dyDescent="0.3">
      <c r="A70">
        <v>69</v>
      </c>
      <c r="B70">
        <v>130</v>
      </c>
      <c r="C70">
        <v>208</v>
      </c>
      <c r="D70">
        <v>5</v>
      </c>
      <c r="E70">
        <v>1040</v>
      </c>
      <c r="F70" s="32">
        <v>44975</v>
      </c>
      <c r="G70" t="s">
        <v>15</v>
      </c>
      <c r="H70">
        <v>115</v>
      </c>
      <c r="I70" t="str">
        <f>VLOOKUP(B70,товар!$A$1:$C$433,2,FALSE)</f>
        <v>Соль</v>
      </c>
      <c r="J70" s="22">
        <f t="shared" si="4"/>
        <v>264.8679245283019</v>
      </c>
      <c r="K70" s="24">
        <f t="shared" si="5"/>
        <v>-0.21470294913805388</v>
      </c>
      <c r="L70" t="str">
        <f>VLOOKUP(B70,товар!$A$1:$C$433,3,FALSE)</f>
        <v>Илецкая</v>
      </c>
      <c r="M70" s="24">
        <f t="shared" si="6"/>
        <v>-0.12666200139958006</v>
      </c>
      <c r="N70" s="29">
        <f t="shared" si="7"/>
        <v>238.16666666666666</v>
      </c>
      <c r="O70" s="32">
        <f>VLOOKUP(H70,клиенты!$A$2:$G$435,5,FALSE)</f>
        <v>44832</v>
      </c>
      <c r="P70">
        <f>Продажи[[#This Row],[дата создания чека]]-Продажи[[#This Row],[Дата регистрации клиента]]</f>
        <v>143</v>
      </c>
      <c r="Q70" t="str">
        <f>VLOOKUP(H70,Таблица3[],7,FALSE)</f>
        <v>Беларусь</v>
      </c>
    </row>
    <row r="71" spans="1:17" x14ac:dyDescent="0.3">
      <c r="A71">
        <v>70</v>
      </c>
      <c r="B71">
        <v>337</v>
      </c>
      <c r="C71">
        <v>115</v>
      </c>
      <c r="D71">
        <v>3</v>
      </c>
      <c r="E71">
        <v>345</v>
      </c>
      <c r="F71" s="32">
        <v>45046</v>
      </c>
      <c r="G71" t="s">
        <v>8</v>
      </c>
      <c r="H71">
        <v>42</v>
      </c>
      <c r="I71" t="str">
        <f>VLOOKUP(B71,товар!$A$1:$C$433,2,FALSE)</f>
        <v>Макароны</v>
      </c>
      <c r="J71" s="22">
        <f t="shared" si="4"/>
        <v>265.47674418604652</v>
      </c>
      <c r="K71" s="24">
        <f t="shared" si="5"/>
        <v>-0.56681704699750335</v>
      </c>
      <c r="L71" t="str">
        <f>VLOOKUP(B71,товар!$A$1:$C$433,3,FALSE)</f>
        <v>Паста Зара</v>
      </c>
      <c r="M71" s="24">
        <f t="shared" si="6"/>
        <v>-0.5843508840480609</v>
      </c>
      <c r="N71" s="29">
        <f t="shared" si="7"/>
        <v>276.67567567567568</v>
      </c>
      <c r="O71" s="32">
        <f>VLOOKUP(H71,клиенты!$A$2:$G$435,5,FALSE)</f>
        <v>44783</v>
      </c>
      <c r="P71">
        <f>Продажи[[#This Row],[дата создания чека]]-Продажи[[#This Row],[Дата регистрации клиента]]</f>
        <v>263</v>
      </c>
      <c r="Q71" t="str">
        <f>VLOOKUP(H71,Таблица3[],7,FALSE)</f>
        <v>Таджикистан</v>
      </c>
    </row>
    <row r="72" spans="1:17" x14ac:dyDescent="0.3">
      <c r="A72">
        <v>71</v>
      </c>
      <c r="B72">
        <v>30</v>
      </c>
      <c r="C72">
        <v>261</v>
      </c>
      <c r="D72">
        <v>1</v>
      </c>
      <c r="E72">
        <v>261</v>
      </c>
      <c r="F72" s="32">
        <v>45000</v>
      </c>
      <c r="G72" t="s">
        <v>22</v>
      </c>
      <c r="H72">
        <v>378</v>
      </c>
      <c r="I72" t="str">
        <f>VLOOKUP(B72,товар!$A$1:$C$433,2,FALSE)</f>
        <v>Чипсы</v>
      </c>
      <c r="J72" s="22">
        <f t="shared" si="4"/>
        <v>273.72549019607845</v>
      </c>
      <c r="K72" s="24">
        <f t="shared" si="5"/>
        <v>-4.6489971346704961E-2</v>
      </c>
      <c r="L72" t="str">
        <f>VLOOKUP(B72,товар!$A$1:$C$433,3,FALSE)</f>
        <v>Pringles</v>
      </c>
      <c r="M72" s="24">
        <f t="shared" si="6"/>
        <v>-6.8649107901444406E-2</v>
      </c>
      <c r="N72" s="29">
        <f t="shared" si="7"/>
        <v>280.23809523809524</v>
      </c>
      <c r="O72" s="32">
        <f>VLOOKUP(H72,клиенты!$A$2:$G$435,5,FALSE)</f>
        <v>44710</v>
      </c>
      <c r="P72">
        <f>Продажи[[#This Row],[дата создания чека]]-Продажи[[#This Row],[Дата регистрации клиента]]</f>
        <v>290</v>
      </c>
      <c r="Q72" t="str">
        <f>VLOOKUP(H72,Таблица3[],7,FALSE)</f>
        <v>Россия</v>
      </c>
    </row>
    <row r="73" spans="1:17" x14ac:dyDescent="0.3">
      <c r="A73">
        <v>72</v>
      </c>
      <c r="B73">
        <v>75</v>
      </c>
      <c r="C73">
        <v>257</v>
      </c>
      <c r="D73">
        <v>2</v>
      </c>
      <c r="E73">
        <v>514</v>
      </c>
      <c r="F73" s="32">
        <v>45306</v>
      </c>
      <c r="G73" t="s">
        <v>25</v>
      </c>
      <c r="H73">
        <v>449</v>
      </c>
      <c r="I73" t="str">
        <f>VLOOKUP(B73,товар!$A$1:$C$433,2,FALSE)</f>
        <v>Печенье</v>
      </c>
      <c r="J73" s="22">
        <f t="shared" si="4"/>
        <v>283.468085106383</v>
      </c>
      <c r="K73" s="24">
        <f t="shared" si="5"/>
        <v>-9.3372363581775919E-2</v>
      </c>
      <c r="L73" t="str">
        <f>VLOOKUP(B73,товар!$A$1:$C$433,3,FALSE)</f>
        <v>Белогорье</v>
      </c>
      <c r="M73" s="24">
        <f t="shared" si="6"/>
        <v>3.0060120240480881E-2</v>
      </c>
      <c r="N73" s="29">
        <f t="shared" si="7"/>
        <v>249.5</v>
      </c>
      <c r="O73" s="32">
        <f>VLOOKUP(H73,клиенты!$A$2:$G$435,5,FALSE)</f>
        <v>44645</v>
      </c>
      <c r="P73">
        <f>Продажи[[#This Row],[дата создания чека]]-Продажи[[#This Row],[Дата регистрации клиента]]</f>
        <v>661</v>
      </c>
      <c r="Q73" t="str">
        <f>VLOOKUP(H73,Таблица3[],7,FALSE)</f>
        <v>Таджикистан</v>
      </c>
    </row>
    <row r="74" spans="1:17" x14ac:dyDescent="0.3">
      <c r="A74">
        <v>73</v>
      </c>
      <c r="B74">
        <v>118</v>
      </c>
      <c r="C74">
        <v>459</v>
      </c>
      <c r="D74">
        <v>2</v>
      </c>
      <c r="E74">
        <v>918</v>
      </c>
      <c r="F74" s="32">
        <v>44993</v>
      </c>
      <c r="G74" t="s">
        <v>17</v>
      </c>
      <c r="H74">
        <v>318</v>
      </c>
      <c r="I74" t="str">
        <f>VLOOKUP(B74,товар!$A$1:$C$433,2,FALSE)</f>
        <v>Сахар</v>
      </c>
      <c r="J74" s="22">
        <f t="shared" si="4"/>
        <v>252.76271186440678</v>
      </c>
      <c r="K74" s="24">
        <f t="shared" si="5"/>
        <v>0.81593240796620403</v>
      </c>
      <c r="L74" t="str">
        <f>VLOOKUP(B74,товар!$A$1:$C$433,3,FALSE)</f>
        <v>Продимекс</v>
      </c>
      <c r="M74" s="24">
        <f t="shared" si="6"/>
        <v>0.90852390852390852</v>
      </c>
      <c r="N74" s="29">
        <f t="shared" si="7"/>
        <v>240.5</v>
      </c>
      <c r="O74" s="32">
        <f>VLOOKUP(H74,клиенты!$A$2:$G$435,5,FALSE)</f>
        <v>44892</v>
      </c>
      <c r="P74">
        <f>Продажи[[#This Row],[дата создания чека]]-Продажи[[#This Row],[Дата регистрации клиента]]</f>
        <v>101</v>
      </c>
      <c r="Q74" t="str">
        <f>VLOOKUP(H74,Таблица3[],7,FALSE)</f>
        <v>Узбекистан</v>
      </c>
    </row>
    <row r="75" spans="1:17" x14ac:dyDescent="0.3">
      <c r="A75">
        <v>74</v>
      </c>
      <c r="B75">
        <v>19</v>
      </c>
      <c r="C75">
        <v>112</v>
      </c>
      <c r="D75">
        <v>4</v>
      </c>
      <c r="E75">
        <v>448</v>
      </c>
      <c r="F75" s="32">
        <v>45360</v>
      </c>
      <c r="G75" t="s">
        <v>17</v>
      </c>
      <c r="H75">
        <v>317</v>
      </c>
      <c r="I75" t="str">
        <f>VLOOKUP(B75,товар!$A$1:$C$433,2,FALSE)</f>
        <v>Мясо</v>
      </c>
      <c r="J75" s="22">
        <f t="shared" si="4"/>
        <v>271.74545454545455</v>
      </c>
      <c r="K75" s="24">
        <f t="shared" si="5"/>
        <v>-0.58784959186404384</v>
      </c>
      <c r="L75" t="str">
        <f>VLOOKUP(B75,товар!$A$1:$C$433,3,FALSE)</f>
        <v>Снежана</v>
      </c>
      <c r="M75" s="24">
        <f t="shared" si="6"/>
        <v>-0.58876889848812097</v>
      </c>
      <c r="N75" s="29">
        <f t="shared" si="7"/>
        <v>272.35294117647061</v>
      </c>
      <c r="O75" s="32">
        <f>VLOOKUP(H75,клиенты!$A$2:$G$435,5,FALSE)</f>
        <v>44770</v>
      </c>
      <c r="P75">
        <f>Продажи[[#This Row],[дата создания чека]]-Продажи[[#This Row],[Дата регистрации клиента]]</f>
        <v>590</v>
      </c>
      <c r="Q75" t="str">
        <f>VLOOKUP(H75,Таблица3[],7,FALSE)</f>
        <v>Россия</v>
      </c>
    </row>
    <row r="76" spans="1:17" x14ac:dyDescent="0.3">
      <c r="A76">
        <v>75</v>
      </c>
      <c r="B76">
        <v>204</v>
      </c>
      <c r="C76">
        <v>491</v>
      </c>
      <c r="D76">
        <v>4</v>
      </c>
      <c r="E76">
        <v>1964</v>
      </c>
      <c r="F76" s="32">
        <v>44930</v>
      </c>
      <c r="G76" t="s">
        <v>18</v>
      </c>
      <c r="H76">
        <v>426</v>
      </c>
      <c r="I76" t="str">
        <f>VLOOKUP(B76,товар!$A$1:$C$433,2,FALSE)</f>
        <v>Печенье</v>
      </c>
      <c r="J76" s="22">
        <f t="shared" si="4"/>
        <v>283.468085106383</v>
      </c>
      <c r="K76" s="24">
        <f t="shared" si="5"/>
        <v>0.73211739097800788</v>
      </c>
      <c r="L76" t="str">
        <f>VLOOKUP(B76,товар!$A$1:$C$433,3,FALSE)</f>
        <v>Юбилейное</v>
      </c>
      <c r="M76" s="24">
        <f t="shared" si="6"/>
        <v>1.1123326959847035</v>
      </c>
      <c r="N76" s="29">
        <f t="shared" si="7"/>
        <v>232.44444444444446</v>
      </c>
      <c r="O76" s="32">
        <f>VLOOKUP(H76,клиенты!$A$2:$G$435,5,FALSE)</f>
        <v>44768</v>
      </c>
      <c r="P76">
        <f>Продажи[[#This Row],[дата создания чека]]-Продажи[[#This Row],[Дата регистрации клиента]]</f>
        <v>162</v>
      </c>
      <c r="Q76" t="str">
        <f>VLOOKUP(H76,Таблица3[],7,FALSE)</f>
        <v>Таджикистан</v>
      </c>
    </row>
    <row r="77" spans="1:17" x14ac:dyDescent="0.3">
      <c r="A77">
        <v>76</v>
      </c>
      <c r="B77">
        <v>304</v>
      </c>
      <c r="C77">
        <v>162</v>
      </c>
      <c r="D77">
        <v>1</v>
      </c>
      <c r="E77">
        <v>162</v>
      </c>
      <c r="F77" s="32">
        <v>45316</v>
      </c>
      <c r="G77" t="s">
        <v>15</v>
      </c>
      <c r="H77">
        <v>25</v>
      </c>
      <c r="I77" t="str">
        <f>VLOOKUP(B77,товар!$A$1:$C$433,2,FALSE)</f>
        <v>Конфеты</v>
      </c>
      <c r="J77" s="22">
        <f t="shared" si="4"/>
        <v>267.85483870967744</v>
      </c>
      <c r="K77" s="24">
        <f t="shared" si="5"/>
        <v>-0.39519479737460106</v>
      </c>
      <c r="L77" t="str">
        <f>VLOOKUP(B77,товар!$A$1:$C$433,3,FALSE)</f>
        <v>Рот Фронт</v>
      </c>
      <c r="M77" s="24">
        <f t="shared" si="6"/>
        <v>-0.43796464563026594</v>
      </c>
      <c r="N77" s="29">
        <f t="shared" si="7"/>
        <v>288.23809523809524</v>
      </c>
      <c r="O77" s="32">
        <f>VLOOKUP(H77,клиенты!$A$2:$G$435,5,FALSE)</f>
        <v>44582</v>
      </c>
      <c r="P77">
        <f>Продажи[[#This Row],[дата создания чека]]-Продажи[[#This Row],[Дата регистрации клиента]]</f>
        <v>734</v>
      </c>
      <c r="Q77" t="str">
        <f>VLOOKUP(H77,Таблица3[],7,FALSE)</f>
        <v>Таджикистан</v>
      </c>
    </row>
    <row r="78" spans="1:17" x14ac:dyDescent="0.3">
      <c r="A78">
        <v>77</v>
      </c>
      <c r="B78">
        <v>189</v>
      </c>
      <c r="C78">
        <v>278</v>
      </c>
      <c r="D78">
        <v>2</v>
      </c>
      <c r="E78">
        <v>556</v>
      </c>
      <c r="F78" s="32">
        <v>45109</v>
      </c>
      <c r="G78" t="s">
        <v>23</v>
      </c>
      <c r="H78">
        <v>462</v>
      </c>
      <c r="I78" t="str">
        <f>VLOOKUP(B78,товар!$A$1:$C$433,2,FALSE)</f>
        <v>Хлеб</v>
      </c>
      <c r="J78" s="22">
        <f t="shared" si="4"/>
        <v>300.31818181818181</v>
      </c>
      <c r="K78" s="24">
        <f t="shared" si="5"/>
        <v>-7.4315120326925999E-2</v>
      </c>
      <c r="L78" t="str">
        <f>VLOOKUP(B78,товар!$A$1:$C$433,3,FALSE)</f>
        <v>Дарница</v>
      </c>
      <c r="M78" s="24">
        <f t="shared" si="6"/>
        <v>5.3030303030302983E-2</v>
      </c>
      <c r="N78" s="29">
        <f t="shared" si="7"/>
        <v>264</v>
      </c>
      <c r="O78" s="32">
        <f>VLOOKUP(H78,клиенты!$A$2:$G$435,5,FALSE)</f>
        <v>44751</v>
      </c>
      <c r="P78">
        <f>Продажи[[#This Row],[дата создания чека]]-Продажи[[#This Row],[Дата регистрации клиента]]</f>
        <v>358</v>
      </c>
      <c r="Q78" t="str">
        <f>VLOOKUP(H78,Таблица3[],7,FALSE)</f>
        <v>Россия</v>
      </c>
    </row>
    <row r="79" spans="1:17" x14ac:dyDescent="0.3">
      <c r="A79">
        <v>78</v>
      </c>
      <c r="B79">
        <v>392</v>
      </c>
      <c r="C79">
        <v>484</v>
      </c>
      <c r="D79">
        <v>4</v>
      </c>
      <c r="E79">
        <v>1936</v>
      </c>
      <c r="F79" s="32">
        <v>45302</v>
      </c>
      <c r="G79" t="s">
        <v>10</v>
      </c>
      <c r="H79">
        <v>252</v>
      </c>
      <c r="I79" t="str">
        <f>VLOOKUP(B79,товар!$A$1:$C$433,2,FALSE)</f>
        <v>Кофе</v>
      </c>
      <c r="J79" s="22">
        <f t="shared" si="4"/>
        <v>249.02380952380952</v>
      </c>
      <c r="K79" s="24">
        <f t="shared" si="5"/>
        <v>0.94358925327469167</v>
      </c>
      <c r="L79" t="str">
        <f>VLOOKUP(B79,товар!$A$1:$C$433,3,FALSE)</f>
        <v>Черная Карта</v>
      </c>
      <c r="M79" s="24">
        <f t="shared" si="6"/>
        <v>1.1782178217821784</v>
      </c>
      <c r="N79" s="29">
        <f t="shared" si="7"/>
        <v>222.2</v>
      </c>
      <c r="O79" s="32">
        <f>VLOOKUP(H79,клиенты!$A$2:$G$435,5,FALSE)</f>
        <v>44643</v>
      </c>
      <c r="P79">
        <f>Продажи[[#This Row],[дата создания чека]]-Продажи[[#This Row],[Дата регистрации клиента]]</f>
        <v>659</v>
      </c>
      <c r="Q79" t="str">
        <f>VLOOKUP(H79,Таблица3[],7,FALSE)</f>
        <v>Россия</v>
      </c>
    </row>
    <row r="80" spans="1:17" x14ac:dyDescent="0.3">
      <c r="A80">
        <v>79</v>
      </c>
      <c r="B80">
        <v>10</v>
      </c>
      <c r="C80">
        <v>53</v>
      </c>
      <c r="D80">
        <v>1</v>
      </c>
      <c r="E80">
        <v>53</v>
      </c>
      <c r="F80" s="32">
        <v>45164</v>
      </c>
      <c r="G80" t="s">
        <v>25</v>
      </c>
      <c r="H80">
        <v>392</v>
      </c>
      <c r="I80" t="str">
        <f>VLOOKUP(B80,товар!$A$1:$C$433,2,FALSE)</f>
        <v>Сок</v>
      </c>
      <c r="J80" s="22">
        <f t="shared" si="4"/>
        <v>268.60344827586209</v>
      </c>
      <c r="K80" s="24">
        <f t="shared" si="5"/>
        <v>-0.80268309904358437</v>
      </c>
      <c r="L80" t="str">
        <f>VLOOKUP(B80,товар!$A$1:$C$433,3,FALSE)</f>
        <v>Фруктовый сад</v>
      </c>
      <c r="M80" s="24">
        <f t="shared" si="6"/>
        <v>-0.81203590823451177</v>
      </c>
      <c r="N80" s="29">
        <f t="shared" si="7"/>
        <v>281.96875</v>
      </c>
      <c r="O80" s="32">
        <f>VLOOKUP(H80,клиенты!$A$2:$G$435,5,FALSE)</f>
        <v>44919</v>
      </c>
      <c r="P80">
        <f>Продажи[[#This Row],[дата создания чека]]-Продажи[[#This Row],[Дата регистрации клиента]]</f>
        <v>245</v>
      </c>
      <c r="Q80" t="str">
        <f>VLOOKUP(H80,Таблица3[],7,FALSE)</f>
        <v>Россия</v>
      </c>
    </row>
    <row r="81" spans="1:17" x14ac:dyDescent="0.3">
      <c r="A81">
        <v>80</v>
      </c>
      <c r="B81">
        <v>64</v>
      </c>
      <c r="C81">
        <v>131</v>
      </c>
      <c r="D81">
        <v>5</v>
      </c>
      <c r="E81">
        <v>655</v>
      </c>
      <c r="F81" s="32">
        <v>44946</v>
      </c>
      <c r="G81" t="s">
        <v>15</v>
      </c>
      <c r="H81">
        <v>487</v>
      </c>
      <c r="I81" t="str">
        <f>VLOOKUP(B81,товар!$A$1:$C$433,2,FALSE)</f>
        <v>Колбаса</v>
      </c>
      <c r="J81" s="22">
        <f t="shared" si="4"/>
        <v>286.92307692307691</v>
      </c>
      <c r="K81" s="24">
        <f t="shared" si="5"/>
        <v>-0.54343163538873984</v>
      </c>
      <c r="L81" t="str">
        <f>VLOOKUP(B81,товар!$A$1:$C$433,3,FALSE)</f>
        <v>Окраина</v>
      </c>
      <c r="M81" s="24">
        <f t="shared" si="6"/>
        <v>-0.52116966189460856</v>
      </c>
      <c r="N81" s="29">
        <f t="shared" si="7"/>
        <v>273.58333333333331</v>
      </c>
      <c r="O81" s="32">
        <f>VLOOKUP(H81,клиенты!$A$2:$G$435,5,FALSE)</f>
        <v>44815</v>
      </c>
      <c r="P81">
        <f>Продажи[[#This Row],[дата создания чека]]-Продажи[[#This Row],[Дата регистрации клиента]]</f>
        <v>131</v>
      </c>
      <c r="Q81" t="str">
        <f>VLOOKUP(H81,Таблица3[],7,FALSE)</f>
        <v>Россия</v>
      </c>
    </row>
    <row r="82" spans="1:17" x14ac:dyDescent="0.3">
      <c r="A82">
        <v>81</v>
      </c>
      <c r="B82">
        <v>116</v>
      </c>
      <c r="C82">
        <v>120</v>
      </c>
      <c r="D82">
        <v>2</v>
      </c>
      <c r="E82">
        <v>240</v>
      </c>
      <c r="F82" s="32">
        <v>45326</v>
      </c>
      <c r="G82" t="s">
        <v>26</v>
      </c>
      <c r="H82">
        <v>332</v>
      </c>
      <c r="I82" t="str">
        <f>VLOOKUP(B82,товар!$A$1:$C$433,2,FALSE)</f>
        <v>Соль</v>
      </c>
      <c r="J82" s="22">
        <f t="shared" si="4"/>
        <v>264.8679245283019</v>
      </c>
      <c r="K82" s="24">
        <f t="shared" si="5"/>
        <v>-0.54694400911810803</v>
      </c>
      <c r="L82" t="str">
        <f>VLOOKUP(B82,товар!$A$1:$C$433,3,FALSE)</f>
        <v>Экстра</v>
      </c>
      <c r="M82" s="24">
        <f t="shared" si="6"/>
        <v>-0.62598897146967158</v>
      </c>
      <c r="N82" s="29">
        <f t="shared" si="7"/>
        <v>320.84615384615387</v>
      </c>
      <c r="O82" s="32">
        <f>VLOOKUP(H82,клиенты!$A$2:$G$435,5,FALSE)</f>
        <v>44858</v>
      </c>
      <c r="P82">
        <f>Продажи[[#This Row],[дата создания чека]]-Продажи[[#This Row],[Дата регистрации клиента]]</f>
        <v>468</v>
      </c>
      <c r="Q82" t="str">
        <f>VLOOKUP(H82,Таблица3[],7,FALSE)</f>
        <v>Узбекистан</v>
      </c>
    </row>
    <row r="83" spans="1:17" x14ac:dyDescent="0.3">
      <c r="A83">
        <v>82</v>
      </c>
      <c r="B83">
        <v>334</v>
      </c>
      <c r="C83">
        <v>396</v>
      </c>
      <c r="D83">
        <v>4</v>
      </c>
      <c r="E83">
        <v>1584</v>
      </c>
      <c r="F83" s="32">
        <v>45173</v>
      </c>
      <c r="G83" t="s">
        <v>25</v>
      </c>
      <c r="H83">
        <v>134</v>
      </c>
      <c r="I83" t="str">
        <f>VLOOKUP(B83,товар!$A$1:$C$433,2,FALSE)</f>
        <v>Молоко</v>
      </c>
      <c r="J83" s="22">
        <f t="shared" si="4"/>
        <v>294.95238095238096</v>
      </c>
      <c r="K83" s="24">
        <f t="shared" si="5"/>
        <v>0.34258960284145945</v>
      </c>
      <c r="L83" t="str">
        <f>VLOOKUP(B83,товар!$A$1:$C$433,3,FALSE)</f>
        <v>Домик в деревне</v>
      </c>
      <c r="M83" s="24">
        <f t="shared" si="6"/>
        <v>0.44116457743631221</v>
      </c>
      <c r="N83" s="29">
        <f t="shared" si="7"/>
        <v>274.77777777777777</v>
      </c>
      <c r="O83" s="32">
        <f>VLOOKUP(H83,клиенты!$A$2:$G$435,5,FALSE)</f>
        <v>44753</v>
      </c>
      <c r="P83">
        <f>Продажи[[#This Row],[дата создания чека]]-Продажи[[#This Row],[Дата регистрации клиента]]</f>
        <v>420</v>
      </c>
      <c r="Q83" t="str">
        <f>VLOOKUP(H83,Таблица3[],7,FALSE)</f>
        <v>Россия</v>
      </c>
    </row>
    <row r="84" spans="1:17" x14ac:dyDescent="0.3">
      <c r="A84">
        <v>83</v>
      </c>
      <c r="B84">
        <v>345</v>
      </c>
      <c r="C84">
        <v>267</v>
      </c>
      <c r="D84">
        <v>5</v>
      </c>
      <c r="E84">
        <v>1335</v>
      </c>
      <c r="F84" s="32">
        <v>45004</v>
      </c>
      <c r="G84" t="s">
        <v>9</v>
      </c>
      <c r="H84">
        <v>287</v>
      </c>
      <c r="I84" t="str">
        <f>VLOOKUP(B84,товар!$A$1:$C$433,2,FALSE)</f>
        <v>Конфеты</v>
      </c>
      <c r="J84" s="22">
        <f t="shared" si="4"/>
        <v>267.85483870967744</v>
      </c>
      <c r="K84" s="24">
        <f t="shared" si="5"/>
        <v>-3.1914253025833172E-3</v>
      </c>
      <c r="L84" t="str">
        <f>VLOOKUP(B84,товар!$A$1:$C$433,3,FALSE)</f>
        <v>Рот Фронт</v>
      </c>
      <c r="M84" s="24">
        <f t="shared" si="6"/>
        <v>-7.3682471501734681E-2</v>
      </c>
      <c r="N84" s="29">
        <f t="shared" si="7"/>
        <v>288.23809523809524</v>
      </c>
      <c r="O84" s="32">
        <f>VLOOKUP(H84,клиенты!$A$2:$G$435,5,FALSE)</f>
        <v>44608</v>
      </c>
      <c r="P84">
        <f>Продажи[[#This Row],[дата создания чека]]-Продажи[[#This Row],[Дата регистрации клиента]]</f>
        <v>396</v>
      </c>
      <c r="Q84" t="str">
        <f>VLOOKUP(H84,Таблица3[],7,FALSE)</f>
        <v>Россия</v>
      </c>
    </row>
    <row r="85" spans="1:17" x14ac:dyDescent="0.3">
      <c r="A85">
        <v>84</v>
      </c>
      <c r="B85">
        <v>281</v>
      </c>
      <c r="C85">
        <v>371</v>
      </c>
      <c r="D85">
        <v>1</v>
      </c>
      <c r="E85">
        <v>371</v>
      </c>
      <c r="F85" s="32">
        <v>44993</v>
      </c>
      <c r="G85" t="s">
        <v>22</v>
      </c>
      <c r="H85">
        <v>11</v>
      </c>
      <c r="I85" t="str">
        <f>VLOOKUP(B85,товар!$A$1:$C$433,2,FALSE)</f>
        <v>Чай</v>
      </c>
      <c r="J85" s="22">
        <f t="shared" si="4"/>
        <v>271.18181818181819</v>
      </c>
      <c r="K85" s="24">
        <f t="shared" si="5"/>
        <v>0.36808581964465303</v>
      </c>
      <c r="L85" t="str">
        <f>VLOOKUP(B85,товар!$A$1:$C$433,3,FALSE)</f>
        <v>Lipton</v>
      </c>
      <c r="M85" s="24">
        <f t="shared" si="6"/>
        <v>0.42605705037426667</v>
      </c>
      <c r="N85" s="29">
        <f t="shared" si="7"/>
        <v>260.15789473684208</v>
      </c>
      <c r="O85" s="32">
        <f>VLOOKUP(H85,клиенты!$A$2:$G$435,5,FALSE)</f>
        <v>44690</v>
      </c>
      <c r="P85">
        <f>Продажи[[#This Row],[дата создания чека]]-Продажи[[#This Row],[Дата регистрации клиента]]</f>
        <v>303</v>
      </c>
      <c r="Q85" t="str">
        <f>VLOOKUP(H85,Таблица3[],7,FALSE)</f>
        <v>Таджикистан</v>
      </c>
    </row>
    <row r="86" spans="1:17" x14ac:dyDescent="0.3">
      <c r="A86">
        <v>85</v>
      </c>
      <c r="B86">
        <v>276</v>
      </c>
      <c r="C86">
        <v>295</v>
      </c>
      <c r="D86">
        <v>1</v>
      </c>
      <c r="E86">
        <v>295</v>
      </c>
      <c r="F86" s="32">
        <v>45272</v>
      </c>
      <c r="G86" t="s">
        <v>17</v>
      </c>
      <c r="H86">
        <v>458</v>
      </c>
      <c r="I86" t="str">
        <f>VLOOKUP(B86,товар!$A$1:$C$433,2,FALSE)</f>
        <v>Колбаса</v>
      </c>
      <c r="J86" s="22">
        <f t="shared" si="4"/>
        <v>286.92307692307691</v>
      </c>
      <c r="K86" s="24">
        <f t="shared" si="5"/>
        <v>2.8150134048257502E-2</v>
      </c>
      <c r="L86" t="str">
        <f>VLOOKUP(B86,товар!$A$1:$C$433,3,FALSE)</f>
        <v>Дымов</v>
      </c>
      <c r="M86" s="24">
        <f t="shared" si="6"/>
        <v>-5.6503198294243107E-2</v>
      </c>
      <c r="N86" s="29">
        <f t="shared" si="7"/>
        <v>312.66666666666669</v>
      </c>
      <c r="O86" s="32">
        <f>VLOOKUP(H86,клиенты!$A$2:$G$435,5,FALSE)</f>
        <v>44694</v>
      </c>
      <c r="P86">
        <f>Продажи[[#This Row],[дата создания чека]]-Продажи[[#This Row],[Дата регистрации клиента]]</f>
        <v>578</v>
      </c>
      <c r="Q86" t="str">
        <f>VLOOKUP(H86,Таблица3[],7,FALSE)</f>
        <v>Россия</v>
      </c>
    </row>
    <row r="87" spans="1:17" x14ac:dyDescent="0.3">
      <c r="A87">
        <v>86</v>
      </c>
      <c r="B87">
        <v>234</v>
      </c>
      <c r="C87">
        <v>75</v>
      </c>
      <c r="D87">
        <v>5</v>
      </c>
      <c r="E87">
        <v>375</v>
      </c>
      <c r="F87" s="32">
        <v>44939</v>
      </c>
      <c r="G87" t="s">
        <v>23</v>
      </c>
      <c r="H87">
        <v>130</v>
      </c>
      <c r="I87" t="str">
        <f>VLOOKUP(B87,товар!$A$1:$C$433,2,FALSE)</f>
        <v>Чай</v>
      </c>
      <c r="J87" s="22">
        <f t="shared" si="4"/>
        <v>271.18181818181819</v>
      </c>
      <c r="K87" s="24">
        <f t="shared" si="5"/>
        <v>-0.72343278578612136</v>
      </c>
      <c r="L87" t="str">
        <f>VLOOKUP(B87,товар!$A$1:$C$433,3,FALSE)</f>
        <v>Greenfield</v>
      </c>
      <c r="M87" s="24">
        <f t="shared" si="6"/>
        <v>-0.74266999376169673</v>
      </c>
      <c r="N87" s="29">
        <f t="shared" si="7"/>
        <v>291.45454545454544</v>
      </c>
      <c r="O87" s="32">
        <f>VLOOKUP(H87,клиенты!$A$2:$G$435,5,FALSE)</f>
        <v>44863</v>
      </c>
      <c r="P87">
        <f>Продажи[[#This Row],[дата создания чека]]-Продажи[[#This Row],[Дата регистрации клиента]]</f>
        <v>76</v>
      </c>
      <c r="Q87" t="str">
        <f>VLOOKUP(H87,Таблица3[],7,FALSE)</f>
        <v>Таджикистан</v>
      </c>
    </row>
    <row r="88" spans="1:17" x14ac:dyDescent="0.3">
      <c r="A88">
        <v>87</v>
      </c>
      <c r="B88">
        <v>319</v>
      </c>
      <c r="C88">
        <v>247</v>
      </c>
      <c r="D88">
        <v>2</v>
      </c>
      <c r="E88">
        <v>494</v>
      </c>
      <c r="F88" s="32">
        <v>45189</v>
      </c>
      <c r="G88" t="s">
        <v>8</v>
      </c>
      <c r="H88">
        <v>330</v>
      </c>
      <c r="I88" t="str">
        <f>VLOOKUP(B88,товар!$A$1:$C$433,2,FALSE)</f>
        <v>Йогурт</v>
      </c>
      <c r="J88" s="22">
        <f t="shared" si="4"/>
        <v>263.25423728813558</v>
      </c>
      <c r="K88" s="24">
        <f t="shared" si="5"/>
        <v>-6.1743497295905225E-2</v>
      </c>
      <c r="L88" t="str">
        <f>VLOOKUP(B88,товар!$A$1:$C$433,3,FALSE)</f>
        <v>Эрманн</v>
      </c>
      <c r="M88" s="24">
        <f t="shared" si="6"/>
        <v>-6.0362173038229772E-3</v>
      </c>
      <c r="N88" s="29">
        <f t="shared" si="7"/>
        <v>248.5</v>
      </c>
      <c r="O88" s="32">
        <f>VLOOKUP(H88,клиенты!$A$2:$G$435,5,FALSE)</f>
        <v>44815</v>
      </c>
      <c r="P88">
        <f>Продажи[[#This Row],[дата создания чека]]-Продажи[[#This Row],[Дата регистрации клиента]]</f>
        <v>374</v>
      </c>
      <c r="Q88" t="str">
        <f>VLOOKUP(H88,Таблица3[],7,FALSE)</f>
        <v>Узбекистан</v>
      </c>
    </row>
    <row r="89" spans="1:17" x14ac:dyDescent="0.3">
      <c r="A89">
        <v>88</v>
      </c>
      <c r="B89">
        <v>375</v>
      </c>
      <c r="C89">
        <v>281</v>
      </c>
      <c r="D89">
        <v>2</v>
      </c>
      <c r="E89">
        <v>562</v>
      </c>
      <c r="F89" s="32">
        <v>45079</v>
      </c>
      <c r="G89" t="s">
        <v>17</v>
      </c>
      <c r="H89">
        <v>167</v>
      </c>
      <c r="I89" t="str">
        <f>VLOOKUP(B89,товар!$A$1:$C$433,2,FALSE)</f>
        <v>Макароны</v>
      </c>
      <c r="J89" s="22">
        <f t="shared" si="4"/>
        <v>265.47674418604652</v>
      </c>
      <c r="K89" s="24">
        <f t="shared" si="5"/>
        <v>5.8473128640883054E-2</v>
      </c>
      <c r="L89" t="str">
        <f>VLOOKUP(B89,товар!$A$1:$C$433,3,FALSE)</f>
        <v>Борилла</v>
      </c>
      <c r="M89" s="24">
        <f t="shared" si="6"/>
        <v>0.18928779918272043</v>
      </c>
      <c r="N89" s="29">
        <f t="shared" si="7"/>
        <v>236.27586206896552</v>
      </c>
      <c r="O89" s="32">
        <f>VLOOKUP(H89,клиенты!$A$2:$G$435,5,FALSE)</f>
        <v>44563</v>
      </c>
      <c r="P89">
        <f>Продажи[[#This Row],[дата создания чека]]-Продажи[[#This Row],[Дата регистрации клиента]]</f>
        <v>516</v>
      </c>
      <c r="Q89" t="str">
        <f>VLOOKUP(H89,Таблица3[],7,FALSE)</f>
        <v>Узбекистан</v>
      </c>
    </row>
    <row r="90" spans="1:17" x14ac:dyDescent="0.3">
      <c r="A90">
        <v>89</v>
      </c>
      <c r="B90">
        <v>443</v>
      </c>
      <c r="C90">
        <v>136</v>
      </c>
      <c r="D90">
        <v>2</v>
      </c>
      <c r="E90">
        <v>272</v>
      </c>
      <c r="F90" s="32">
        <v>44927</v>
      </c>
      <c r="G90" t="s">
        <v>25</v>
      </c>
      <c r="H90">
        <v>140</v>
      </c>
      <c r="I90" t="str">
        <f>VLOOKUP(B90,товар!$A$1:$C$433,2,FALSE)</f>
        <v>Кофе</v>
      </c>
      <c r="J90" s="22">
        <f t="shared" si="4"/>
        <v>249.02380952380952</v>
      </c>
      <c r="K90" s="24">
        <f t="shared" si="5"/>
        <v>-0.45386748255091303</v>
      </c>
      <c r="L90" t="str">
        <f>VLOOKUP(B90,товар!$A$1:$C$433,3,FALSE)</f>
        <v>Jacobs</v>
      </c>
      <c r="M90" s="24">
        <f t="shared" si="6"/>
        <v>-0.50762195121951215</v>
      </c>
      <c r="N90" s="29">
        <f t="shared" si="7"/>
        <v>276.21052631578948</v>
      </c>
      <c r="O90" s="32">
        <f>VLOOKUP(H90,клиенты!$A$2:$G$435,5,FALSE)</f>
        <v>44627</v>
      </c>
      <c r="P90">
        <f>Продажи[[#This Row],[дата создания чека]]-Продажи[[#This Row],[Дата регистрации клиента]]</f>
        <v>300</v>
      </c>
      <c r="Q90" t="str">
        <f>VLOOKUP(H90,Таблица3[],7,FALSE)</f>
        <v>Россия</v>
      </c>
    </row>
    <row r="91" spans="1:17" x14ac:dyDescent="0.3">
      <c r="A91">
        <v>90</v>
      </c>
      <c r="B91">
        <v>30</v>
      </c>
      <c r="C91">
        <v>142</v>
      </c>
      <c r="D91">
        <v>5</v>
      </c>
      <c r="E91">
        <v>710</v>
      </c>
      <c r="F91" s="32">
        <v>45226</v>
      </c>
      <c r="G91" t="s">
        <v>23</v>
      </c>
      <c r="H91">
        <v>423</v>
      </c>
      <c r="I91" t="str">
        <f>VLOOKUP(B91,товар!$A$1:$C$433,2,FALSE)</f>
        <v>Чипсы</v>
      </c>
      <c r="J91" s="22">
        <f t="shared" si="4"/>
        <v>273.72549019607845</v>
      </c>
      <c r="K91" s="24">
        <f t="shared" si="5"/>
        <v>-0.48123209169054448</v>
      </c>
      <c r="L91" t="str">
        <f>VLOOKUP(B91,товар!$A$1:$C$433,3,FALSE)</f>
        <v>Pringles</v>
      </c>
      <c r="M91" s="24">
        <f t="shared" si="6"/>
        <v>-0.49328802039082409</v>
      </c>
      <c r="N91" s="29">
        <f t="shared" si="7"/>
        <v>280.23809523809524</v>
      </c>
      <c r="O91" s="32">
        <f>VLOOKUP(H91,клиенты!$A$2:$G$435,5,FALSE)</f>
        <v>44841</v>
      </c>
      <c r="P91">
        <f>Продажи[[#This Row],[дата создания чека]]-Продажи[[#This Row],[Дата регистрации клиента]]</f>
        <v>385</v>
      </c>
      <c r="Q91" t="str">
        <f>VLOOKUP(H91,Таблица3[],7,FALSE)</f>
        <v>Беларусь</v>
      </c>
    </row>
    <row r="92" spans="1:17" x14ac:dyDescent="0.3">
      <c r="A92">
        <v>91</v>
      </c>
      <c r="B92">
        <v>24</v>
      </c>
      <c r="C92">
        <v>414</v>
      </c>
      <c r="D92">
        <v>1</v>
      </c>
      <c r="E92">
        <v>414</v>
      </c>
      <c r="F92" s="32">
        <v>45388</v>
      </c>
      <c r="G92" t="s">
        <v>12</v>
      </c>
      <c r="H92">
        <v>365</v>
      </c>
      <c r="I92" t="str">
        <f>VLOOKUP(B92,товар!$A$1:$C$433,2,FALSE)</f>
        <v>Йогурт</v>
      </c>
      <c r="J92" s="22">
        <f t="shared" si="4"/>
        <v>263.25423728813558</v>
      </c>
      <c r="K92" s="24">
        <f t="shared" si="5"/>
        <v>0.57262425959309815</v>
      </c>
      <c r="L92" t="str">
        <f>VLOOKUP(B92,товар!$A$1:$C$433,3,FALSE)</f>
        <v>Чудо</v>
      </c>
      <c r="M92" s="24">
        <f t="shared" si="6"/>
        <v>0.44200626959247646</v>
      </c>
      <c r="N92" s="29">
        <f t="shared" si="7"/>
        <v>287.10000000000002</v>
      </c>
      <c r="O92" s="32">
        <f>VLOOKUP(H92,клиенты!$A$2:$G$435,5,FALSE)</f>
        <v>44841</v>
      </c>
      <c r="P92">
        <f>Продажи[[#This Row],[дата создания чека]]-Продажи[[#This Row],[Дата регистрации клиента]]</f>
        <v>547</v>
      </c>
      <c r="Q92" t="str">
        <f>VLOOKUP(H92,Таблица3[],7,FALSE)</f>
        <v>Беларусь</v>
      </c>
    </row>
    <row r="93" spans="1:17" x14ac:dyDescent="0.3">
      <c r="A93">
        <v>92</v>
      </c>
      <c r="B93">
        <v>357</v>
      </c>
      <c r="C93">
        <v>206</v>
      </c>
      <c r="D93">
        <v>2</v>
      </c>
      <c r="E93">
        <v>412</v>
      </c>
      <c r="F93" s="32">
        <v>45424</v>
      </c>
      <c r="G93" t="s">
        <v>26</v>
      </c>
      <c r="H93">
        <v>452</v>
      </c>
      <c r="I93" t="str">
        <f>VLOOKUP(B93,товар!$A$1:$C$433,2,FALSE)</f>
        <v>Мясо</v>
      </c>
      <c r="J93" s="22">
        <f t="shared" si="4"/>
        <v>271.74545454545455</v>
      </c>
      <c r="K93" s="24">
        <f t="shared" si="5"/>
        <v>-0.24193764217850933</v>
      </c>
      <c r="L93" t="str">
        <f>VLOOKUP(B93,товар!$A$1:$C$433,3,FALSE)</f>
        <v>Снежана</v>
      </c>
      <c r="M93" s="24">
        <f t="shared" si="6"/>
        <v>-0.24362850971922256</v>
      </c>
      <c r="N93" s="29">
        <f t="shared" si="7"/>
        <v>272.35294117647061</v>
      </c>
      <c r="O93" s="32">
        <f>VLOOKUP(H93,клиенты!$A$2:$G$435,5,FALSE)</f>
        <v>44769</v>
      </c>
      <c r="P93">
        <f>Продажи[[#This Row],[дата создания чека]]-Продажи[[#This Row],[Дата регистрации клиента]]</f>
        <v>655</v>
      </c>
      <c r="Q93" t="str">
        <f>VLOOKUP(H93,Таблица3[],7,FALSE)</f>
        <v>Россия</v>
      </c>
    </row>
    <row r="94" spans="1:17" x14ac:dyDescent="0.3">
      <c r="A94">
        <v>93</v>
      </c>
      <c r="B94">
        <v>265</v>
      </c>
      <c r="C94">
        <v>66</v>
      </c>
      <c r="D94">
        <v>1</v>
      </c>
      <c r="E94">
        <v>66</v>
      </c>
      <c r="F94" s="32">
        <v>45183</v>
      </c>
      <c r="G94" t="s">
        <v>24</v>
      </c>
      <c r="H94">
        <v>424</v>
      </c>
      <c r="I94" t="str">
        <f>VLOOKUP(B94,товар!$A$1:$C$433,2,FALSE)</f>
        <v>Мясо</v>
      </c>
      <c r="J94" s="22">
        <f t="shared" si="4"/>
        <v>271.74545454545455</v>
      </c>
      <c r="K94" s="24">
        <f t="shared" si="5"/>
        <v>-0.75712565234845441</v>
      </c>
      <c r="L94" t="str">
        <f>VLOOKUP(B94,товар!$A$1:$C$433,3,FALSE)</f>
        <v>Мираторг</v>
      </c>
      <c r="M94" s="24">
        <f t="shared" si="6"/>
        <v>-0.79152408528560148</v>
      </c>
      <c r="N94" s="29">
        <f t="shared" si="7"/>
        <v>316.58333333333331</v>
      </c>
      <c r="O94" s="32">
        <f>VLOOKUP(H94,клиенты!$A$2:$G$435,5,FALSE)</f>
        <v>44585</v>
      </c>
      <c r="P94">
        <f>Продажи[[#This Row],[дата создания чека]]-Продажи[[#This Row],[Дата регистрации клиента]]</f>
        <v>598</v>
      </c>
      <c r="Q94" t="str">
        <f>VLOOKUP(H94,Таблица3[],7,FALSE)</f>
        <v>Россия</v>
      </c>
    </row>
    <row r="95" spans="1:17" x14ac:dyDescent="0.3">
      <c r="A95">
        <v>94</v>
      </c>
      <c r="B95">
        <v>102</v>
      </c>
      <c r="C95">
        <v>452</v>
      </c>
      <c r="D95">
        <v>1</v>
      </c>
      <c r="E95">
        <v>452</v>
      </c>
      <c r="F95" s="32">
        <v>45218</v>
      </c>
      <c r="G95" t="s">
        <v>21</v>
      </c>
      <c r="H95">
        <v>75</v>
      </c>
      <c r="I95" t="str">
        <f>VLOOKUP(B95,товар!$A$1:$C$433,2,FALSE)</f>
        <v>Печенье</v>
      </c>
      <c r="J95" s="22">
        <f t="shared" si="4"/>
        <v>283.468085106383</v>
      </c>
      <c r="K95" s="24">
        <f t="shared" si="5"/>
        <v>0.59453576521804385</v>
      </c>
      <c r="L95" t="str">
        <f>VLOOKUP(B95,товар!$A$1:$C$433,3,FALSE)</f>
        <v>Белогорье</v>
      </c>
      <c r="M95" s="24">
        <f t="shared" si="6"/>
        <v>0.81162324649298601</v>
      </c>
      <c r="N95" s="29">
        <f t="shared" si="7"/>
        <v>249.5</v>
      </c>
      <c r="O95" s="32">
        <f>VLOOKUP(H95,клиенты!$A$2:$G$435,5,FALSE)</f>
        <v>44796</v>
      </c>
      <c r="P95">
        <f>Продажи[[#This Row],[дата создания чека]]-Продажи[[#This Row],[Дата регистрации клиента]]</f>
        <v>422</v>
      </c>
      <c r="Q95" t="str">
        <f>VLOOKUP(H95,Таблица3[],7,FALSE)</f>
        <v>Украина</v>
      </c>
    </row>
    <row r="96" spans="1:17" x14ac:dyDescent="0.3">
      <c r="A96">
        <v>95</v>
      </c>
      <c r="B96">
        <v>212</v>
      </c>
      <c r="C96">
        <v>175</v>
      </c>
      <c r="D96">
        <v>1</v>
      </c>
      <c r="E96">
        <v>175</v>
      </c>
      <c r="F96" s="32">
        <v>45290</v>
      </c>
      <c r="G96" t="s">
        <v>27</v>
      </c>
      <c r="H96">
        <v>385</v>
      </c>
      <c r="I96" t="str">
        <f>VLOOKUP(B96,товар!$A$1:$C$433,2,FALSE)</f>
        <v>Чипсы</v>
      </c>
      <c r="J96" s="22">
        <f t="shared" si="4"/>
        <v>273.72549019607845</v>
      </c>
      <c r="K96" s="24">
        <f t="shared" si="5"/>
        <v>-0.36067335243553011</v>
      </c>
      <c r="L96" t="str">
        <f>VLOOKUP(B96,товар!$A$1:$C$433,3,FALSE)</f>
        <v>Lay's</v>
      </c>
      <c r="M96" s="24">
        <f t="shared" si="6"/>
        <v>-0.45409982174688057</v>
      </c>
      <c r="N96" s="29">
        <f t="shared" si="7"/>
        <v>320.57142857142856</v>
      </c>
      <c r="O96" s="32">
        <f>VLOOKUP(H96,клиенты!$A$2:$G$435,5,FALSE)</f>
        <v>44753</v>
      </c>
      <c r="P96">
        <f>Продажи[[#This Row],[дата создания чека]]-Продажи[[#This Row],[Дата регистрации клиента]]</f>
        <v>537</v>
      </c>
      <c r="Q96" t="str">
        <f>VLOOKUP(H96,Таблица3[],7,FALSE)</f>
        <v>Украина</v>
      </c>
    </row>
    <row r="97" spans="1:17" x14ac:dyDescent="0.3">
      <c r="A97">
        <v>96</v>
      </c>
      <c r="B97">
        <v>215</v>
      </c>
      <c r="C97">
        <v>109</v>
      </c>
      <c r="D97">
        <v>1</v>
      </c>
      <c r="E97">
        <v>109</v>
      </c>
      <c r="F97" s="32">
        <v>45235</v>
      </c>
      <c r="G97" t="s">
        <v>17</v>
      </c>
      <c r="H97">
        <v>71</v>
      </c>
      <c r="I97" t="str">
        <f>VLOOKUP(B97,товар!$A$1:$C$433,2,FALSE)</f>
        <v>Сок</v>
      </c>
      <c r="J97" s="22">
        <f t="shared" si="4"/>
        <v>268.60344827586209</v>
      </c>
      <c r="K97" s="24">
        <f t="shared" si="5"/>
        <v>-0.59419731690095645</v>
      </c>
      <c r="L97" t="str">
        <f>VLOOKUP(B97,товар!$A$1:$C$433,3,FALSE)</f>
        <v>Фруктовый сад</v>
      </c>
      <c r="M97" s="24">
        <f t="shared" si="6"/>
        <v>-0.61343233957663745</v>
      </c>
      <c r="N97" s="29">
        <f t="shared" si="7"/>
        <v>281.96875</v>
      </c>
      <c r="O97" s="32">
        <f>VLOOKUP(H97,клиенты!$A$2:$G$435,5,FALSE)</f>
        <v>44762</v>
      </c>
      <c r="P97">
        <f>Продажи[[#This Row],[дата создания чека]]-Продажи[[#This Row],[Дата регистрации клиента]]</f>
        <v>473</v>
      </c>
      <c r="Q97" t="str">
        <f>VLOOKUP(H97,Таблица3[],7,FALSE)</f>
        <v>Украина</v>
      </c>
    </row>
    <row r="98" spans="1:17" x14ac:dyDescent="0.3">
      <c r="A98">
        <v>97</v>
      </c>
      <c r="B98">
        <v>364</v>
      </c>
      <c r="C98">
        <v>323</v>
      </c>
      <c r="D98">
        <v>2</v>
      </c>
      <c r="E98">
        <v>646</v>
      </c>
      <c r="F98" s="32">
        <v>45197</v>
      </c>
      <c r="G98" t="s">
        <v>25</v>
      </c>
      <c r="H98">
        <v>313</v>
      </c>
      <c r="I98" t="str">
        <f>VLOOKUP(B98,товар!$A$1:$C$433,2,FALSE)</f>
        <v>Сахар</v>
      </c>
      <c r="J98" s="22">
        <f t="shared" si="4"/>
        <v>252.76271186440678</v>
      </c>
      <c r="K98" s="24">
        <f t="shared" si="5"/>
        <v>0.27787836116140285</v>
      </c>
      <c r="L98" t="str">
        <f>VLOOKUP(B98,товар!$A$1:$C$433,3,FALSE)</f>
        <v>Русский сахар</v>
      </c>
      <c r="M98" s="24">
        <f t="shared" si="6"/>
        <v>0.10084202085004002</v>
      </c>
      <c r="N98" s="29">
        <f t="shared" si="7"/>
        <v>293.41176470588238</v>
      </c>
      <c r="O98" s="32">
        <f>VLOOKUP(H98,клиенты!$A$2:$G$435,5,FALSE)</f>
        <v>44896</v>
      </c>
      <c r="P98">
        <f>Продажи[[#This Row],[дата создания чека]]-Продажи[[#This Row],[Дата регистрации клиента]]</f>
        <v>301</v>
      </c>
      <c r="Q98" t="str">
        <f>VLOOKUP(H98,Таблица3[],7,FALSE)</f>
        <v>Узбекистан</v>
      </c>
    </row>
    <row r="99" spans="1:17" x14ac:dyDescent="0.3">
      <c r="A99">
        <v>98</v>
      </c>
      <c r="B99">
        <v>499</v>
      </c>
      <c r="C99">
        <v>96</v>
      </c>
      <c r="D99">
        <v>1</v>
      </c>
      <c r="E99">
        <v>96</v>
      </c>
      <c r="F99" s="32">
        <v>44942</v>
      </c>
      <c r="G99" t="s">
        <v>13</v>
      </c>
      <c r="H99">
        <v>239</v>
      </c>
      <c r="I99" t="str">
        <f>VLOOKUP(B99,товар!$A$1:$C$433,2,FALSE)</f>
        <v>Печенье</v>
      </c>
      <c r="J99" s="22">
        <f t="shared" si="4"/>
        <v>283.468085106383</v>
      </c>
      <c r="K99" s="24">
        <f t="shared" si="5"/>
        <v>-0.66133753659085792</v>
      </c>
      <c r="L99" t="str">
        <f>VLOOKUP(B99,товар!$A$1:$C$433,3,FALSE)</f>
        <v>Посиделкино</v>
      </c>
      <c r="M99" s="24">
        <f t="shared" si="6"/>
        <v>-0.70152628603730927</v>
      </c>
      <c r="N99" s="29">
        <f t="shared" si="7"/>
        <v>321.63636363636363</v>
      </c>
      <c r="O99" s="32">
        <f>VLOOKUP(H99,клиенты!$A$2:$G$435,5,FALSE)</f>
        <v>44767</v>
      </c>
      <c r="P99">
        <f>Продажи[[#This Row],[дата создания чека]]-Продажи[[#This Row],[Дата регистрации клиента]]</f>
        <v>175</v>
      </c>
      <c r="Q99" t="str">
        <f>VLOOKUP(H99,Таблица3[],7,FALSE)</f>
        <v>Узбекистан</v>
      </c>
    </row>
    <row r="100" spans="1:17" x14ac:dyDescent="0.3">
      <c r="A100">
        <v>99</v>
      </c>
      <c r="B100">
        <v>202</v>
      </c>
      <c r="C100">
        <v>422</v>
      </c>
      <c r="D100">
        <v>2</v>
      </c>
      <c r="E100">
        <v>844</v>
      </c>
      <c r="F100" s="32">
        <v>45077</v>
      </c>
      <c r="G100" t="s">
        <v>13</v>
      </c>
      <c r="H100">
        <v>301</v>
      </c>
      <c r="I100" t="str">
        <f>VLOOKUP(B100,товар!$A$1:$C$433,2,FALSE)</f>
        <v>Овощи</v>
      </c>
      <c r="J100" s="22">
        <f t="shared" si="4"/>
        <v>250.48780487804879</v>
      </c>
      <c r="K100" s="24">
        <f t="shared" si="5"/>
        <v>0.68471275559883149</v>
      </c>
      <c r="L100" t="str">
        <f>VLOOKUP(B100,товар!$A$1:$C$433,3,FALSE)</f>
        <v>Овощной ряд</v>
      </c>
      <c r="M100" s="24">
        <f t="shared" si="6"/>
        <v>0.3889641819941918</v>
      </c>
      <c r="N100" s="29">
        <f t="shared" si="7"/>
        <v>303.8235294117647</v>
      </c>
      <c r="O100" s="32">
        <f>VLOOKUP(H100,клиенты!$A$2:$G$435,5,FALSE)</f>
        <v>44714</v>
      </c>
      <c r="P100">
        <f>Продажи[[#This Row],[дата создания чека]]-Продажи[[#This Row],[Дата регистрации клиента]]</f>
        <v>363</v>
      </c>
      <c r="Q100" t="str">
        <f>VLOOKUP(H100,Таблица3[],7,FALSE)</f>
        <v>Россия</v>
      </c>
    </row>
    <row r="101" spans="1:17" x14ac:dyDescent="0.3">
      <c r="A101">
        <v>100</v>
      </c>
      <c r="B101">
        <v>244</v>
      </c>
      <c r="C101">
        <v>57</v>
      </c>
      <c r="D101">
        <v>3</v>
      </c>
      <c r="E101">
        <v>171</v>
      </c>
      <c r="F101" s="32">
        <v>45331</v>
      </c>
      <c r="G101" t="s">
        <v>26</v>
      </c>
      <c r="H101">
        <v>359</v>
      </c>
      <c r="I101" t="str">
        <f>VLOOKUP(B101,товар!$A$1:$C$433,2,FALSE)</f>
        <v>Мясо</v>
      </c>
      <c r="J101" s="22">
        <f t="shared" si="4"/>
        <v>271.74545454545455</v>
      </c>
      <c r="K101" s="24">
        <f t="shared" si="5"/>
        <v>-0.79024488157366524</v>
      </c>
      <c r="L101" t="str">
        <f>VLOOKUP(B101,товар!$A$1:$C$433,3,FALSE)</f>
        <v>Сава</v>
      </c>
      <c r="M101" s="24">
        <f t="shared" si="6"/>
        <v>-0.73215859030837005</v>
      </c>
      <c r="N101" s="29">
        <f t="shared" si="7"/>
        <v>212.8125</v>
      </c>
      <c r="O101" s="32">
        <f>VLOOKUP(H101,клиенты!$A$2:$G$435,5,FALSE)</f>
        <v>44584</v>
      </c>
      <c r="P101">
        <f>Продажи[[#This Row],[дата создания чека]]-Продажи[[#This Row],[Дата регистрации клиента]]</f>
        <v>747</v>
      </c>
      <c r="Q101" t="str">
        <f>VLOOKUP(H101,Таблица3[],7,FALSE)</f>
        <v>Россия</v>
      </c>
    </row>
    <row r="102" spans="1:17" x14ac:dyDescent="0.3">
      <c r="A102">
        <v>101</v>
      </c>
      <c r="B102">
        <v>363</v>
      </c>
      <c r="C102">
        <v>414</v>
      </c>
      <c r="D102">
        <v>4</v>
      </c>
      <c r="E102">
        <v>1656</v>
      </c>
      <c r="F102" s="32">
        <v>45210</v>
      </c>
      <c r="G102" t="s">
        <v>25</v>
      </c>
      <c r="H102">
        <v>474</v>
      </c>
      <c r="I102" t="str">
        <f>VLOOKUP(B102,товар!$A$1:$C$433,2,FALSE)</f>
        <v>Хлеб</v>
      </c>
      <c r="J102" s="22">
        <f t="shared" si="4"/>
        <v>300.31818181818181</v>
      </c>
      <c r="K102" s="24">
        <f t="shared" si="5"/>
        <v>0.37853791433328299</v>
      </c>
      <c r="L102" t="str">
        <f>VLOOKUP(B102,товар!$A$1:$C$433,3,FALSE)</f>
        <v>Дарница</v>
      </c>
      <c r="M102" s="24">
        <f t="shared" si="6"/>
        <v>0.56818181818181812</v>
      </c>
      <c r="N102" s="29">
        <f t="shared" si="7"/>
        <v>264</v>
      </c>
      <c r="O102" s="32">
        <f>VLOOKUP(H102,клиенты!$A$2:$G$435,5,FALSE)</f>
        <v>44605</v>
      </c>
      <c r="P102">
        <f>Продажи[[#This Row],[дата создания чека]]-Продажи[[#This Row],[Дата регистрации клиента]]</f>
        <v>605</v>
      </c>
      <c r="Q102" t="str">
        <f>VLOOKUP(H102,Таблица3[],7,FALSE)</f>
        <v>Россия</v>
      </c>
    </row>
    <row r="103" spans="1:17" x14ac:dyDescent="0.3">
      <c r="A103">
        <v>102</v>
      </c>
      <c r="B103">
        <v>212</v>
      </c>
      <c r="C103">
        <v>320</v>
      </c>
      <c r="D103">
        <v>5</v>
      </c>
      <c r="E103">
        <v>1600</v>
      </c>
      <c r="F103" s="32">
        <v>45082</v>
      </c>
      <c r="G103" t="s">
        <v>10</v>
      </c>
      <c r="H103">
        <v>111</v>
      </c>
      <c r="I103" t="str">
        <f>VLOOKUP(B103,товар!$A$1:$C$433,2,FALSE)</f>
        <v>Чипсы</v>
      </c>
      <c r="J103" s="22">
        <f t="shared" si="4"/>
        <v>273.72549019607845</v>
      </c>
      <c r="K103" s="24">
        <f t="shared" si="5"/>
        <v>0.16905444126074487</v>
      </c>
      <c r="L103" t="str">
        <f>VLOOKUP(B103,товар!$A$1:$C$433,3,FALSE)</f>
        <v>Lay's</v>
      </c>
      <c r="M103" s="24">
        <f t="shared" si="6"/>
        <v>-1.7825311942958333E-3</v>
      </c>
      <c r="N103" s="29">
        <f t="shared" si="7"/>
        <v>320.57142857142856</v>
      </c>
      <c r="O103" s="32">
        <f>VLOOKUP(H103,клиенты!$A$2:$G$435,5,FALSE)</f>
        <v>44804</v>
      </c>
      <c r="P103">
        <f>Продажи[[#This Row],[дата создания чека]]-Продажи[[#This Row],[Дата регистрации клиента]]</f>
        <v>278</v>
      </c>
      <c r="Q103" t="str">
        <f>VLOOKUP(H103,Таблица3[],7,FALSE)</f>
        <v>Узбекистан</v>
      </c>
    </row>
    <row r="104" spans="1:17" x14ac:dyDescent="0.3">
      <c r="A104">
        <v>103</v>
      </c>
      <c r="B104">
        <v>434</v>
      </c>
      <c r="C104">
        <v>272</v>
      </c>
      <c r="D104">
        <v>2</v>
      </c>
      <c r="E104">
        <v>544</v>
      </c>
      <c r="F104" s="32">
        <v>45174</v>
      </c>
      <c r="G104" t="s">
        <v>13</v>
      </c>
      <c r="H104">
        <v>126</v>
      </c>
      <c r="I104" t="str">
        <f>VLOOKUP(B104,товар!$A$1:$C$433,2,FALSE)</f>
        <v>Сыр</v>
      </c>
      <c r="J104" s="22">
        <f t="shared" si="4"/>
        <v>262.63492063492066</v>
      </c>
      <c r="K104" s="24">
        <f t="shared" si="5"/>
        <v>3.5658165115435736E-2</v>
      </c>
      <c r="L104" t="str">
        <f>VLOOKUP(B104,товар!$A$1:$C$433,3,FALSE)</f>
        <v>Сырная долина</v>
      </c>
      <c r="M104" s="24">
        <f t="shared" si="6"/>
        <v>3.6900369003689537E-3</v>
      </c>
      <c r="N104" s="29">
        <f t="shared" si="7"/>
        <v>271</v>
      </c>
      <c r="O104" s="32">
        <f>VLOOKUP(H104,клиенты!$A$2:$G$435,5,FALSE)</f>
        <v>44822</v>
      </c>
      <c r="P104">
        <f>Продажи[[#This Row],[дата создания чека]]-Продажи[[#This Row],[Дата регистрации клиента]]</f>
        <v>352</v>
      </c>
      <c r="Q104" t="str">
        <f>VLOOKUP(H104,Таблица3[],7,FALSE)</f>
        <v>Узбекистан</v>
      </c>
    </row>
    <row r="105" spans="1:17" x14ac:dyDescent="0.3">
      <c r="A105">
        <v>104</v>
      </c>
      <c r="B105">
        <v>305</v>
      </c>
      <c r="C105">
        <v>419</v>
      </c>
      <c r="D105">
        <v>4</v>
      </c>
      <c r="E105">
        <v>1676</v>
      </c>
      <c r="F105" s="32">
        <v>45171</v>
      </c>
      <c r="G105" t="s">
        <v>27</v>
      </c>
      <c r="H105">
        <v>356</v>
      </c>
      <c r="I105" t="str">
        <f>VLOOKUP(B105,товар!$A$1:$C$433,2,FALSE)</f>
        <v>Печенье</v>
      </c>
      <c r="J105" s="22">
        <f t="shared" si="4"/>
        <v>283.468085106383</v>
      </c>
      <c r="K105" s="24">
        <f t="shared" si="5"/>
        <v>0.47812054342115129</v>
      </c>
      <c r="L105" t="str">
        <f>VLOOKUP(B105,товар!$A$1:$C$433,3,FALSE)</f>
        <v>Посиделкино</v>
      </c>
      <c r="M105" s="24">
        <f t="shared" si="6"/>
        <v>0.30271339739966097</v>
      </c>
      <c r="N105" s="29">
        <f t="shared" si="7"/>
        <v>321.63636363636363</v>
      </c>
      <c r="O105" s="32">
        <f>VLOOKUP(H105,клиенты!$A$2:$G$435,5,FALSE)</f>
        <v>44570</v>
      </c>
      <c r="P105">
        <f>Продажи[[#This Row],[дата создания чека]]-Продажи[[#This Row],[Дата регистрации клиента]]</f>
        <v>601</v>
      </c>
      <c r="Q105" t="str">
        <f>VLOOKUP(H105,Таблица3[],7,FALSE)</f>
        <v>Таджикистан</v>
      </c>
    </row>
    <row r="106" spans="1:17" x14ac:dyDescent="0.3">
      <c r="A106">
        <v>105</v>
      </c>
      <c r="B106">
        <v>37</v>
      </c>
      <c r="C106">
        <v>478</v>
      </c>
      <c r="D106">
        <v>4</v>
      </c>
      <c r="E106">
        <v>1912</v>
      </c>
      <c r="F106" s="32">
        <v>45259</v>
      </c>
      <c r="G106" t="s">
        <v>12</v>
      </c>
      <c r="H106">
        <v>166</v>
      </c>
      <c r="I106" t="str">
        <f>VLOOKUP(B106,товар!$A$1:$C$433,2,FALSE)</f>
        <v>Соль</v>
      </c>
      <c r="J106" s="22">
        <f t="shared" si="4"/>
        <v>264.8679245283019</v>
      </c>
      <c r="K106" s="24">
        <f t="shared" si="5"/>
        <v>0.80467303034620308</v>
      </c>
      <c r="L106" t="str">
        <f>VLOOKUP(B106,товар!$A$1:$C$433,3,FALSE)</f>
        <v>Илецкая</v>
      </c>
      <c r="M106" s="24">
        <f t="shared" si="6"/>
        <v>1.0069979006298113</v>
      </c>
      <c r="N106" s="29">
        <f t="shared" si="7"/>
        <v>238.16666666666666</v>
      </c>
      <c r="O106" s="32">
        <f>VLOOKUP(H106,клиенты!$A$2:$G$435,5,FALSE)</f>
        <v>44796</v>
      </c>
      <c r="P106">
        <f>Продажи[[#This Row],[дата создания чека]]-Продажи[[#This Row],[Дата регистрации клиента]]</f>
        <v>463</v>
      </c>
      <c r="Q106" t="str">
        <f>VLOOKUP(H106,Таблица3[],7,FALSE)</f>
        <v>Узбекистан</v>
      </c>
    </row>
    <row r="107" spans="1:17" x14ac:dyDescent="0.3">
      <c r="A107">
        <v>106</v>
      </c>
      <c r="B107">
        <v>242</v>
      </c>
      <c r="C107">
        <v>333</v>
      </c>
      <c r="D107">
        <v>3</v>
      </c>
      <c r="E107">
        <v>999</v>
      </c>
      <c r="F107" s="32">
        <v>45287</v>
      </c>
      <c r="G107" t="s">
        <v>10</v>
      </c>
      <c r="H107">
        <v>162</v>
      </c>
      <c r="I107" t="str">
        <f>VLOOKUP(B107,товар!$A$1:$C$433,2,FALSE)</f>
        <v>Овощи</v>
      </c>
      <c r="J107" s="22">
        <f t="shared" si="4"/>
        <v>250.48780487804879</v>
      </c>
      <c r="K107" s="24">
        <f t="shared" si="5"/>
        <v>0.32940603700097371</v>
      </c>
      <c r="L107" t="str">
        <f>VLOOKUP(B107,товар!$A$1:$C$433,3,FALSE)</f>
        <v>Овощной ряд</v>
      </c>
      <c r="M107" s="24">
        <f t="shared" si="6"/>
        <v>9.603097773475322E-2</v>
      </c>
      <c r="N107" s="29">
        <f t="shared" si="7"/>
        <v>303.8235294117647</v>
      </c>
      <c r="O107" s="32">
        <f>VLOOKUP(H107,клиенты!$A$2:$G$435,5,FALSE)</f>
        <v>44639</v>
      </c>
      <c r="P107">
        <f>Продажи[[#This Row],[дата создания чека]]-Продажи[[#This Row],[Дата регистрации клиента]]</f>
        <v>648</v>
      </c>
      <c r="Q107" t="str">
        <f>VLOOKUP(H107,Таблица3[],7,FALSE)</f>
        <v>Таджикистан</v>
      </c>
    </row>
    <row r="108" spans="1:17" x14ac:dyDescent="0.3">
      <c r="A108">
        <v>107</v>
      </c>
      <c r="B108">
        <v>332</v>
      </c>
      <c r="C108">
        <v>327</v>
      </c>
      <c r="D108">
        <v>2</v>
      </c>
      <c r="E108">
        <v>654</v>
      </c>
      <c r="F108" s="32">
        <v>45095</v>
      </c>
      <c r="G108" t="s">
        <v>19</v>
      </c>
      <c r="H108">
        <v>459</v>
      </c>
      <c r="I108" t="str">
        <f>VLOOKUP(B108,товар!$A$1:$C$433,2,FALSE)</f>
        <v>Чай</v>
      </c>
      <c r="J108" s="22">
        <f t="shared" si="4"/>
        <v>271.18181818181819</v>
      </c>
      <c r="K108" s="24">
        <f t="shared" si="5"/>
        <v>0.20583305397251084</v>
      </c>
      <c r="L108" t="str">
        <f>VLOOKUP(B108,товар!$A$1:$C$433,3,FALSE)</f>
        <v>Тесс</v>
      </c>
      <c r="M108" s="24">
        <f t="shared" si="6"/>
        <v>0.16060337178349604</v>
      </c>
      <c r="N108" s="29">
        <f t="shared" si="7"/>
        <v>281.75</v>
      </c>
      <c r="O108" s="32">
        <f>VLOOKUP(H108,клиенты!$A$2:$G$435,5,FALSE)</f>
        <v>44743</v>
      </c>
      <c r="P108">
        <f>Продажи[[#This Row],[дата создания чека]]-Продажи[[#This Row],[Дата регистрации клиента]]</f>
        <v>352</v>
      </c>
      <c r="Q108" t="str">
        <f>VLOOKUP(H108,Таблица3[],7,FALSE)</f>
        <v>Россия</v>
      </c>
    </row>
    <row r="109" spans="1:17" x14ac:dyDescent="0.3">
      <c r="A109">
        <v>108</v>
      </c>
      <c r="B109">
        <v>452</v>
      </c>
      <c r="C109">
        <v>89</v>
      </c>
      <c r="D109">
        <v>3</v>
      </c>
      <c r="E109">
        <v>267</v>
      </c>
      <c r="F109" s="32">
        <v>45033</v>
      </c>
      <c r="G109" t="s">
        <v>22</v>
      </c>
      <c r="H109">
        <v>211</v>
      </c>
      <c r="I109" t="str">
        <f>VLOOKUP(B109,товар!$A$1:$C$433,2,FALSE)</f>
        <v>Фрукты</v>
      </c>
      <c r="J109" s="22">
        <f t="shared" si="4"/>
        <v>274.16279069767444</v>
      </c>
      <c r="K109" s="24">
        <f t="shared" si="5"/>
        <v>-0.67537534990245152</v>
      </c>
      <c r="L109" t="str">
        <f>VLOOKUP(B109,товар!$A$1:$C$433,3,FALSE)</f>
        <v>Экзотик</v>
      </c>
      <c r="M109" s="24">
        <f t="shared" si="6"/>
        <v>-0.64917467356491754</v>
      </c>
      <c r="N109" s="29">
        <f t="shared" si="7"/>
        <v>253.6875</v>
      </c>
      <c r="O109" s="32">
        <f>VLOOKUP(H109,клиенты!$A$2:$G$435,5,FALSE)</f>
        <v>44621</v>
      </c>
      <c r="P109">
        <f>Продажи[[#This Row],[дата создания чека]]-Продажи[[#This Row],[Дата регистрации клиента]]</f>
        <v>412</v>
      </c>
      <c r="Q109" t="str">
        <f>VLOOKUP(H109,Таблица3[],7,FALSE)</f>
        <v>Украина</v>
      </c>
    </row>
    <row r="110" spans="1:17" x14ac:dyDescent="0.3">
      <c r="A110">
        <v>109</v>
      </c>
      <c r="B110">
        <v>452</v>
      </c>
      <c r="C110">
        <v>78</v>
      </c>
      <c r="D110">
        <v>3</v>
      </c>
      <c r="E110">
        <v>234</v>
      </c>
      <c r="F110" s="32">
        <v>45285</v>
      </c>
      <c r="G110" t="s">
        <v>10</v>
      </c>
      <c r="H110">
        <v>132</v>
      </c>
      <c r="I110" t="str">
        <f>VLOOKUP(B110,товар!$A$1:$C$433,2,FALSE)</f>
        <v>Фрукты</v>
      </c>
      <c r="J110" s="22">
        <f t="shared" si="4"/>
        <v>274.16279069767444</v>
      </c>
      <c r="K110" s="24">
        <f t="shared" si="5"/>
        <v>-0.71549749766731696</v>
      </c>
      <c r="L110" t="str">
        <f>VLOOKUP(B110,товар!$A$1:$C$433,3,FALSE)</f>
        <v>Экзотик</v>
      </c>
      <c r="M110" s="24">
        <f t="shared" si="6"/>
        <v>-0.69253510716925348</v>
      </c>
      <c r="N110" s="29">
        <f t="shared" si="7"/>
        <v>253.6875</v>
      </c>
      <c r="O110" s="32">
        <f>VLOOKUP(H110,клиенты!$A$2:$G$435,5,FALSE)</f>
        <v>44601</v>
      </c>
      <c r="P110">
        <f>Продажи[[#This Row],[дата создания чека]]-Продажи[[#This Row],[Дата регистрации клиента]]</f>
        <v>684</v>
      </c>
      <c r="Q110" t="str">
        <f>VLOOKUP(H110,Таблица3[],7,FALSE)</f>
        <v>Украина</v>
      </c>
    </row>
    <row r="111" spans="1:17" x14ac:dyDescent="0.3">
      <c r="A111">
        <v>110</v>
      </c>
      <c r="B111">
        <v>132</v>
      </c>
      <c r="C111">
        <v>278</v>
      </c>
      <c r="D111">
        <v>3</v>
      </c>
      <c r="E111">
        <v>834</v>
      </c>
      <c r="F111" s="32">
        <v>45013</v>
      </c>
      <c r="G111" t="s">
        <v>11</v>
      </c>
      <c r="H111">
        <v>236</v>
      </c>
      <c r="I111" t="str">
        <f>VLOOKUP(B111,товар!$A$1:$C$433,2,FALSE)</f>
        <v>Рыба</v>
      </c>
      <c r="J111" s="22">
        <f t="shared" si="4"/>
        <v>258.5128205128205</v>
      </c>
      <c r="K111" s="24">
        <f t="shared" si="5"/>
        <v>7.5381868676849928E-2</v>
      </c>
      <c r="L111" t="str">
        <f>VLOOKUP(B111,товар!$A$1:$C$433,3,FALSE)</f>
        <v>Меридиан</v>
      </c>
      <c r="M111" s="24">
        <f t="shared" si="6"/>
        <v>6.6576393590611627E-2</v>
      </c>
      <c r="N111" s="29">
        <f t="shared" si="7"/>
        <v>260.64705882352939</v>
      </c>
      <c r="O111" s="32">
        <f>VLOOKUP(H111,клиенты!$A$2:$G$435,5,FALSE)</f>
        <v>44820</v>
      </c>
      <c r="P111">
        <f>Продажи[[#This Row],[дата создания чека]]-Продажи[[#This Row],[Дата регистрации клиента]]</f>
        <v>193</v>
      </c>
      <c r="Q111" t="str">
        <f>VLOOKUP(H111,Таблица3[],7,FALSE)</f>
        <v>Узбекистан</v>
      </c>
    </row>
    <row r="112" spans="1:17" x14ac:dyDescent="0.3">
      <c r="A112">
        <v>111</v>
      </c>
      <c r="B112">
        <v>457</v>
      </c>
      <c r="C112">
        <v>211</v>
      </c>
      <c r="D112">
        <v>4</v>
      </c>
      <c r="E112">
        <v>844</v>
      </c>
      <c r="F112" s="32">
        <v>45039</v>
      </c>
      <c r="G112" t="s">
        <v>17</v>
      </c>
      <c r="H112">
        <v>333</v>
      </c>
      <c r="I112" t="str">
        <f>VLOOKUP(B112,товар!$A$1:$C$433,2,FALSE)</f>
        <v>Сок</v>
      </c>
      <c r="J112" s="22">
        <f t="shared" si="4"/>
        <v>268.60344827586209</v>
      </c>
      <c r="K112" s="24">
        <f t="shared" si="5"/>
        <v>-0.21445535656974135</v>
      </c>
      <c r="L112" t="str">
        <f>VLOOKUP(B112,товар!$A$1:$C$433,3,FALSE)</f>
        <v>Rich</v>
      </c>
      <c r="M112" s="24">
        <f t="shared" si="6"/>
        <v>-0.22497704315886136</v>
      </c>
      <c r="N112" s="29">
        <f t="shared" si="7"/>
        <v>272.25</v>
      </c>
      <c r="O112" s="32">
        <f>VLOOKUP(H112,клиенты!$A$2:$G$435,5,FALSE)</f>
        <v>44857</v>
      </c>
      <c r="P112">
        <f>Продажи[[#This Row],[дата создания чека]]-Продажи[[#This Row],[Дата регистрации клиента]]</f>
        <v>182</v>
      </c>
      <c r="Q112" t="str">
        <f>VLOOKUP(H112,Таблица3[],7,FALSE)</f>
        <v>Россия</v>
      </c>
    </row>
    <row r="113" spans="1:17" x14ac:dyDescent="0.3">
      <c r="A113">
        <v>112</v>
      </c>
      <c r="B113">
        <v>250</v>
      </c>
      <c r="C113">
        <v>97</v>
      </c>
      <c r="D113">
        <v>5</v>
      </c>
      <c r="E113">
        <v>485</v>
      </c>
      <c r="F113" s="32">
        <v>45214</v>
      </c>
      <c r="G113" t="s">
        <v>27</v>
      </c>
      <c r="H113">
        <v>298</v>
      </c>
      <c r="I113" t="str">
        <f>VLOOKUP(B113,товар!$A$1:$C$433,2,FALSE)</f>
        <v>Фрукты</v>
      </c>
      <c r="J113" s="22">
        <f t="shared" si="4"/>
        <v>274.16279069767444</v>
      </c>
      <c r="K113" s="24">
        <f t="shared" si="5"/>
        <v>-0.64619560607345838</v>
      </c>
      <c r="L113" t="str">
        <f>VLOOKUP(B113,товар!$A$1:$C$433,3,FALSE)</f>
        <v>Фрукты-Ягоды</v>
      </c>
      <c r="M113" s="24">
        <f t="shared" si="6"/>
        <v>-0.654394299287411</v>
      </c>
      <c r="N113" s="29">
        <f t="shared" si="7"/>
        <v>280.66666666666669</v>
      </c>
      <c r="O113" s="32">
        <f>VLOOKUP(H113,клиенты!$A$2:$G$435,5,FALSE)</f>
        <v>44821</v>
      </c>
      <c r="P113">
        <f>Продажи[[#This Row],[дата создания чека]]-Продажи[[#This Row],[Дата регистрации клиента]]</f>
        <v>393</v>
      </c>
      <c r="Q113" t="str">
        <f>VLOOKUP(H113,Таблица3[],7,FALSE)</f>
        <v>Украина</v>
      </c>
    </row>
    <row r="114" spans="1:17" x14ac:dyDescent="0.3">
      <c r="A114">
        <v>113</v>
      </c>
      <c r="B114">
        <v>195</v>
      </c>
      <c r="C114">
        <v>240</v>
      </c>
      <c r="D114">
        <v>2</v>
      </c>
      <c r="E114">
        <v>480</v>
      </c>
      <c r="F114" s="32">
        <v>45277</v>
      </c>
      <c r="G114" t="s">
        <v>14</v>
      </c>
      <c r="H114">
        <v>273</v>
      </c>
      <c r="I114" t="str">
        <f>VLOOKUP(B114,товар!$A$1:$C$433,2,FALSE)</f>
        <v>Хлеб</v>
      </c>
      <c r="J114" s="22">
        <f t="shared" si="4"/>
        <v>300.31818181818181</v>
      </c>
      <c r="K114" s="24">
        <f t="shared" si="5"/>
        <v>-0.20084758589374907</v>
      </c>
      <c r="L114" t="str">
        <f>VLOOKUP(B114,товар!$A$1:$C$433,3,FALSE)</f>
        <v>Каравай</v>
      </c>
      <c r="M114" s="24">
        <f t="shared" si="6"/>
        <v>-0.27528938097634625</v>
      </c>
      <c r="N114" s="29">
        <f t="shared" si="7"/>
        <v>331.16666666666669</v>
      </c>
      <c r="O114" s="32">
        <f>VLOOKUP(H114,клиенты!$A$2:$G$435,5,FALSE)</f>
        <v>44599</v>
      </c>
      <c r="P114">
        <f>Продажи[[#This Row],[дата создания чека]]-Продажи[[#This Row],[Дата регистрации клиента]]</f>
        <v>678</v>
      </c>
      <c r="Q114" t="str">
        <f>VLOOKUP(H114,Таблица3[],7,FALSE)</f>
        <v>Узбекистан</v>
      </c>
    </row>
    <row r="115" spans="1:17" x14ac:dyDescent="0.3">
      <c r="A115">
        <v>114</v>
      </c>
      <c r="B115">
        <v>186</v>
      </c>
      <c r="C115">
        <v>244</v>
      </c>
      <c r="D115">
        <v>1</v>
      </c>
      <c r="E115">
        <v>244</v>
      </c>
      <c r="F115" s="32">
        <v>45176</v>
      </c>
      <c r="G115" t="s">
        <v>17</v>
      </c>
      <c r="H115">
        <v>321</v>
      </c>
      <c r="I115" t="str">
        <f>VLOOKUP(B115,товар!$A$1:$C$433,2,FALSE)</f>
        <v>Сыр</v>
      </c>
      <c r="J115" s="22">
        <f t="shared" si="4"/>
        <v>262.63492063492066</v>
      </c>
      <c r="K115" s="24">
        <f t="shared" si="5"/>
        <v>-7.0953704822918073E-2</v>
      </c>
      <c r="L115" t="str">
        <f>VLOOKUP(B115,товар!$A$1:$C$433,3,FALSE)</f>
        <v>President</v>
      </c>
      <c r="M115" s="24">
        <f t="shared" si="6"/>
        <v>2.2108447754247029E-2</v>
      </c>
      <c r="N115" s="29">
        <f t="shared" si="7"/>
        <v>238.72222222222223</v>
      </c>
      <c r="O115" s="32">
        <f>VLOOKUP(H115,клиенты!$A$2:$G$435,5,FALSE)</f>
        <v>44756</v>
      </c>
      <c r="P115">
        <f>Продажи[[#This Row],[дата создания чека]]-Продажи[[#This Row],[Дата регистрации клиента]]</f>
        <v>420</v>
      </c>
      <c r="Q115" t="str">
        <f>VLOOKUP(H115,Таблица3[],7,FALSE)</f>
        <v>Таджикистан</v>
      </c>
    </row>
    <row r="116" spans="1:17" x14ac:dyDescent="0.3">
      <c r="A116">
        <v>115</v>
      </c>
      <c r="B116">
        <v>490</v>
      </c>
      <c r="C116">
        <v>219</v>
      </c>
      <c r="D116">
        <v>1</v>
      </c>
      <c r="E116">
        <v>219</v>
      </c>
      <c r="F116" s="32">
        <v>44948</v>
      </c>
      <c r="G116" t="s">
        <v>20</v>
      </c>
      <c r="H116">
        <v>119</v>
      </c>
      <c r="I116" t="str">
        <f>VLOOKUP(B116,товар!$A$1:$C$433,2,FALSE)</f>
        <v>Сыр</v>
      </c>
      <c r="J116" s="22">
        <f t="shared" si="4"/>
        <v>262.63492063492066</v>
      </c>
      <c r="K116" s="24">
        <f t="shared" si="5"/>
        <v>-0.16614287441073383</v>
      </c>
      <c r="L116" t="str">
        <f>VLOOKUP(B116,товар!$A$1:$C$433,3,FALSE)</f>
        <v>Сырная долина</v>
      </c>
      <c r="M116" s="24">
        <f t="shared" si="6"/>
        <v>-0.19188191881918815</v>
      </c>
      <c r="N116" s="29">
        <f t="shared" si="7"/>
        <v>271</v>
      </c>
      <c r="O116" s="32">
        <f>VLOOKUP(H116,клиенты!$A$2:$G$435,5,FALSE)</f>
        <v>44690</v>
      </c>
      <c r="P116">
        <f>Продажи[[#This Row],[дата создания чека]]-Продажи[[#This Row],[Дата регистрации клиента]]</f>
        <v>258</v>
      </c>
      <c r="Q116" t="str">
        <f>VLOOKUP(H116,Таблица3[],7,FALSE)</f>
        <v>Россия</v>
      </c>
    </row>
    <row r="117" spans="1:17" x14ac:dyDescent="0.3">
      <c r="A117">
        <v>116</v>
      </c>
      <c r="B117">
        <v>72</v>
      </c>
      <c r="C117">
        <v>162</v>
      </c>
      <c r="D117">
        <v>1</v>
      </c>
      <c r="E117">
        <v>162</v>
      </c>
      <c r="F117" s="32">
        <v>44959</v>
      </c>
      <c r="G117" t="s">
        <v>17</v>
      </c>
      <c r="H117">
        <v>472</v>
      </c>
      <c r="I117" t="str">
        <f>VLOOKUP(B117,товар!$A$1:$C$433,2,FALSE)</f>
        <v>Конфеты</v>
      </c>
      <c r="J117" s="22">
        <f t="shared" si="4"/>
        <v>267.85483870967744</v>
      </c>
      <c r="K117" s="24">
        <f t="shared" si="5"/>
        <v>-0.39519479737460106</v>
      </c>
      <c r="L117" t="str">
        <f>VLOOKUP(B117,товар!$A$1:$C$433,3,FALSE)</f>
        <v>Бабаевский</v>
      </c>
      <c r="M117" s="24">
        <f t="shared" si="6"/>
        <v>-0.352671303833062</v>
      </c>
      <c r="N117" s="29">
        <f t="shared" si="7"/>
        <v>250.25925925925927</v>
      </c>
      <c r="O117" s="32">
        <f>VLOOKUP(H117,клиенты!$A$2:$G$435,5,FALSE)</f>
        <v>44901</v>
      </c>
      <c r="P117">
        <f>Продажи[[#This Row],[дата создания чека]]-Продажи[[#This Row],[Дата регистрации клиента]]</f>
        <v>58</v>
      </c>
      <c r="Q117" t="str">
        <f>VLOOKUP(H117,Таблица3[],7,FALSE)</f>
        <v>Украина</v>
      </c>
    </row>
    <row r="118" spans="1:17" x14ac:dyDescent="0.3">
      <c r="A118">
        <v>117</v>
      </c>
      <c r="B118">
        <v>430</v>
      </c>
      <c r="C118">
        <v>119</v>
      </c>
      <c r="D118">
        <v>3</v>
      </c>
      <c r="E118">
        <v>357</v>
      </c>
      <c r="F118" s="32">
        <v>45241</v>
      </c>
      <c r="G118" t="s">
        <v>24</v>
      </c>
      <c r="H118">
        <v>396</v>
      </c>
      <c r="I118" t="str">
        <f>VLOOKUP(B118,товар!$A$1:$C$433,2,FALSE)</f>
        <v>Чай</v>
      </c>
      <c r="J118" s="22">
        <f t="shared" si="4"/>
        <v>271.18181818181819</v>
      </c>
      <c r="K118" s="24">
        <f t="shared" si="5"/>
        <v>-0.56118002011397916</v>
      </c>
      <c r="L118" t="str">
        <f>VLOOKUP(B118,товар!$A$1:$C$433,3,FALSE)</f>
        <v>Ахмад</v>
      </c>
      <c r="M118" s="24">
        <f t="shared" si="6"/>
        <v>-0.5108919030004111</v>
      </c>
      <c r="N118" s="29">
        <f t="shared" si="7"/>
        <v>243.3</v>
      </c>
      <c r="O118" s="32">
        <f>VLOOKUP(H118,клиенты!$A$2:$G$435,5,FALSE)</f>
        <v>44871</v>
      </c>
      <c r="P118">
        <f>Продажи[[#This Row],[дата создания чека]]-Продажи[[#This Row],[Дата регистрации клиента]]</f>
        <v>370</v>
      </c>
      <c r="Q118" t="str">
        <f>VLOOKUP(H118,Таблица3[],7,FALSE)</f>
        <v>Украина</v>
      </c>
    </row>
    <row r="119" spans="1:17" x14ac:dyDescent="0.3">
      <c r="A119">
        <v>118</v>
      </c>
      <c r="B119">
        <v>223</v>
      </c>
      <c r="C119">
        <v>174</v>
      </c>
      <c r="D119">
        <v>2</v>
      </c>
      <c r="E119">
        <v>348</v>
      </c>
      <c r="F119" s="32">
        <v>45338</v>
      </c>
      <c r="G119" t="s">
        <v>14</v>
      </c>
      <c r="H119">
        <v>269</v>
      </c>
      <c r="I119" t="str">
        <f>VLOOKUP(B119,товар!$A$1:$C$433,2,FALSE)</f>
        <v>Чай</v>
      </c>
      <c r="J119" s="22">
        <f t="shared" si="4"/>
        <v>271.18181818181819</v>
      </c>
      <c r="K119" s="24">
        <f t="shared" si="5"/>
        <v>-0.35836406302380153</v>
      </c>
      <c r="L119" t="str">
        <f>VLOOKUP(B119,товар!$A$1:$C$433,3,FALSE)</f>
        <v>Greenfield</v>
      </c>
      <c r="M119" s="24">
        <f t="shared" si="6"/>
        <v>-0.40299438552713662</v>
      </c>
      <c r="N119" s="29">
        <f t="shared" si="7"/>
        <v>291.45454545454544</v>
      </c>
      <c r="O119" s="32">
        <f>VLOOKUP(H119,клиенты!$A$2:$G$435,5,FALSE)</f>
        <v>44720</v>
      </c>
      <c r="P119">
        <f>Продажи[[#This Row],[дата создания чека]]-Продажи[[#This Row],[Дата регистрации клиента]]</f>
        <v>618</v>
      </c>
      <c r="Q119" t="str">
        <f>VLOOKUP(H119,Таблица3[],7,FALSE)</f>
        <v>Россия</v>
      </c>
    </row>
    <row r="120" spans="1:17" x14ac:dyDescent="0.3">
      <c r="A120">
        <v>119</v>
      </c>
      <c r="B120">
        <v>164</v>
      </c>
      <c r="C120">
        <v>229</v>
      </c>
      <c r="D120">
        <v>3</v>
      </c>
      <c r="E120">
        <v>687</v>
      </c>
      <c r="F120" s="32">
        <v>45343</v>
      </c>
      <c r="G120" t="s">
        <v>22</v>
      </c>
      <c r="H120">
        <v>16</v>
      </c>
      <c r="I120" t="str">
        <f>VLOOKUP(B120,товар!$A$1:$C$433,2,FALSE)</f>
        <v>Молоко</v>
      </c>
      <c r="J120" s="22">
        <f t="shared" si="4"/>
        <v>294.95238095238096</v>
      </c>
      <c r="K120" s="24">
        <f t="shared" si="5"/>
        <v>-0.22360348724572165</v>
      </c>
      <c r="L120" t="str">
        <f>VLOOKUP(B120,товар!$A$1:$C$433,3,FALSE)</f>
        <v>Беллакт</v>
      </c>
      <c r="M120" s="24">
        <f t="shared" si="6"/>
        <v>-0.29002254791431792</v>
      </c>
      <c r="N120" s="29">
        <f t="shared" si="7"/>
        <v>322.54545454545456</v>
      </c>
      <c r="O120" s="32">
        <f>VLOOKUP(H120,клиенты!$A$2:$G$435,5,FALSE)</f>
        <v>44713</v>
      </c>
      <c r="P120">
        <f>Продажи[[#This Row],[дата создания чека]]-Продажи[[#This Row],[Дата регистрации клиента]]</f>
        <v>630</v>
      </c>
      <c r="Q120" t="str">
        <f>VLOOKUP(H120,Таблица3[],7,FALSE)</f>
        <v>Украина</v>
      </c>
    </row>
    <row r="121" spans="1:17" x14ac:dyDescent="0.3">
      <c r="A121">
        <v>120</v>
      </c>
      <c r="B121">
        <v>223</v>
      </c>
      <c r="C121">
        <v>411</v>
      </c>
      <c r="D121">
        <v>5</v>
      </c>
      <c r="E121">
        <v>2055</v>
      </c>
      <c r="F121" s="32">
        <v>45244</v>
      </c>
      <c r="G121" t="s">
        <v>23</v>
      </c>
      <c r="H121">
        <v>281</v>
      </c>
      <c r="I121" t="str">
        <f>VLOOKUP(B121,товар!$A$1:$C$433,2,FALSE)</f>
        <v>Чай</v>
      </c>
      <c r="J121" s="22">
        <f t="shared" si="4"/>
        <v>271.18181818181819</v>
      </c>
      <c r="K121" s="24">
        <f t="shared" si="5"/>
        <v>0.51558833389205505</v>
      </c>
      <c r="L121" t="str">
        <f>VLOOKUP(B121,товар!$A$1:$C$433,3,FALSE)</f>
        <v>Greenfield</v>
      </c>
      <c r="M121" s="24">
        <f t="shared" si="6"/>
        <v>0.41016843418590154</v>
      </c>
      <c r="N121" s="29">
        <f t="shared" si="7"/>
        <v>291.45454545454544</v>
      </c>
      <c r="O121" s="32">
        <f>VLOOKUP(H121,клиенты!$A$2:$G$435,5,FALSE)</f>
        <v>44711</v>
      </c>
      <c r="P121">
        <f>Продажи[[#This Row],[дата создания чека]]-Продажи[[#This Row],[Дата регистрации клиента]]</f>
        <v>533</v>
      </c>
      <c r="Q121" t="str">
        <f>VLOOKUP(H121,Таблица3[],7,FALSE)</f>
        <v>Узбекистан</v>
      </c>
    </row>
    <row r="122" spans="1:17" x14ac:dyDescent="0.3">
      <c r="A122">
        <v>121</v>
      </c>
      <c r="B122">
        <v>244</v>
      </c>
      <c r="C122">
        <v>245</v>
      </c>
      <c r="D122">
        <v>4</v>
      </c>
      <c r="E122">
        <v>980</v>
      </c>
      <c r="F122" s="32">
        <v>44960</v>
      </c>
      <c r="G122" t="s">
        <v>25</v>
      </c>
      <c r="H122">
        <v>149</v>
      </c>
      <c r="I122" t="str">
        <f>VLOOKUP(B122,товар!$A$1:$C$433,2,FALSE)</f>
        <v>Мясо</v>
      </c>
      <c r="J122" s="22">
        <f t="shared" si="4"/>
        <v>271.74545454545455</v>
      </c>
      <c r="K122" s="24">
        <f t="shared" si="5"/>
        <v>-9.8420982202595986E-2</v>
      </c>
      <c r="L122" t="str">
        <f>VLOOKUP(B122,товар!$A$1:$C$433,3,FALSE)</f>
        <v>Сава</v>
      </c>
      <c r="M122" s="24">
        <f t="shared" si="6"/>
        <v>0.15124816446402356</v>
      </c>
      <c r="N122" s="29">
        <f t="shared" si="7"/>
        <v>212.8125</v>
      </c>
      <c r="O122" s="32">
        <f>VLOOKUP(H122,клиенты!$A$2:$G$435,5,FALSE)</f>
        <v>44882</v>
      </c>
      <c r="P122">
        <f>Продажи[[#This Row],[дата создания чека]]-Продажи[[#This Row],[Дата регистрации клиента]]</f>
        <v>78</v>
      </c>
      <c r="Q122" t="str">
        <f>VLOOKUP(H122,Таблица3[],7,FALSE)</f>
        <v>Таджикистан</v>
      </c>
    </row>
    <row r="123" spans="1:17" x14ac:dyDescent="0.3">
      <c r="A123">
        <v>122</v>
      </c>
      <c r="B123">
        <v>393</v>
      </c>
      <c r="C123">
        <v>113</v>
      </c>
      <c r="D123">
        <v>5</v>
      </c>
      <c r="E123">
        <v>565</v>
      </c>
      <c r="F123" s="32">
        <v>45433</v>
      </c>
      <c r="G123" t="s">
        <v>19</v>
      </c>
      <c r="H123">
        <v>71</v>
      </c>
      <c r="I123" t="str">
        <f>VLOOKUP(B123,товар!$A$1:$C$433,2,FALSE)</f>
        <v>Рыба</v>
      </c>
      <c r="J123" s="22">
        <f t="shared" si="4"/>
        <v>258.5128205128205</v>
      </c>
      <c r="K123" s="24">
        <f t="shared" si="5"/>
        <v>-0.56288434834358259</v>
      </c>
      <c r="L123" t="str">
        <f>VLOOKUP(B123,товар!$A$1:$C$433,3,FALSE)</f>
        <v>Русское море</v>
      </c>
      <c r="M123" s="24">
        <f t="shared" si="6"/>
        <v>-0.61389521640091127</v>
      </c>
      <c r="N123" s="29">
        <f t="shared" si="7"/>
        <v>292.66666666666669</v>
      </c>
      <c r="O123" s="32">
        <f>VLOOKUP(H123,клиенты!$A$2:$G$435,5,FALSE)</f>
        <v>44762</v>
      </c>
      <c r="P123">
        <f>Продажи[[#This Row],[дата создания чека]]-Продажи[[#This Row],[Дата регистрации клиента]]</f>
        <v>671</v>
      </c>
      <c r="Q123" t="str">
        <f>VLOOKUP(H123,Таблица3[],7,FALSE)</f>
        <v>Украина</v>
      </c>
    </row>
    <row r="124" spans="1:17" x14ac:dyDescent="0.3">
      <c r="A124">
        <v>123</v>
      </c>
      <c r="B124">
        <v>166</v>
      </c>
      <c r="C124">
        <v>73</v>
      </c>
      <c r="D124">
        <v>4</v>
      </c>
      <c r="E124">
        <v>292</v>
      </c>
      <c r="F124" s="32">
        <v>45316</v>
      </c>
      <c r="G124" t="s">
        <v>24</v>
      </c>
      <c r="H124">
        <v>126</v>
      </c>
      <c r="I124" t="str">
        <f>VLOOKUP(B124,товар!$A$1:$C$433,2,FALSE)</f>
        <v>Сок</v>
      </c>
      <c r="J124" s="22">
        <f t="shared" si="4"/>
        <v>268.60344827586209</v>
      </c>
      <c r="K124" s="24">
        <f t="shared" si="5"/>
        <v>-0.72822389113550301</v>
      </c>
      <c r="L124" t="str">
        <f>VLOOKUP(B124,товар!$A$1:$C$433,3,FALSE)</f>
        <v>Добрый</v>
      </c>
      <c r="M124" s="24">
        <f t="shared" si="6"/>
        <v>-0.69936353425683262</v>
      </c>
      <c r="N124" s="29">
        <f t="shared" si="7"/>
        <v>242.81818181818181</v>
      </c>
      <c r="O124" s="32">
        <f>VLOOKUP(H124,клиенты!$A$2:$G$435,5,FALSE)</f>
        <v>44822</v>
      </c>
      <c r="P124">
        <f>Продажи[[#This Row],[дата создания чека]]-Продажи[[#This Row],[Дата регистрации клиента]]</f>
        <v>494</v>
      </c>
      <c r="Q124" t="str">
        <f>VLOOKUP(H124,Таблица3[],7,FALSE)</f>
        <v>Узбекистан</v>
      </c>
    </row>
    <row r="125" spans="1:17" x14ac:dyDescent="0.3">
      <c r="A125">
        <v>124</v>
      </c>
      <c r="B125">
        <v>249</v>
      </c>
      <c r="C125">
        <v>368</v>
      </c>
      <c r="D125">
        <v>2</v>
      </c>
      <c r="E125">
        <v>736</v>
      </c>
      <c r="F125" s="32">
        <v>45313</v>
      </c>
      <c r="G125" t="s">
        <v>22</v>
      </c>
      <c r="H125">
        <v>380</v>
      </c>
      <c r="I125" t="str">
        <f>VLOOKUP(B125,товар!$A$1:$C$433,2,FALSE)</f>
        <v>Чай</v>
      </c>
      <c r="J125" s="22">
        <f t="shared" si="4"/>
        <v>271.18181818181819</v>
      </c>
      <c r="K125" s="24">
        <f t="shared" si="5"/>
        <v>0.35702313107609784</v>
      </c>
      <c r="L125" t="str">
        <f>VLOOKUP(B125,товар!$A$1:$C$433,3,FALSE)</f>
        <v>Lipton</v>
      </c>
      <c r="M125" s="24">
        <f t="shared" si="6"/>
        <v>0.41452559174590342</v>
      </c>
      <c r="N125" s="29">
        <f t="shared" si="7"/>
        <v>260.15789473684208</v>
      </c>
      <c r="O125" s="32">
        <f>VLOOKUP(H125,клиенты!$A$2:$G$435,5,FALSE)</f>
        <v>44563</v>
      </c>
      <c r="P125">
        <f>Продажи[[#This Row],[дата создания чека]]-Продажи[[#This Row],[Дата регистрации клиента]]</f>
        <v>750</v>
      </c>
      <c r="Q125" t="str">
        <f>VLOOKUP(H125,Таблица3[],7,FALSE)</f>
        <v>Россия</v>
      </c>
    </row>
    <row r="126" spans="1:17" x14ac:dyDescent="0.3">
      <c r="A126">
        <v>125</v>
      </c>
      <c r="B126">
        <v>83</v>
      </c>
      <c r="C126">
        <v>351</v>
      </c>
      <c r="D126">
        <v>1</v>
      </c>
      <c r="E126">
        <v>351</v>
      </c>
      <c r="F126" s="32">
        <v>45361</v>
      </c>
      <c r="G126" t="s">
        <v>15</v>
      </c>
      <c r="H126">
        <v>11</v>
      </c>
      <c r="I126" t="str">
        <f>VLOOKUP(B126,товар!$A$1:$C$433,2,FALSE)</f>
        <v>Сок</v>
      </c>
      <c r="J126" s="22">
        <f t="shared" si="4"/>
        <v>268.60344827586209</v>
      </c>
      <c r="K126" s="24">
        <f t="shared" si="5"/>
        <v>0.30675909878682828</v>
      </c>
      <c r="L126" t="str">
        <f>VLOOKUP(B126,товар!$A$1:$C$433,3,FALSE)</f>
        <v>Сады Придонья</v>
      </c>
      <c r="M126" s="24">
        <f t="shared" si="6"/>
        <v>0.38090128755364794</v>
      </c>
      <c r="N126" s="29">
        <f t="shared" si="7"/>
        <v>254.18181818181819</v>
      </c>
      <c r="O126" s="32">
        <f>VLOOKUP(H126,клиенты!$A$2:$G$435,5,FALSE)</f>
        <v>44690</v>
      </c>
      <c r="P126">
        <f>Продажи[[#This Row],[дата создания чека]]-Продажи[[#This Row],[Дата регистрации клиента]]</f>
        <v>671</v>
      </c>
      <c r="Q126" t="str">
        <f>VLOOKUP(H126,Таблица3[],7,FALSE)</f>
        <v>Таджикистан</v>
      </c>
    </row>
    <row r="127" spans="1:17" x14ac:dyDescent="0.3">
      <c r="A127">
        <v>126</v>
      </c>
      <c r="B127">
        <v>242</v>
      </c>
      <c r="C127">
        <v>221</v>
      </c>
      <c r="D127">
        <v>5</v>
      </c>
      <c r="E127">
        <v>1105</v>
      </c>
      <c r="F127" s="32">
        <v>45025</v>
      </c>
      <c r="G127" t="s">
        <v>20</v>
      </c>
      <c r="H127">
        <v>114</v>
      </c>
      <c r="I127" t="str">
        <f>VLOOKUP(B127,товар!$A$1:$C$433,2,FALSE)</f>
        <v>Овощи</v>
      </c>
      <c r="J127" s="22">
        <f t="shared" si="4"/>
        <v>250.48780487804879</v>
      </c>
      <c r="K127" s="24">
        <f t="shared" si="5"/>
        <v>-0.11772151898734184</v>
      </c>
      <c r="L127" t="str">
        <f>VLOOKUP(B127,товар!$A$1:$C$433,3,FALSE)</f>
        <v>Овощной ряд</v>
      </c>
      <c r="M127" s="24">
        <f t="shared" si="6"/>
        <v>-0.27260406582768637</v>
      </c>
      <c r="N127" s="29">
        <f t="shared" si="7"/>
        <v>303.8235294117647</v>
      </c>
      <c r="O127" s="32">
        <f>VLOOKUP(H127,клиенты!$A$2:$G$435,5,FALSE)</f>
        <v>44889</v>
      </c>
      <c r="P127">
        <f>Продажи[[#This Row],[дата создания чека]]-Продажи[[#This Row],[Дата регистрации клиента]]</f>
        <v>136</v>
      </c>
      <c r="Q127" t="str">
        <f>VLOOKUP(H127,Таблица3[],7,FALSE)</f>
        <v>Россия</v>
      </c>
    </row>
    <row r="128" spans="1:17" x14ac:dyDescent="0.3">
      <c r="A128">
        <v>127</v>
      </c>
      <c r="B128">
        <v>281</v>
      </c>
      <c r="C128">
        <v>442</v>
      </c>
      <c r="D128">
        <v>5</v>
      </c>
      <c r="E128">
        <v>2210</v>
      </c>
      <c r="F128" s="32">
        <v>45379</v>
      </c>
      <c r="G128" t="s">
        <v>10</v>
      </c>
      <c r="H128">
        <v>381</v>
      </c>
      <c r="I128" t="str">
        <f>VLOOKUP(B128,товар!$A$1:$C$433,2,FALSE)</f>
        <v>Чай</v>
      </c>
      <c r="J128" s="22">
        <f t="shared" si="4"/>
        <v>271.18181818181819</v>
      </c>
      <c r="K128" s="24">
        <f t="shared" si="5"/>
        <v>0.6299027824337915</v>
      </c>
      <c r="L128" t="str">
        <f>VLOOKUP(B128,товар!$A$1:$C$433,3,FALSE)</f>
        <v>Lipton</v>
      </c>
      <c r="M128" s="24">
        <f t="shared" si="6"/>
        <v>0.69896823791219931</v>
      </c>
      <c r="N128" s="29">
        <f t="shared" si="7"/>
        <v>260.15789473684208</v>
      </c>
      <c r="O128" s="32">
        <f>VLOOKUP(H128,клиенты!$A$2:$G$435,5,FALSE)</f>
        <v>44714</v>
      </c>
      <c r="P128">
        <f>Продажи[[#This Row],[дата создания чека]]-Продажи[[#This Row],[Дата регистрации клиента]]</f>
        <v>665</v>
      </c>
      <c r="Q128" t="str">
        <f>VLOOKUP(H128,Таблица3[],7,FALSE)</f>
        <v>Узбекистан</v>
      </c>
    </row>
    <row r="129" spans="1:17" x14ac:dyDescent="0.3">
      <c r="A129">
        <v>128</v>
      </c>
      <c r="B129">
        <v>236</v>
      </c>
      <c r="C129">
        <v>465</v>
      </c>
      <c r="D129">
        <v>1</v>
      </c>
      <c r="E129">
        <v>465</v>
      </c>
      <c r="F129" s="32">
        <v>45176</v>
      </c>
      <c r="G129" t="s">
        <v>26</v>
      </c>
      <c r="H129">
        <v>342</v>
      </c>
      <c r="I129" t="str">
        <f>VLOOKUP(B129,товар!$A$1:$C$433,2,FALSE)</f>
        <v>Печенье</v>
      </c>
      <c r="J129" s="22">
        <f t="shared" si="4"/>
        <v>283.468085106383</v>
      </c>
      <c r="K129" s="24">
        <f t="shared" si="5"/>
        <v>0.64039630713803186</v>
      </c>
      <c r="L129" t="str">
        <f>VLOOKUP(B129,товар!$A$1:$C$433,3,FALSE)</f>
        <v>Посиделкино</v>
      </c>
      <c r="M129" s="24">
        <f t="shared" si="6"/>
        <v>0.44573205200678356</v>
      </c>
      <c r="N129" s="29">
        <f t="shared" si="7"/>
        <v>321.63636363636363</v>
      </c>
      <c r="O129" s="32">
        <f>VLOOKUP(H129,клиенты!$A$2:$G$435,5,FALSE)</f>
        <v>44570</v>
      </c>
      <c r="P129">
        <f>Продажи[[#This Row],[дата создания чека]]-Продажи[[#This Row],[Дата регистрации клиента]]</f>
        <v>606</v>
      </c>
      <c r="Q129" t="str">
        <f>VLOOKUP(H129,Таблица3[],7,FALSE)</f>
        <v>Таджикистан</v>
      </c>
    </row>
    <row r="130" spans="1:17" x14ac:dyDescent="0.3">
      <c r="A130">
        <v>129</v>
      </c>
      <c r="B130">
        <v>379</v>
      </c>
      <c r="C130">
        <v>380</v>
      </c>
      <c r="D130">
        <v>1</v>
      </c>
      <c r="E130">
        <v>380</v>
      </c>
      <c r="F130" s="32">
        <v>45260</v>
      </c>
      <c r="G130" t="s">
        <v>26</v>
      </c>
      <c r="H130">
        <v>276</v>
      </c>
      <c r="I130" t="str">
        <f>VLOOKUP(B130,товар!$A$1:$C$433,2,FALSE)</f>
        <v>Йогурт</v>
      </c>
      <c r="J130" s="22">
        <f t="shared" ref="J130:J193" si="8">AVERAGEIF($I$2:$I$1001,I130,$C$2:$C$1001)</f>
        <v>263.25423728813558</v>
      </c>
      <c r="K130" s="24">
        <f t="shared" ref="K130:K193" si="9">C130/J130-1</f>
        <v>0.44347154262168442</v>
      </c>
      <c r="L130" t="str">
        <f>VLOOKUP(B130,товар!$A$1:$C$433,3,FALSE)</f>
        <v>Активиа</v>
      </c>
      <c r="M130" s="24">
        <f t="shared" ref="M130:M193" si="10">C130/N130-1</f>
        <v>0.29398410896708271</v>
      </c>
      <c r="N130" s="29">
        <f t="shared" ref="N130:N193" si="11">AVERAGEIFS($C$2:$C$1001,$I$2:$I$1001,I130,$L$2:$L$1001,L130)</f>
        <v>293.66666666666669</v>
      </c>
      <c r="O130" s="32">
        <f>VLOOKUP(H130,клиенты!$A$2:$G$435,5,FALSE)</f>
        <v>44632</v>
      </c>
      <c r="P130">
        <f>Продажи[[#This Row],[дата создания чека]]-Продажи[[#This Row],[Дата регистрации клиента]]</f>
        <v>628</v>
      </c>
      <c r="Q130" t="str">
        <f>VLOOKUP(H130,Таблица3[],7,FALSE)</f>
        <v>Таджикистан</v>
      </c>
    </row>
    <row r="131" spans="1:17" x14ac:dyDescent="0.3">
      <c r="A131">
        <v>130</v>
      </c>
      <c r="B131">
        <v>37</v>
      </c>
      <c r="C131">
        <v>313</v>
      </c>
      <c r="D131">
        <v>1</v>
      </c>
      <c r="E131">
        <v>313</v>
      </c>
      <c r="F131" s="32">
        <v>45009</v>
      </c>
      <c r="G131" t="s">
        <v>16</v>
      </c>
      <c r="H131">
        <v>293</v>
      </c>
      <c r="I131" t="str">
        <f>VLOOKUP(B131,товар!$A$1:$C$433,2,FALSE)</f>
        <v>Соль</v>
      </c>
      <c r="J131" s="22">
        <f t="shared" si="8"/>
        <v>264.8679245283019</v>
      </c>
      <c r="K131" s="24">
        <f t="shared" si="9"/>
        <v>0.18172104288360158</v>
      </c>
      <c r="L131" t="str">
        <f>VLOOKUP(B131,товар!$A$1:$C$433,3,FALSE)</f>
        <v>Илецкая</v>
      </c>
      <c r="M131" s="24">
        <f t="shared" si="10"/>
        <v>0.31420573827851639</v>
      </c>
      <c r="N131" s="29">
        <f t="shared" si="11"/>
        <v>238.16666666666666</v>
      </c>
      <c r="O131" s="32">
        <f>VLOOKUP(H131,клиенты!$A$2:$G$435,5,FALSE)</f>
        <v>44573</v>
      </c>
      <c r="P131">
        <f>Продажи[[#This Row],[дата создания чека]]-Продажи[[#This Row],[Дата регистрации клиента]]</f>
        <v>436</v>
      </c>
      <c r="Q131" t="str">
        <f>VLOOKUP(H131,Таблица3[],7,FALSE)</f>
        <v>Беларусь</v>
      </c>
    </row>
    <row r="132" spans="1:17" x14ac:dyDescent="0.3">
      <c r="A132">
        <v>131</v>
      </c>
      <c r="B132">
        <v>431</v>
      </c>
      <c r="C132">
        <v>141</v>
      </c>
      <c r="D132">
        <v>5</v>
      </c>
      <c r="E132">
        <v>705</v>
      </c>
      <c r="F132" s="32">
        <v>45029</v>
      </c>
      <c r="G132" t="s">
        <v>18</v>
      </c>
      <c r="H132">
        <v>386</v>
      </c>
      <c r="I132" t="str">
        <f>VLOOKUP(B132,товар!$A$1:$C$433,2,FALSE)</f>
        <v>Овощи</v>
      </c>
      <c r="J132" s="22">
        <f t="shared" si="8"/>
        <v>250.48780487804879</v>
      </c>
      <c r="K132" s="24">
        <f t="shared" si="9"/>
        <v>-0.43709834469328146</v>
      </c>
      <c r="L132" t="str">
        <f>VLOOKUP(B132,товар!$A$1:$C$433,3,FALSE)</f>
        <v>Гавриш</v>
      </c>
      <c r="M132" s="24">
        <f t="shared" si="10"/>
        <v>-0.4306864064602961</v>
      </c>
      <c r="N132" s="29">
        <f t="shared" si="11"/>
        <v>247.66666666666666</v>
      </c>
      <c r="O132" s="32">
        <f>VLOOKUP(H132,клиенты!$A$2:$G$435,5,FALSE)</f>
        <v>44734</v>
      </c>
      <c r="P132">
        <f>Продажи[[#This Row],[дата создания чека]]-Продажи[[#This Row],[Дата регистрации клиента]]</f>
        <v>295</v>
      </c>
      <c r="Q132" t="str">
        <f>VLOOKUP(H132,Таблица3[],7,FALSE)</f>
        <v>Узбекистан</v>
      </c>
    </row>
    <row r="133" spans="1:17" x14ac:dyDescent="0.3">
      <c r="A133">
        <v>132</v>
      </c>
      <c r="B133">
        <v>237</v>
      </c>
      <c r="C133">
        <v>348</v>
      </c>
      <c r="D133">
        <v>2</v>
      </c>
      <c r="E133">
        <v>696</v>
      </c>
      <c r="F133" s="32">
        <v>45384</v>
      </c>
      <c r="G133" t="s">
        <v>9</v>
      </c>
      <c r="H133">
        <v>362</v>
      </c>
      <c r="I133" t="str">
        <f>VLOOKUP(B133,товар!$A$1:$C$433,2,FALSE)</f>
        <v>Конфеты</v>
      </c>
      <c r="J133" s="22">
        <f t="shared" si="8"/>
        <v>267.85483870967744</v>
      </c>
      <c r="K133" s="24">
        <f t="shared" si="9"/>
        <v>0.29921117601011615</v>
      </c>
      <c r="L133" t="str">
        <f>VLOOKUP(B133,товар!$A$1:$C$433,3,FALSE)</f>
        <v>Рот Фронт</v>
      </c>
      <c r="M133" s="24">
        <f t="shared" si="10"/>
        <v>0.20733520568313235</v>
      </c>
      <c r="N133" s="29">
        <f t="shared" si="11"/>
        <v>288.23809523809524</v>
      </c>
      <c r="O133" s="32">
        <f>VLOOKUP(H133,клиенты!$A$2:$G$435,5,FALSE)</f>
        <v>44916</v>
      </c>
      <c r="P133">
        <f>Продажи[[#This Row],[дата создания чека]]-Продажи[[#This Row],[Дата регистрации клиента]]</f>
        <v>468</v>
      </c>
      <c r="Q133" t="str">
        <f>VLOOKUP(H133,Таблица3[],7,FALSE)</f>
        <v>Россия</v>
      </c>
    </row>
    <row r="134" spans="1:17" x14ac:dyDescent="0.3">
      <c r="A134">
        <v>133</v>
      </c>
      <c r="B134">
        <v>452</v>
      </c>
      <c r="C134">
        <v>349</v>
      </c>
      <c r="D134">
        <v>1</v>
      </c>
      <c r="E134">
        <v>349</v>
      </c>
      <c r="F134" s="32">
        <v>45000</v>
      </c>
      <c r="G134" t="s">
        <v>11</v>
      </c>
      <c r="H134">
        <v>283</v>
      </c>
      <c r="I134" t="str">
        <f>VLOOKUP(B134,товар!$A$1:$C$433,2,FALSE)</f>
        <v>Фрукты</v>
      </c>
      <c r="J134" s="22">
        <f t="shared" si="8"/>
        <v>274.16279069767444</v>
      </c>
      <c r="K134" s="24">
        <f t="shared" si="9"/>
        <v>0.27296632453982528</v>
      </c>
      <c r="L134" t="str">
        <f>VLOOKUP(B134,товар!$A$1:$C$433,3,FALSE)</f>
        <v>Экзотик</v>
      </c>
      <c r="M134" s="24">
        <f t="shared" si="10"/>
        <v>0.37570830253757093</v>
      </c>
      <c r="N134" s="29">
        <f t="shared" si="11"/>
        <v>253.6875</v>
      </c>
      <c r="O134" s="32">
        <f>VLOOKUP(H134,клиенты!$A$2:$G$435,5,FALSE)</f>
        <v>44889</v>
      </c>
      <c r="P134">
        <f>Продажи[[#This Row],[дата создания чека]]-Продажи[[#This Row],[Дата регистрации клиента]]</f>
        <v>111</v>
      </c>
      <c r="Q134" t="str">
        <f>VLOOKUP(H134,Таблица3[],7,FALSE)</f>
        <v>Таджикистан</v>
      </c>
    </row>
    <row r="135" spans="1:17" x14ac:dyDescent="0.3">
      <c r="A135">
        <v>134</v>
      </c>
      <c r="B135">
        <v>382</v>
      </c>
      <c r="C135">
        <v>379</v>
      </c>
      <c r="D135">
        <v>5</v>
      </c>
      <c r="E135">
        <v>1895</v>
      </c>
      <c r="F135" s="32">
        <v>45314</v>
      </c>
      <c r="G135" t="s">
        <v>16</v>
      </c>
      <c r="H135">
        <v>388</v>
      </c>
      <c r="I135" t="str">
        <f>VLOOKUP(B135,товар!$A$1:$C$433,2,FALSE)</f>
        <v>Овощи</v>
      </c>
      <c r="J135" s="22">
        <f t="shared" si="8"/>
        <v>250.48780487804879</v>
      </c>
      <c r="K135" s="24">
        <f t="shared" si="9"/>
        <v>0.51304771178188902</v>
      </c>
      <c r="L135" t="str">
        <f>VLOOKUP(B135,товар!$A$1:$C$433,3,FALSE)</f>
        <v>Овощной ряд</v>
      </c>
      <c r="M135" s="24">
        <f t="shared" si="10"/>
        <v>0.24743465634075523</v>
      </c>
      <c r="N135" s="29">
        <f t="shared" si="11"/>
        <v>303.8235294117647</v>
      </c>
      <c r="O135" s="32">
        <f>VLOOKUP(H135,клиенты!$A$2:$G$435,5,FALSE)</f>
        <v>44581</v>
      </c>
      <c r="P135">
        <f>Продажи[[#This Row],[дата создания чека]]-Продажи[[#This Row],[Дата регистрации клиента]]</f>
        <v>733</v>
      </c>
      <c r="Q135" t="str">
        <f>VLOOKUP(H135,Таблица3[],7,FALSE)</f>
        <v>Россия</v>
      </c>
    </row>
    <row r="136" spans="1:17" x14ac:dyDescent="0.3">
      <c r="A136">
        <v>135</v>
      </c>
      <c r="B136">
        <v>452</v>
      </c>
      <c r="C136">
        <v>448</v>
      </c>
      <c r="D136">
        <v>4</v>
      </c>
      <c r="E136">
        <v>1792</v>
      </c>
      <c r="F136" s="32">
        <v>45434</v>
      </c>
      <c r="G136" t="s">
        <v>26</v>
      </c>
      <c r="H136">
        <v>437</v>
      </c>
      <c r="I136" t="str">
        <f>VLOOKUP(B136,товар!$A$1:$C$433,2,FALSE)</f>
        <v>Фрукты</v>
      </c>
      <c r="J136" s="22">
        <f t="shared" si="8"/>
        <v>274.16279069767444</v>
      </c>
      <c r="K136" s="24">
        <f t="shared" si="9"/>
        <v>0.63406565442361518</v>
      </c>
      <c r="L136" t="str">
        <f>VLOOKUP(B136,товар!$A$1:$C$433,3,FALSE)</f>
        <v>Экзотик</v>
      </c>
      <c r="M136" s="24">
        <f t="shared" si="10"/>
        <v>0.76595220497659522</v>
      </c>
      <c r="N136" s="29">
        <f t="shared" si="11"/>
        <v>253.6875</v>
      </c>
      <c r="O136" s="32">
        <f>VLOOKUP(H136,клиенты!$A$2:$G$435,5,FALSE)</f>
        <v>44576</v>
      </c>
      <c r="P136">
        <f>Продажи[[#This Row],[дата создания чека]]-Продажи[[#This Row],[Дата регистрации клиента]]</f>
        <v>858</v>
      </c>
      <c r="Q136" t="str">
        <f>VLOOKUP(H136,Таблица3[],7,FALSE)</f>
        <v>Узбекистан</v>
      </c>
    </row>
    <row r="137" spans="1:17" x14ac:dyDescent="0.3">
      <c r="A137">
        <v>136</v>
      </c>
      <c r="B137">
        <v>463</v>
      </c>
      <c r="C137">
        <v>173</v>
      </c>
      <c r="D137">
        <v>2</v>
      </c>
      <c r="E137">
        <v>346</v>
      </c>
      <c r="F137" s="32">
        <v>45038</v>
      </c>
      <c r="G137" t="s">
        <v>22</v>
      </c>
      <c r="H137">
        <v>450</v>
      </c>
      <c r="I137" t="str">
        <f>VLOOKUP(B137,товар!$A$1:$C$433,2,FALSE)</f>
        <v>Кофе</v>
      </c>
      <c r="J137" s="22">
        <f t="shared" si="8"/>
        <v>249.02380952380952</v>
      </c>
      <c r="K137" s="24">
        <f t="shared" si="9"/>
        <v>-0.30528731236255857</v>
      </c>
      <c r="L137" t="str">
        <f>VLOOKUP(B137,товар!$A$1:$C$433,3,FALSE)</f>
        <v>Черная Карта</v>
      </c>
      <c r="M137" s="24">
        <f t="shared" si="10"/>
        <v>-0.22142214221422141</v>
      </c>
      <c r="N137" s="29">
        <f t="shared" si="11"/>
        <v>222.2</v>
      </c>
      <c r="O137" s="32">
        <f>VLOOKUP(H137,клиенты!$A$2:$G$435,5,FALSE)</f>
        <v>44619</v>
      </c>
      <c r="P137">
        <f>Продажи[[#This Row],[дата создания чека]]-Продажи[[#This Row],[Дата регистрации клиента]]</f>
        <v>419</v>
      </c>
      <c r="Q137" t="str">
        <f>VLOOKUP(H137,Таблица3[],7,FALSE)</f>
        <v>Россия</v>
      </c>
    </row>
    <row r="138" spans="1:17" x14ac:dyDescent="0.3">
      <c r="A138">
        <v>137</v>
      </c>
      <c r="B138">
        <v>494</v>
      </c>
      <c r="C138">
        <v>304</v>
      </c>
      <c r="D138">
        <v>3</v>
      </c>
      <c r="E138">
        <v>912</v>
      </c>
      <c r="F138" s="32">
        <v>45070</v>
      </c>
      <c r="G138" t="s">
        <v>14</v>
      </c>
      <c r="H138">
        <v>136</v>
      </c>
      <c r="I138" t="str">
        <f>VLOOKUP(B138,товар!$A$1:$C$433,2,FALSE)</f>
        <v>Сыр</v>
      </c>
      <c r="J138" s="22">
        <f t="shared" si="8"/>
        <v>262.63492063492066</v>
      </c>
      <c r="K138" s="24">
        <f t="shared" si="9"/>
        <v>0.15750030218783984</v>
      </c>
      <c r="L138" t="str">
        <f>VLOOKUP(B138,товар!$A$1:$C$433,3,FALSE)</f>
        <v>Сырная долина</v>
      </c>
      <c r="M138" s="24">
        <f t="shared" si="10"/>
        <v>0.12177121771217703</v>
      </c>
      <c r="N138" s="29">
        <f t="shared" si="11"/>
        <v>271</v>
      </c>
      <c r="O138" s="32">
        <f>VLOOKUP(H138,клиенты!$A$2:$G$435,5,FALSE)</f>
        <v>44860</v>
      </c>
      <c r="P138">
        <f>Продажи[[#This Row],[дата создания чека]]-Продажи[[#This Row],[Дата регистрации клиента]]</f>
        <v>210</v>
      </c>
      <c r="Q138" t="str">
        <f>VLOOKUP(H138,Таблица3[],7,FALSE)</f>
        <v>Украина</v>
      </c>
    </row>
    <row r="139" spans="1:17" x14ac:dyDescent="0.3">
      <c r="A139">
        <v>138</v>
      </c>
      <c r="B139">
        <v>394</v>
      </c>
      <c r="C139">
        <v>493</v>
      </c>
      <c r="D139">
        <v>3</v>
      </c>
      <c r="E139">
        <v>1479</v>
      </c>
      <c r="F139" s="32">
        <v>45032</v>
      </c>
      <c r="G139" t="s">
        <v>12</v>
      </c>
      <c r="H139">
        <v>61</v>
      </c>
      <c r="I139" t="str">
        <f>VLOOKUP(B139,товар!$A$1:$C$433,2,FALSE)</f>
        <v>Кофе</v>
      </c>
      <c r="J139" s="22">
        <f t="shared" si="8"/>
        <v>249.02380952380952</v>
      </c>
      <c r="K139" s="24">
        <f t="shared" si="9"/>
        <v>0.97973037575294009</v>
      </c>
      <c r="L139" t="str">
        <f>VLOOKUP(B139,товар!$A$1:$C$433,3,FALSE)</f>
        <v>Черная Карта</v>
      </c>
      <c r="M139" s="24">
        <f t="shared" si="10"/>
        <v>1.2187218721872188</v>
      </c>
      <c r="N139" s="29">
        <f t="shared" si="11"/>
        <v>222.2</v>
      </c>
      <c r="O139" s="32">
        <f>VLOOKUP(H139,клиенты!$A$2:$G$435,5,FALSE)</f>
        <v>44769</v>
      </c>
      <c r="P139">
        <f>Продажи[[#This Row],[дата создания чека]]-Продажи[[#This Row],[Дата регистрации клиента]]</f>
        <v>263</v>
      </c>
      <c r="Q139" t="str">
        <f>VLOOKUP(H139,Таблица3[],7,FALSE)</f>
        <v>Таджикистан</v>
      </c>
    </row>
    <row r="140" spans="1:17" x14ac:dyDescent="0.3">
      <c r="A140">
        <v>139</v>
      </c>
      <c r="B140">
        <v>380</v>
      </c>
      <c r="C140">
        <v>344</v>
      </c>
      <c r="D140">
        <v>5</v>
      </c>
      <c r="E140">
        <v>1720</v>
      </c>
      <c r="F140" s="32">
        <v>45189</v>
      </c>
      <c r="G140" t="s">
        <v>12</v>
      </c>
      <c r="H140">
        <v>364</v>
      </c>
      <c r="I140" t="str">
        <f>VLOOKUP(B140,товар!$A$1:$C$433,2,FALSE)</f>
        <v>Конфеты</v>
      </c>
      <c r="J140" s="22">
        <f t="shared" si="8"/>
        <v>267.85483870967744</v>
      </c>
      <c r="K140" s="24">
        <f t="shared" si="9"/>
        <v>0.2842777142168964</v>
      </c>
      <c r="L140" t="str">
        <f>VLOOKUP(B140,товар!$A$1:$C$433,3,FALSE)</f>
        <v>Бабаевский</v>
      </c>
      <c r="M140" s="24">
        <f t="shared" si="10"/>
        <v>0.37457451531744845</v>
      </c>
      <c r="N140" s="29">
        <f t="shared" si="11"/>
        <v>250.25925925925927</v>
      </c>
      <c r="O140" s="32">
        <f>VLOOKUP(H140,клиенты!$A$2:$G$435,5,FALSE)</f>
        <v>44883</v>
      </c>
      <c r="P140">
        <f>Продажи[[#This Row],[дата создания чека]]-Продажи[[#This Row],[Дата регистрации клиента]]</f>
        <v>306</v>
      </c>
      <c r="Q140" t="str">
        <f>VLOOKUP(H140,Таблица3[],7,FALSE)</f>
        <v>Россия</v>
      </c>
    </row>
    <row r="141" spans="1:17" x14ac:dyDescent="0.3">
      <c r="A141">
        <v>140</v>
      </c>
      <c r="B141">
        <v>449</v>
      </c>
      <c r="C141">
        <v>470</v>
      </c>
      <c r="D141">
        <v>4</v>
      </c>
      <c r="E141">
        <v>1880</v>
      </c>
      <c r="F141" s="32">
        <v>45110</v>
      </c>
      <c r="G141" t="s">
        <v>18</v>
      </c>
      <c r="H141">
        <v>496</v>
      </c>
      <c r="I141" t="str">
        <f>VLOOKUP(B141,товар!$A$1:$C$433,2,FALSE)</f>
        <v>Мясо</v>
      </c>
      <c r="J141" s="22">
        <f t="shared" si="8"/>
        <v>271.74545454545455</v>
      </c>
      <c r="K141" s="24">
        <f t="shared" si="9"/>
        <v>0.72955974842767302</v>
      </c>
      <c r="L141" t="str">
        <f>VLOOKUP(B141,товар!$A$1:$C$433,3,FALSE)</f>
        <v>Агрокомплекс</v>
      </c>
      <c r="M141" s="24">
        <f t="shared" si="10"/>
        <v>0.5102827763496145</v>
      </c>
      <c r="N141" s="29">
        <f t="shared" si="11"/>
        <v>311.2</v>
      </c>
      <c r="O141" s="32">
        <f>VLOOKUP(H141,клиенты!$A$2:$G$435,5,FALSE)</f>
        <v>44867</v>
      </c>
      <c r="P141">
        <f>Продажи[[#This Row],[дата создания чека]]-Продажи[[#This Row],[Дата регистрации клиента]]</f>
        <v>243</v>
      </c>
      <c r="Q141" t="str">
        <f>VLOOKUP(H141,Таблица3[],7,FALSE)</f>
        <v>Украина</v>
      </c>
    </row>
    <row r="142" spans="1:17" x14ac:dyDescent="0.3">
      <c r="A142">
        <v>141</v>
      </c>
      <c r="B142">
        <v>309</v>
      </c>
      <c r="C142">
        <v>498</v>
      </c>
      <c r="D142">
        <v>1</v>
      </c>
      <c r="E142">
        <v>498</v>
      </c>
      <c r="F142" s="32">
        <v>45372</v>
      </c>
      <c r="G142" t="s">
        <v>18</v>
      </c>
      <c r="H142">
        <v>464</v>
      </c>
      <c r="I142" t="str">
        <f>VLOOKUP(B142,товар!$A$1:$C$433,2,FALSE)</f>
        <v>Конфеты</v>
      </c>
      <c r="J142" s="22">
        <f t="shared" si="8"/>
        <v>267.85483870967744</v>
      </c>
      <c r="K142" s="24">
        <f t="shared" si="9"/>
        <v>0.85921599325585585</v>
      </c>
      <c r="L142" t="str">
        <f>VLOOKUP(B142,товар!$A$1:$C$433,3,FALSE)</f>
        <v>Рот Фронт</v>
      </c>
      <c r="M142" s="24">
        <f t="shared" si="10"/>
        <v>0.72773831158103408</v>
      </c>
      <c r="N142" s="29">
        <f t="shared" si="11"/>
        <v>288.23809523809524</v>
      </c>
      <c r="O142" s="32">
        <f>VLOOKUP(H142,клиенты!$A$2:$G$435,5,FALSE)</f>
        <v>44827</v>
      </c>
      <c r="P142">
        <f>Продажи[[#This Row],[дата создания чека]]-Продажи[[#This Row],[Дата регистрации клиента]]</f>
        <v>545</v>
      </c>
      <c r="Q142" t="str">
        <f>VLOOKUP(H142,Таблица3[],7,FALSE)</f>
        <v>Россия</v>
      </c>
    </row>
    <row r="143" spans="1:17" x14ac:dyDescent="0.3">
      <c r="A143">
        <v>142</v>
      </c>
      <c r="B143">
        <v>112</v>
      </c>
      <c r="C143">
        <v>351</v>
      </c>
      <c r="D143">
        <v>3</v>
      </c>
      <c r="E143">
        <v>1053</v>
      </c>
      <c r="F143" s="32">
        <v>45368</v>
      </c>
      <c r="G143" t="s">
        <v>18</v>
      </c>
      <c r="H143">
        <v>419</v>
      </c>
      <c r="I143" t="str">
        <f>VLOOKUP(B143,товар!$A$1:$C$433,2,FALSE)</f>
        <v>Молоко</v>
      </c>
      <c r="J143" s="22">
        <f t="shared" si="8"/>
        <v>294.95238095238096</v>
      </c>
      <c r="K143" s="24">
        <f t="shared" si="9"/>
        <v>0.19002260251856629</v>
      </c>
      <c r="L143" t="str">
        <f>VLOOKUP(B143,товар!$A$1:$C$433,3,FALSE)</f>
        <v>Беллакт</v>
      </c>
      <c r="M143" s="24">
        <f t="shared" si="10"/>
        <v>8.8218714768883766E-2</v>
      </c>
      <c r="N143" s="29">
        <f t="shared" si="11"/>
        <v>322.54545454545456</v>
      </c>
      <c r="O143" s="32">
        <f>VLOOKUP(H143,клиенты!$A$2:$G$435,5,FALSE)</f>
        <v>44869</v>
      </c>
      <c r="P143">
        <f>Продажи[[#This Row],[дата создания чека]]-Продажи[[#This Row],[Дата регистрации клиента]]</f>
        <v>499</v>
      </c>
      <c r="Q143" t="str">
        <f>VLOOKUP(H143,Таблица3[],7,FALSE)</f>
        <v>Таджикистан</v>
      </c>
    </row>
    <row r="144" spans="1:17" x14ac:dyDescent="0.3">
      <c r="A144">
        <v>143</v>
      </c>
      <c r="B144">
        <v>81</v>
      </c>
      <c r="C144">
        <v>116</v>
      </c>
      <c r="D144">
        <v>1</v>
      </c>
      <c r="E144">
        <v>116</v>
      </c>
      <c r="F144" s="32">
        <v>45356</v>
      </c>
      <c r="G144" t="s">
        <v>27</v>
      </c>
      <c r="H144">
        <v>247</v>
      </c>
      <c r="I144" t="str">
        <f>VLOOKUP(B144,товар!$A$1:$C$433,2,FALSE)</f>
        <v>Чай</v>
      </c>
      <c r="J144" s="22">
        <f t="shared" si="8"/>
        <v>271.18181818181819</v>
      </c>
      <c r="K144" s="24">
        <f t="shared" si="9"/>
        <v>-0.57224270868253435</v>
      </c>
      <c r="L144" t="str">
        <f>VLOOKUP(B144,товар!$A$1:$C$433,3,FALSE)</f>
        <v>Тесс</v>
      </c>
      <c r="M144" s="24">
        <f t="shared" si="10"/>
        <v>-0.58828748890860694</v>
      </c>
      <c r="N144" s="29">
        <f t="shared" si="11"/>
        <v>281.75</v>
      </c>
      <c r="O144" s="32">
        <f>VLOOKUP(H144,клиенты!$A$2:$G$435,5,FALSE)</f>
        <v>44762</v>
      </c>
      <c r="P144">
        <f>Продажи[[#This Row],[дата создания чека]]-Продажи[[#This Row],[Дата регистрации клиента]]</f>
        <v>594</v>
      </c>
      <c r="Q144" t="str">
        <f>VLOOKUP(H144,Таблица3[],7,FALSE)</f>
        <v>Узбекистан</v>
      </c>
    </row>
    <row r="145" spans="1:17" x14ac:dyDescent="0.3">
      <c r="A145">
        <v>144</v>
      </c>
      <c r="B145">
        <v>4</v>
      </c>
      <c r="C145">
        <v>314</v>
      </c>
      <c r="D145">
        <v>4</v>
      </c>
      <c r="E145">
        <v>1256</v>
      </c>
      <c r="F145" s="32">
        <v>45336</v>
      </c>
      <c r="G145" t="s">
        <v>14</v>
      </c>
      <c r="H145">
        <v>380</v>
      </c>
      <c r="I145" t="str">
        <f>VLOOKUP(B145,товар!$A$1:$C$433,2,FALSE)</f>
        <v>Рис</v>
      </c>
      <c r="J145" s="22">
        <f t="shared" si="8"/>
        <v>258.375</v>
      </c>
      <c r="K145" s="24">
        <f t="shared" si="9"/>
        <v>0.21528785679729068</v>
      </c>
      <c r="L145" t="str">
        <f>VLOOKUP(B145,товар!$A$1:$C$433,3,FALSE)</f>
        <v>Белый Злат</v>
      </c>
      <c r="M145" s="24">
        <f t="shared" si="10"/>
        <v>0.16423118865866959</v>
      </c>
      <c r="N145" s="29">
        <f t="shared" si="11"/>
        <v>269.70588235294116</v>
      </c>
      <c r="O145" s="32">
        <f>VLOOKUP(H145,клиенты!$A$2:$G$435,5,FALSE)</f>
        <v>44563</v>
      </c>
      <c r="P145">
        <f>Продажи[[#This Row],[дата создания чека]]-Продажи[[#This Row],[Дата регистрации клиента]]</f>
        <v>773</v>
      </c>
      <c r="Q145" t="str">
        <f>VLOOKUP(H145,Таблица3[],7,FALSE)</f>
        <v>Россия</v>
      </c>
    </row>
    <row r="146" spans="1:17" x14ac:dyDescent="0.3">
      <c r="A146">
        <v>145</v>
      </c>
      <c r="B146">
        <v>209</v>
      </c>
      <c r="C146">
        <v>284</v>
      </c>
      <c r="D146">
        <v>5</v>
      </c>
      <c r="E146">
        <v>1420</v>
      </c>
      <c r="F146" s="32">
        <v>45167</v>
      </c>
      <c r="G146" t="s">
        <v>12</v>
      </c>
      <c r="H146">
        <v>75</v>
      </c>
      <c r="I146" t="str">
        <f>VLOOKUP(B146,товар!$A$1:$C$433,2,FALSE)</f>
        <v>Хлеб</v>
      </c>
      <c r="J146" s="22">
        <f t="shared" si="8"/>
        <v>300.31818181818181</v>
      </c>
      <c r="K146" s="24">
        <f t="shared" si="9"/>
        <v>-5.4336309974269748E-2</v>
      </c>
      <c r="L146" t="str">
        <f>VLOOKUP(B146,товар!$A$1:$C$433,3,FALSE)</f>
        <v>Русский Хлеб</v>
      </c>
      <c r="M146" s="24">
        <f t="shared" si="10"/>
        <v>-0.1029690461149716</v>
      </c>
      <c r="N146" s="29">
        <f t="shared" si="11"/>
        <v>316.60000000000002</v>
      </c>
      <c r="O146" s="32">
        <f>VLOOKUP(H146,клиенты!$A$2:$G$435,5,FALSE)</f>
        <v>44796</v>
      </c>
      <c r="P146">
        <f>Продажи[[#This Row],[дата создания чека]]-Продажи[[#This Row],[Дата регистрации клиента]]</f>
        <v>371</v>
      </c>
      <c r="Q146" t="str">
        <f>VLOOKUP(H146,Таблица3[],7,FALSE)</f>
        <v>Украина</v>
      </c>
    </row>
    <row r="147" spans="1:17" x14ac:dyDescent="0.3">
      <c r="A147">
        <v>146</v>
      </c>
      <c r="B147">
        <v>156</v>
      </c>
      <c r="C147">
        <v>332</v>
      </c>
      <c r="D147">
        <v>1</v>
      </c>
      <c r="E147">
        <v>332</v>
      </c>
      <c r="F147" s="32">
        <v>45069</v>
      </c>
      <c r="G147" t="s">
        <v>17</v>
      </c>
      <c r="H147">
        <v>356</v>
      </c>
      <c r="I147" t="str">
        <f>VLOOKUP(B147,товар!$A$1:$C$433,2,FALSE)</f>
        <v>Фрукты</v>
      </c>
      <c r="J147" s="22">
        <f t="shared" si="8"/>
        <v>274.16279069767444</v>
      </c>
      <c r="K147" s="24">
        <f t="shared" si="9"/>
        <v>0.21095936890321476</v>
      </c>
      <c r="L147" t="str">
        <f>VLOOKUP(B147,товар!$A$1:$C$433,3,FALSE)</f>
        <v>Фрукты-Ягоды</v>
      </c>
      <c r="M147" s="24">
        <f t="shared" si="10"/>
        <v>0.18289786223277904</v>
      </c>
      <c r="N147" s="29">
        <f t="shared" si="11"/>
        <v>280.66666666666669</v>
      </c>
      <c r="O147" s="32">
        <f>VLOOKUP(H147,клиенты!$A$2:$G$435,5,FALSE)</f>
        <v>44570</v>
      </c>
      <c r="P147">
        <f>Продажи[[#This Row],[дата создания чека]]-Продажи[[#This Row],[Дата регистрации клиента]]</f>
        <v>499</v>
      </c>
      <c r="Q147" t="str">
        <f>VLOOKUP(H147,Таблица3[],7,FALSE)</f>
        <v>Таджикистан</v>
      </c>
    </row>
    <row r="148" spans="1:17" x14ac:dyDescent="0.3">
      <c r="A148">
        <v>147</v>
      </c>
      <c r="B148">
        <v>441</v>
      </c>
      <c r="C148">
        <v>239</v>
      </c>
      <c r="D148">
        <v>2</v>
      </c>
      <c r="E148">
        <v>478</v>
      </c>
      <c r="F148" s="32">
        <v>45103</v>
      </c>
      <c r="G148" t="s">
        <v>24</v>
      </c>
      <c r="H148">
        <v>487</v>
      </c>
      <c r="I148" t="str">
        <f>VLOOKUP(B148,товар!$A$1:$C$433,2,FALSE)</f>
        <v>Чай</v>
      </c>
      <c r="J148" s="22">
        <f t="shared" si="8"/>
        <v>271.18181818181819</v>
      </c>
      <c r="K148" s="24">
        <f t="shared" si="9"/>
        <v>-0.11867247737177344</v>
      </c>
      <c r="L148" t="str">
        <f>VLOOKUP(B148,товар!$A$1:$C$433,3,FALSE)</f>
        <v>Lipton</v>
      </c>
      <c r="M148" s="24">
        <f t="shared" si="10"/>
        <v>-8.1327129273720322E-2</v>
      </c>
      <c r="N148" s="29">
        <f t="shared" si="11"/>
        <v>260.15789473684208</v>
      </c>
      <c r="O148" s="32">
        <f>VLOOKUP(H148,клиенты!$A$2:$G$435,5,FALSE)</f>
        <v>44815</v>
      </c>
      <c r="P148">
        <f>Продажи[[#This Row],[дата создания чека]]-Продажи[[#This Row],[Дата регистрации клиента]]</f>
        <v>288</v>
      </c>
      <c r="Q148" t="str">
        <f>VLOOKUP(H148,Таблица3[],7,FALSE)</f>
        <v>Россия</v>
      </c>
    </row>
    <row r="149" spans="1:17" x14ac:dyDescent="0.3">
      <c r="A149">
        <v>148</v>
      </c>
      <c r="B149">
        <v>180</v>
      </c>
      <c r="C149">
        <v>86</v>
      </c>
      <c r="D149">
        <v>4</v>
      </c>
      <c r="E149">
        <v>344</v>
      </c>
      <c r="F149" s="32">
        <v>45326</v>
      </c>
      <c r="G149" t="s">
        <v>17</v>
      </c>
      <c r="H149">
        <v>73</v>
      </c>
      <c r="I149" t="str">
        <f>VLOOKUP(B149,товар!$A$1:$C$433,2,FALSE)</f>
        <v>Чипсы</v>
      </c>
      <c r="J149" s="22">
        <f t="shared" si="8"/>
        <v>273.72549019607845</v>
      </c>
      <c r="K149" s="24">
        <f t="shared" si="9"/>
        <v>-0.68581661891117474</v>
      </c>
      <c r="L149" t="str">
        <f>VLOOKUP(B149,товар!$A$1:$C$433,3,FALSE)</f>
        <v>Русская картошка</v>
      </c>
      <c r="M149" s="24">
        <f t="shared" si="10"/>
        <v>-0.6443831840110269</v>
      </c>
      <c r="N149" s="29">
        <f t="shared" si="11"/>
        <v>241.83333333333334</v>
      </c>
      <c r="O149" s="32">
        <f>VLOOKUP(H149,клиенты!$A$2:$G$435,5,FALSE)</f>
        <v>44665</v>
      </c>
      <c r="P149">
        <f>Продажи[[#This Row],[дата создания чека]]-Продажи[[#This Row],[Дата регистрации клиента]]</f>
        <v>661</v>
      </c>
      <c r="Q149" t="str">
        <f>VLOOKUP(H149,Таблица3[],7,FALSE)</f>
        <v>Украина</v>
      </c>
    </row>
    <row r="150" spans="1:17" x14ac:dyDescent="0.3">
      <c r="A150">
        <v>149</v>
      </c>
      <c r="B150">
        <v>438</v>
      </c>
      <c r="C150">
        <v>154</v>
      </c>
      <c r="D150">
        <v>4</v>
      </c>
      <c r="E150">
        <v>616</v>
      </c>
      <c r="F150" s="32">
        <v>45264</v>
      </c>
      <c r="G150" t="s">
        <v>12</v>
      </c>
      <c r="H150">
        <v>139</v>
      </c>
      <c r="I150" t="str">
        <f>VLOOKUP(B150,товар!$A$1:$C$433,2,FALSE)</f>
        <v>Кофе</v>
      </c>
      <c r="J150" s="22">
        <f t="shared" si="8"/>
        <v>249.02380952380952</v>
      </c>
      <c r="K150" s="24">
        <f t="shared" si="9"/>
        <v>-0.38158523759441632</v>
      </c>
      <c r="L150" t="str">
        <f>VLOOKUP(B150,товар!$A$1:$C$433,3,FALSE)</f>
        <v>Nescafe</v>
      </c>
      <c r="M150" s="24">
        <f t="shared" si="10"/>
        <v>-0.40054495912806531</v>
      </c>
      <c r="N150" s="29">
        <f t="shared" si="11"/>
        <v>256.89999999999998</v>
      </c>
      <c r="O150" s="32">
        <f>VLOOKUP(H150,клиенты!$A$2:$G$435,5,FALSE)</f>
        <v>44648</v>
      </c>
      <c r="P150">
        <f>Продажи[[#This Row],[дата создания чека]]-Продажи[[#This Row],[Дата регистрации клиента]]</f>
        <v>616</v>
      </c>
      <c r="Q150" t="str">
        <f>VLOOKUP(H150,Таблица3[],7,FALSE)</f>
        <v>Беларусь</v>
      </c>
    </row>
    <row r="151" spans="1:17" x14ac:dyDescent="0.3">
      <c r="A151">
        <v>150</v>
      </c>
      <c r="B151">
        <v>232</v>
      </c>
      <c r="C151">
        <v>109</v>
      </c>
      <c r="D151">
        <v>4</v>
      </c>
      <c r="E151">
        <v>436</v>
      </c>
      <c r="F151" s="32">
        <v>45387</v>
      </c>
      <c r="G151" t="s">
        <v>20</v>
      </c>
      <c r="H151">
        <v>407</v>
      </c>
      <c r="I151" t="str">
        <f>VLOOKUP(B151,товар!$A$1:$C$433,2,FALSE)</f>
        <v>Молоко</v>
      </c>
      <c r="J151" s="22">
        <f t="shared" si="8"/>
        <v>294.95238095238096</v>
      </c>
      <c r="K151" s="24">
        <f t="shared" si="9"/>
        <v>-0.63044882144010339</v>
      </c>
      <c r="L151" t="str">
        <f>VLOOKUP(B151,товар!$A$1:$C$433,3,FALSE)</f>
        <v>Простоквашино</v>
      </c>
      <c r="M151" s="24">
        <f t="shared" si="10"/>
        <v>-0.65811234673510122</v>
      </c>
      <c r="N151" s="29">
        <f t="shared" si="11"/>
        <v>318.81818181818181</v>
      </c>
      <c r="O151" s="32">
        <f>VLOOKUP(H151,клиенты!$A$2:$G$435,5,FALSE)</f>
        <v>44621</v>
      </c>
      <c r="P151">
        <f>Продажи[[#This Row],[дата создания чека]]-Продажи[[#This Row],[Дата регистрации клиента]]</f>
        <v>766</v>
      </c>
      <c r="Q151" t="str">
        <f>VLOOKUP(H151,Таблица3[],7,FALSE)</f>
        <v>Беларусь</v>
      </c>
    </row>
    <row r="152" spans="1:17" x14ac:dyDescent="0.3">
      <c r="A152">
        <v>151</v>
      </c>
      <c r="B152">
        <v>206</v>
      </c>
      <c r="C152">
        <v>73</v>
      </c>
      <c r="D152">
        <v>5</v>
      </c>
      <c r="E152">
        <v>365</v>
      </c>
      <c r="F152" s="32">
        <v>45310</v>
      </c>
      <c r="G152" t="s">
        <v>10</v>
      </c>
      <c r="H152">
        <v>115</v>
      </c>
      <c r="I152" t="str">
        <f>VLOOKUP(B152,товар!$A$1:$C$433,2,FALSE)</f>
        <v>Молоко</v>
      </c>
      <c r="J152" s="22">
        <f t="shared" si="8"/>
        <v>294.95238095238096</v>
      </c>
      <c r="K152" s="24">
        <f t="shared" si="9"/>
        <v>-0.75250242169841786</v>
      </c>
      <c r="L152" t="str">
        <f>VLOOKUP(B152,товар!$A$1:$C$433,3,FALSE)</f>
        <v>Домик в деревне</v>
      </c>
      <c r="M152" s="24">
        <f t="shared" si="10"/>
        <v>-0.73433077234128596</v>
      </c>
      <c r="N152" s="29">
        <f t="shared" si="11"/>
        <v>274.77777777777777</v>
      </c>
      <c r="O152" s="32">
        <f>VLOOKUP(H152,клиенты!$A$2:$G$435,5,FALSE)</f>
        <v>44832</v>
      </c>
      <c r="P152">
        <f>Продажи[[#This Row],[дата создания чека]]-Продажи[[#This Row],[Дата регистрации клиента]]</f>
        <v>478</v>
      </c>
      <c r="Q152" t="str">
        <f>VLOOKUP(H152,Таблица3[],7,FALSE)</f>
        <v>Беларусь</v>
      </c>
    </row>
    <row r="153" spans="1:17" x14ac:dyDescent="0.3">
      <c r="A153">
        <v>152</v>
      </c>
      <c r="B153">
        <v>295</v>
      </c>
      <c r="C153">
        <v>230</v>
      </c>
      <c r="D153">
        <v>4</v>
      </c>
      <c r="E153">
        <v>920</v>
      </c>
      <c r="F153" s="32">
        <v>44990</v>
      </c>
      <c r="G153" t="s">
        <v>12</v>
      </c>
      <c r="H153">
        <v>258</v>
      </c>
      <c r="I153" t="str">
        <f>VLOOKUP(B153,товар!$A$1:$C$433,2,FALSE)</f>
        <v>Печенье</v>
      </c>
      <c r="J153" s="22">
        <f t="shared" si="8"/>
        <v>283.468085106383</v>
      </c>
      <c r="K153" s="24">
        <f t="shared" si="9"/>
        <v>-0.18862118141559714</v>
      </c>
      <c r="L153" t="str">
        <f>VLOOKUP(B153,товар!$A$1:$C$433,3,FALSE)</f>
        <v>Белогорье</v>
      </c>
      <c r="M153" s="24">
        <f t="shared" si="10"/>
        <v>-7.8156312625250468E-2</v>
      </c>
      <c r="N153" s="29">
        <f t="shared" si="11"/>
        <v>249.5</v>
      </c>
      <c r="O153" s="32">
        <f>VLOOKUP(H153,клиенты!$A$2:$G$435,5,FALSE)</f>
        <v>44717</v>
      </c>
      <c r="P153">
        <f>Продажи[[#This Row],[дата создания чека]]-Продажи[[#This Row],[Дата регистрации клиента]]</f>
        <v>273</v>
      </c>
      <c r="Q153" t="str">
        <f>VLOOKUP(H153,Таблица3[],7,FALSE)</f>
        <v>Украина</v>
      </c>
    </row>
    <row r="154" spans="1:17" x14ac:dyDescent="0.3">
      <c r="A154">
        <v>153</v>
      </c>
      <c r="B154">
        <v>204</v>
      </c>
      <c r="C154">
        <v>88</v>
      </c>
      <c r="D154">
        <v>4</v>
      </c>
      <c r="E154">
        <v>352</v>
      </c>
      <c r="F154" s="32">
        <v>44990</v>
      </c>
      <c r="G154" t="s">
        <v>24</v>
      </c>
      <c r="H154">
        <v>349</v>
      </c>
      <c r="I154" t="str">
        <f>VLOOKUP(B154,товар!$A$1:$C$433,2,FALSE)</f>
        <v>Печенье</v>
      </c>
      <c r="J154" s="22">
        <f t="shared" si="8"/>
        <v>283.468085106383</v>
      </c>
      <c r="K154" s="24">
        <f t="shared" si="9"/>
        <v>-0.68955940854161979</v>
      </c>
      <c r="L154" t="str">
        <f>VLOOKUP(B154,товар!$A$1:$C$433,3,FALSE)</f>
        <v>Юбилейное</v>
      </c>
      <c r="M154" s="24">
        <f t="shared" si="10"/>
        <v>-0.62141491395793502</v>
      </c>
      <c r="N154" s="29">
        <f t="shared" si="11"/>
        <v>232.44444444444446</v>
      </c>
      <c r="O154" s="32">
        <f>VLOOKUP(H154,клиенты!$A$2:$G$435,5,FALSE)</f>
        <v>44673</v>
      </c>
      <c r="P154">
        <f>Продажи[[#This Row],[дата создания чека]]-Продажи[[#This Row],[Дата регистрации клиента]]</f>
        <v>317</v>
      </c>
      <c r="Q154" t="str">
        <f>VLOOKUP(H154,Таблица3[],7,FALSE)</f>
        <v>Россия</v>
      </c>
    </row>
    <row r="155" spans="1:17" x14ac:dyDescent="0.3">
      <c r="A155">
        <v>154</v>
      </c>
      <c r="B155">
        <v>399</v>
      </c>
      <c r="C155">
        <v>231</v>
      </c>
      <c r="D155">
        <v>2</v>
      </c>
      <c r="E155">
        <v>462</v>
      </c>
      <c r="F155" s="32">
        <v>45290</v>
      </c>
      <c r="G155" t="s">
        <v>23</v>
      </c>
      <c r="H155">
        <v>325</v>
      </c>
      <c r="I155" t="str">
        <f>VLOOKUP(B155,товар!$A$1:$C$433,2,FALSE)</f>
        <v>Хлеб</v>
      </c>
      <c r="J155" s="22">
        <f t="shared" si="8"/>
        <v>300.31818181818181</v>
      </c>
      <c r="K155" s="24">
        <f t="shared" si="9"/>
        <v>-0.2308158014227335</v>
      </c>
      <c r="L155" t="str">
        <f>VLOOKUP(B155,товар!$A$1:$C$433,3,FALSE)</f>
        <v>Хлебный Дом</v>
      </c>
      <c r="M155" s="24">
        <f t="shared" si="10"/>
        <v>-0.18007572172266928</v>
      </c>
      <c r="N155" s="29">
        <f t="shared" si="11"/>
        <v>281.73333333333335</v>
      </c>
      <c r="O155" s="32">
        <f>VLOOKUP(H155,клиенты!$A$2:$G$435,5,FALSE)</f>
        <v>44875</v>
      </c>
      <c r="P155">
        <f>Продажи[[#This Row],[дата создания чека]]-Продажи[[#This Row],[Дата регистрации клиента]]</f>
        <v>415</v>
      </c>
      <c r="Q155" t="str">
        <f>VLOOKUP(H155,Таблица3[],7,FALSE)</f>
        <v>Таджикистан</v>
      </c>
    </row>
    <row r="156" spans="1:17" x14ac:dyDescent="0.3">
      <c r="A156">
        <v>155</v>
      </c>
      <c r="B156">
        <v>221</v>
      </c>
      <c r="C156">
        <v>477</v>
      </c>
      <c r="D156">
        <v>4</v>
      </c>
      <c r="E156">
        <v>1908</v>
      </c>
      <c r="F156" s="32">
        <v>45185</v>
      </c>
      <c r="G156" t="s">
        <v>15</v>
      </c>
      <c r="H156">
        <v>276</v>
      </c>
      <c r="I156" t="str">
        <f>VLOOKUP(B156,товар!$A$1:$C$433,2,FALSE)</f>
        <v>Чипсы</v>
      </c>
      <c r="J156" s="22">
        <f t="shared" si="8"/>
        <v>273.72549019607845</v>
      </c>
      <c r="K156" s="24">
        <f t="shared" si="9"/>
        <v>0.74262177650429795</v>
      </c>
      <c r="L156" t="str">
        <f>VLOOKUP(B156,товар!$A$1:$C$433,3,FALSE)</f>
        <v>Pringles</v>
      </c>
      <c r="M156" s="24">
        <f t="shared" si="10"/>
        <v>0.70212404418011887</v>
      </c>
      <c r="N156" s="29">
        <f t="shared" si="11"/>
        <v>280.23809523809524</v>
      </c>
      <c r="O156" s="32">
        <f>VLOOKUP(H156,клиенты!$A$2:$G$435,5,FALSE)</f>
        <v>44632</v>
      </c>
      <c r="P156">
        <f>Продажи[[#This Row],[дата создания чека]]-Продажи[[#This Row],[Дата регистрации клиента]]</f>
        <v>553</v>
      </c>
      <c r="Q156" t="str">
        <f>VLOOKUP(H156,Таблица3[],7,FALSE)</f>
        <v>Таджикистан</v>
      </c>
    </row>
    <row r="157" spans="1:17" x14ac:dyDescent="0.3">
      <c r="A157">
        <v>156</v>
      </c>
      <c r="B157">
        <v>333</v>
      </c>
      <c r="C157">
        <v>74</v>
      </c>
      <c r="D157">
        <v>2</v>
      </c>
      <c r="E157">
        <v>148</v>
      </c>
      <c r="F157" s="32">
        <v>45153</v>
      </c>
      <c r="G157" t="s">
        <v>16</v>
      </c>
      <c r="H157">
        <v>328</v>
      </c>
      <c r="I157" t="str">
        <f>VLOOKUP(B157,товар!$A$1:$C$433,2,FALSE)</f>
        <v>Рыба</v>
      </c>
      <c r="J157" s="22">
        <f t="shared" si="8"/>
        <v>258.5128205128205</v>
      </c>
      <c r="K157" s="24">
        <f t="shared" si="9"/>
        <v>-0.71374727236659385</v>
      </c>
      <c r="L157" t="str">
        <f>VLOOKUP(B157,товар!$A$1:$C$433,3,FALSE)</f>
        <v>Санта Бремор</v>
      </c>
      <c r="M157" s="24">
        <f t="shared" si="10"/>
        <v>-0.65804066543438078</v>
      </c>
      <c r="N157" s="29">
        <f t="shared" si="11"/>
        <v>216.4</v>
      </c>
      <c r="O157" s="32">
        <f>VLOOKUP(H157,клиенты!$A$2:$G$435,5,FALSE)</f>
        <v>44568</v>
      </c>
      <c r="P157">
        <f>Продажи[[#This Row],[дата создания чека]]-Продажи[[#This Row],[Дата регистрации клиента]]</f>
        <v>585</v>
      </c>
      <c r="Q157" t="str">
        <f>VLOOKUP(H157,Таблица3[],7,FALSE)</f>
        <v>Россия</v>
      </c>
    </row>
    <row r="158" spans="1:17" x14ac:dyDescent="0.3">
      <c r="A158">
        <v>157</v>
      </c>
      <c r="B158">
        <v>498</v>
      </c>
      <c r="C158">
        <v>430</v>
      </c>
      <c r="D158">
        <v>5</v>
      </c>
      <c r="E158">
        <v>2150</v>
      </c>
      <c r="F158" s="32">
        <v>45106</v>
      </c>
      <c r="G158" t="s">
        <v>25</v>
      </c>
      <c r="H158">
        <v>250</v>
      </c>
      <c r="I158" t="str">
        <f>VLOOKUP(B158,товар!$A$1:$C$433,2,FALSE)</f>
        <v>Молоко</v>
      </c>
      <c r="J158" s="22">
        <f t="shared" si="8"/>
        <v>294.95238095238096</v>
      </c>
      <c r="K158" s="24">
        <f t="shared" si="9"/>
        <v>0.4578624475298676</v>
      </c>
      <c r="L158" t="str">
        <f>VLOOKUP(B158,товар!$A$1:$C$433,3,FALSE)</f>
        <v>Домик в деревне</v>
      </c>
      <c r="M158" s="24">
        <f t="shared" si="10"/>
        <v>0.5649009300444805</v>
      </c>
      <c r="N158" s="29">
        <f t="shared" si="11"/>
        <v>274.77777777777777</v>
      </c>
      <c r="O158" s="32">
        <f>VLOOKUP(H158,клиенты!$A$2:$G$435,5,FALSE)</f>
        <v>44856</v>
      </c>
      <c r="P158">
        <f>Продажи[[#This Row],[дата создания чека]]-Продажи[[#This Row],[Дата регистрации клиента]]</f>
        <v>250</v>
      </c>
      <c r="Q158" t="str">
        <f>VLOOKUP(H158,Таблица3[],7,FALSE)</f>
        <v>Россия</v>
      </c>
    </row>
    <row r="159" spans="1:17" x14ac:dyDescent="0.3">
      <c r="A159">
        <v>158</v>
      </c>
      <c r="B159">
        <v>476</v>
      </c>
      <c r="C159">
        <v>286</v>
      </c>
      <c r="D159">
        <v>2</v>
      </c>
      <c r="E159">
        <v>572</v>
      </c>
      <c r="F159" s="32">
        <v>44973</v>
      </c>
      <c r="G159" t="s">
        <v>19</v>
      </c>
      <c r="H159">
        <v>397</v>
      </c>
      <c r="I159" t="str">
        <f>VLOOKUP(B159,товар!$A$1:$C$433,2,FALSE)</f>
        <v>Рыба</v>
      </c>
      <c r="J159" s="22">
        <f t="shared" si="8"/>
        <v>258.5128205128205</v>
      </c>
      <c r="K159" s="24">
        <f t="shared" si="9"/>
        <v>0.10632810950208293</v>
      </c>
      <c r="L159" t="str">
        <f>VLOOKUP(B159,товар!$A$1:$C$433,3,FALSE)</f>
        <v>Балтийский берег</v>
      </c>
      <c r="M159" s="24">
        <f t="shared" si="10"/>
        <v>-1.3415101571483401E-2</v>
      </c>
      <c r="N159" s="29">
        <f t="shared" si="11"/>
        <v>289.88888888888891</v>
      </c>
      <c r="O159" s="32">
        <f>VLOOKUP(H159,клиенты!$A$2:$G$435,5,FALSE)</f>
        <v>44728</v>
      </c>
      <c r="P159">
        <f>Продажи[[#This Row],[дата создания чека]]-Продажи[[#This Row],[Дата регистрации клиента]]</f>
        <v>245</v>
      </c>
      <c r="Q159" t="str">
        <f>VLOOKUP(H159,Таблица3[],7,FALSE)</f>
        <v>Беларусь</v>
      </c>
    </row>
    <row r="160" spans="1:17" x14ac:dyDescent="0.3">
      <c r="A160">
        <v>159</v>
      </c>
      <c r="B160">
        <v>126</v>
      </c>
      <c r="C160">
        <v>273</v>
      </c>
      <c r="D160">
        <v>3</v>
      </c>
      <c r="E160">
        <v>819</v>
      </c>
      <c r="F160" s="32">
        <v>45051</v>
      </c>
      <c r="G160" t="s">
        <v>16</v>
      </c>
      <c r="H160">
        <v>153</v>
      </c>
      <c r="I160" t="str">
        <f>VLOOKUP(B160,товар!$A$1:$C$433,2,FALSE)</f>
        <v>Сахар</v>
      </c>
      <c r="J160" s="22">
        <f t="shared" si="8"/>
        <v>252.76271186440678</v>
      </c>
      <c r="K160" s="24">
        <f t="shared" si="9"/>
        <v>8.006437336551997E-2</v>
      </c>
      <c r="L160" t="str">
        <f>VLOOKUP(B160,товар!$A$1:$C$433,3,FALSE)</f>
        <v>Русский сахар</v>
      </c>
      <c r="M160" s="24">
        <f t="shared" si="10"/>
        <v>-6.9566960705693792E-2</v>
      </c>
      <c r="N160" s="29">
        <f t="shared" si="11"/>
        <v>293.41176470588238</v>
      </c>
      <c r="O160" s="32">
        <f>VLOOKUP(H160,клиенты!$A$2:$G$435,5,FALSE)</f>
        <v>44802</v>
      </c>
      <c r="P160">
        <f>Продажи[[#This Row],[дата создания чека]]-Продажи[[#This Row],[Дата регистрации клиента]]</f>
        <v>249</v>
      </c>
      <c r="Q160" t="str">
        <f>VLOOKUP(H160,Таблица3[],7,FALSE)</f>
        <v>Россия</v>
      </c>
    </row>
    <row r="161" spans="1:17" x14ac:dyDescent="0.3">
      <c r="A161">
        <v>160</v>
      </c>
      <c r="B161">
        <v>255</v>
      </c>
      <c r="C161">
        <v>279</v>
      </c>
      <c r="D161">
        <v>3</v>
      </c>
      <c r="E161">
        <v>837</v>
      </c>
      <c r="F161" s="32">
        <v>45081</v>
      </c>
      <c r="G161" t="s">
        <v>10</v>
      </c>
      <c r="H161">
        <v>286</v>
      </c>
      <c r="I161" t="str">
        <f>VLOOKUP(B161,товар!$A$1:$C$433,2,FALSE)</f>
        <v>Кофе</v>
      </c>
      <c r="J161" s="22">
        <f t="shared" si="8"/>
        <v>249.02380952380952</v>
      </c>
      <c r="K161" s="24">
        <f t="shared" si="9"/>
        <v>0.12037479682570029</v>
      </c>
      <c r="L161" t="str">
        <f>VLOOKUP(B161,товар!$A$1:$C$433,3,FALSE)</f>
        <v>Nescafe</v>
      </c>
      <c r="M161" s="24">
        <f t="shared" si="10"/>
        <v>8.6025690930323195E-2</v>
      </c>
      <c r="N161" s="29">
        <f t="shared" si="11"/>
        <v>256.89999999999998</v>
      </c>
      <c r="O161" s="32">
        <f>VLOOKUP(H161,клиенты!$A$2:$G$435,5,FALSE)</f>
        <v>44563</v>
      </c>
      <c r="P161">
        <f>Продажи[[#This Row],[дата создания чека]]-Продажи[[#This Row],[Дата регистрации клиента]]</f>
        <v>518</v>
      </c>
      <c r="Q161" t="str">
        <f>VLOOKUP(H161,Таблица3[],7,FALSE)</f>
        <v>Таджикистан</v>
      </c>
    </row>
    <row r="162" spans="1:17" x14ac:dyDescent="0.3">
      <c r="A162">
        <v>161</v>
      </c>
      <c r="B162">
        <v>138</v>
      </c>
      <c r="C162">
        <v>210</v>
      </c>
      <c r="D162">
        <v>2</v>
      </c>
      <c r="E162">
        <v>420</v>
      </c>
      <c r="F162" s="32">
        <v>45012</v>
      </c>
      <c r="G162" t="s">
        <v>13</v>
      </c>
      <c r="H162">
        <v>14</v>
      </c>
      <c r="I162" t="str">
        <f>VLOOKUP(B162,товар!$A$1:$C$433,2,FALSE)</f>
        <v>Сыр</v>
      </c>
      <c r="J162" s="22">
        <f t="shared" si="8"/>
        <v>262.63492063492066</v>
      </c>
      <c r="K162" s="24">
        <f t="shared" si="9"/>
        <v>-0.20041097546234743</v>
      </c>
      <c r="L162" t="str">
        <f>VLOOKUP(B162,товар!$A$1:$C$433,3,FALSE)</f>
        <v>Сырная долина</v>
      </c>
      <c r="M162" s="24">
        <f t="shared" si="10"/>
        <v>-0.22509225092250917</v>
      </c>
      <c r="N162" s="29">
        <f t="shared" si="11"/>
        <v>271</v>
      </c>
      <c r="O162" s="32">
        <f>VLOOKUP(H162,клиенты!$A$2:$G$435,5,FALSE)</f>
        <v>44775</v>
      </c>
      <c r="P162">
        <f>Продажи[[#This Row],[дата создания чека]]-Продажи[[#This Row],[Дата регистрации клиента]]</f>
        <v>237</v>
      </c>
      <c r="Q162" t="str">
        <f>VLOOKUP(H162,Таблица3[],7,FALSE)</f>
        <v>Таджикистан</v>
      </c>
    </row>
    <row r="163" spans="1:17" x14ac:dyDescent="0.3">
      <c r="A163">
        <v>162</v>
      </c>
      <c r="B163">
        <v>403</v>
      </c>
      <c r="C163">
        <v>229</v>
      </c>
      <c r="D163">
        <v>1</v>
      </c>
      <c r="E163">
        <v>229</v>
      </c>
      <c r="F163" s="32">
        <v>44991</v>
      </c>
      <c r="G163" t="s">
        <v>17</v>
      </c>
      <c r="H163">
        <v>32</v>
      </c>
      <c r="I163" t="str">
        <f>VLOOKUP(B163,товар!$A$1:$C$433,2,FALSE)</f>
        <v>Чай</v>
      </c>
      <c r="J163" s="22">
        <f t="shared" si="8"/>
        <v>271.18181818181819</v>
      </c>
      <c r="K163" s="24">
        <f t="shared" si="9"/>
        <v>-0.15554810593362389</v>
      </c>
      <c r="L163" t="str">
        <f>VLOOKUP(B163,товар!$A$1:$C$433,3,FALSE)</f>
        <v>Ахмад</v>
      </c>
      <c r="M163" s="24">
        <f t="shared" si="10"/>
        <v>-5.8775174681463205E-2</v>
      </c>
      <c r="N163" s="29">
        <f t="shared" si="11"/>
        <v>243.3</v>
      </c>
      <c r="O163" s="32">
        <f>VLOOKUP(H163,клиенты!$A$2:$G$435,5,FALSE)</f>
        <v>44922</v>
      </c>
      <c r="P163">
        <f>Продажи[[#This Row],[дата создания чека]]-Продажи[[#This Row],[Дата регистрации клиента]]</f>
        <v>69</v>
      </c>
      <c r="Q163" t="str">
        <f>VLOOKUP(H163,Таблица3[],7,FALSE)</f>
        <v>Узбекистан</v>
      </c>
    </row>
    <row r="164" spans="1:17" x14ac:dyDescent="0.3">
      <c r="A164">
        <v>163</v>
      </c>
      <c r="B164">
        <v>280</v>
      </c>
      <c r="C164">
        <v>192</v>
      </c>
      <c r="D164">
        <v>2</v>
      </c>
      <c r="E164">
        <v>384</v>
      </c>
      <c r="F164" s="32">
        <v>45283</v>
      </c>
      <c r="G164" t="s">
        <v>8</v>
      </c>
      <c r="H164">
        <v>49</v>
      </c>
      <c r="I164" t="str">
        <f>VLOOKUP(B164,товар!$A$1:$C$433,2,FALSE)</f>
        <v>Сыр</v>
      </c>
      <c r="J164" s="22">
        <f t="shared" si="8"/>
        <v>262.63492063492066</v>
      </c>
      <c r="K164" s="24">
        <f t="shared" si="9"/>
        <v>-0.26894717756557485</v>
      </c>
      <c r="L164" t="str">
        <f>VLOOKUP(B164,товар!$A$1:$C$433,3,FALSE)</f>
        <v>President</v>
      </c>
      <c r="M164" s="24">
        <f t="shared" si="10"/>
        <v>-0.19571794275075638</v>
      </c>
      <c r="N164" s="29">
        <f t="shared" si="11"/>
        <v>238.72222222222223</v>
      </c>
      <c r="O164" s="32">
        <f>VLOOKUP(H164,клиенты!$A$2:$G$435,5,FALSE)</f>
        <v>44672</v>
      </c>
      <c r="P164">
        <f>Продажи[[#This Row],[дата создания чека]]-Продажи[[#This Row],[Дата регистрации клиента]]</f>
        <v>611</v>
      </c>
      <c r="Q164" t="str">
        <f>VLOOKUP(H164,Таблица3[],7,FALSE)</f>
        <v>Таджикистан</v>
      </c>
    </row>
    <row r="165" spans="1:17" x14ac:dyDescent="0.3">
      <c r="A165">
        <v>164</v>
      </c>
      <c r="B165">
        <v>356</v>
      </c>
      <c r="C165">
        <v>373</v>
      </c>
      <c r="D165">
        <v>1</v>
      </c>
      <c r="E165">
        <v>373</v>
      </c>
      <c r="F165" s="32">
        <v>45291</v>
      </c>
      <c r="G165" t="s">
        <v>10</v>
      </c>
      <c r="H165">
        <v>115</v>
      </c>
      <c r="I165" t="str">
        <f>VLOOKUP(B165,товар!$A$1:$C$433,2,FALSE)</f>
        <v>Печенье</v>
      </c>
      <c r="J165" s="22">
        <f t="shared" si="8"/>
        <v>283.468085106383</v>
      </c>
      <c r="K165" s="24">
        <f t="shared" si="9"/>
        <v>0.31584477970427072</v>
      </c>
      <c r="L165" t="str">
        <f>VLOOKUP(B165,товар!$A$1:$C$433,3,FALSE)</f>
        <v>Посиделкино</v>
      </c>
      <c r="M165" s="24">
        <f t="shared" si="10"/>
        <v>0.15969474279253815</v>
      </c>
      <c r="N165" s="29">
        <f t="shared" si="11"/>
        <v>321.63636363636363</v>
      </c>
      <c r="O165" s="32">
        <f>VLOOKUP(H165,клиенты!$A$2:$G$435,5,FALSE)</f>
        <v>44832</v>
      </c>
      <c r="P165">
        <f>Продажи[[#This Row],[дата создания чека]]-Продажи[[#This Row],[Дата регистрации клиента]]</f>
        <v>459</v>
      </c>
      <c r="Q165" t="str">
        <f>VLOOKUP(H165,Таблица3[],7,FALSE)</f>
        <v>Беларусь</v>
      </c>
    </row>
    <row r="166" spans="1:17" x14ac:dyDescent="0.3">
      <c r="A166">
        <v>165</v>
      </c>
      <c r="B166">
        <v>41</v>
      </c>
      <c r="C166">
        <v>315</v>
      </c>
      <c r="D166">
        <v>3</v>
      </c>
      <c r="E166">
        <v>945</v>
      </c>
      <c r="F166" s="32">
        <v>45202</v>
      </c>
      <c r="G166" t="s">
        <v>21</v>
      </c>
      <c r="H166">
        <v>420</v>
      </c>
      <c r="I166" t="str">
        <f>VLOOKUP(B166,товар!$A$1:$C$433,2,FALSE)</f>
        <v>Рис</v>
      </c>
      <c r="J166" s="22">
        <f t="shared" si="8"/>
        <v>258.375</v>
      </c>
      <c r="K166" s="24">
        <f t="shared" si="9"/>
        <v>0.21915820029027566</v>
      </c>
      <c r="L166" t="str">
        <f>VLOOKUP(B166,товар!$A$1:$C$433,3,FALSE)</f>
        <v>Агро-Альянс</v>
      </c>
      <c r="M166" s="24">
        <f t="shared" si="10"/>
        <v>-8.9887640449437534E-3</v>
      </c>
      <c r="N166" s="29">
        <f t="shared" si="11"/>
        <v>317.85714285714283</v>
      </c>
      <c r="O166" s="32">
        <f>VLOOKUP(H166,клиенты!$A$2:$G$435,5,FALSE)</f>
        <v>44698</v>
      </c>
      <c r="P166">
        <f>Продажи[[#This Row],[дата создания чека]]-Продажи[[#This Row],[Дата регистрации клиента]]</f>
        <v>504</v>
      </c>
      <c r="Q166" t="str">
        <f>VLOOKUP(H166,Таблица3[],7,FALSE)</f>
        <v>Украина</v>
      </c>
    </row>
    <row r="167" spans="1:17" x14ac:dyDescent="0.3">
      <c r="A167">
        <v>166</v>
      </c>
      <c r="B167">
        <v>379</v>
      </c>
      <c r="C167">
        <v>321</v>
      </c>
      <c r="D167">
        <v>5</v>
      </c>
      <c r="E167">
        <v>1605</v>
      </c>
      <c r="F167" s="32">
        <v>45032</v>
      </c>
      <c r="G167" t="s">
        <v>17</v>
      </c>
      <c r="H167">
        <v>47</v>
      </c>
      <c r="I167" t="str">
        <f>VLOOKUP(B167,товар!$A$1:$C$433,2,FALSE)</f>
        <v>Йогурт</v>
      </c>
      <c r="J167" s="22">
        <f t="shared" si="8"/>
        <v>263.25423728813558</v>
      </c>
      <c r="K167" s="24">
        <f t="shared" si="9"/>
        <v>0.21935359258305431</v>
      </c>
      <c r="L167" t="str">
        <f>VLOOKUP(B167,товар!$A$1:$C$433,3,FALSE)</f>
        <v>Активиа</v>
      </c>
      <c r="M167" s="24">
        <f t="shared" si="10"/>
        <v>9.3076049943246142E-2</v>
      </c>
      <c r="N167" s="29">
        <f t="shared" si="11"/>
        <v>293.66666666666669</v>
      </c>
      <c r="O167" s="32">
        <f>VLOOKUP(H167,клиенты!$A$2:$G$435,5,FALSE)</f>
        <v>44693</v>
      </c>
      <c r="P167">
        <f>Продажи[[#This Row],[дата создания чека]]-Продажи[[#This Row],[Дата регистрации клиента]]</f>
        <v>339</v>
      </c>
      <c r="Q167" t="str">
        <f>VLOOKUP(H167,Таблица3[],7,FALSE)</f>
        <v>Беларусь</v>
      </c>
    </row>
    <row r="168" spans="1:17" x14ac:dyDescent="0.3">
      <c r="A168">
        <v>167</v>
      </c>
      <c r="B168">
        <v>282</v>
      </c>
      <c r="C168">
        <v>189</v>
      </c>
      <c r="D168">
        <v>2</v>
      </c>
      <c r="E168">
        <v>378</v>
      </c>
      <c r="F168" s="32">
        <v>45158</v>
      </c>
      <c r="G168" t="s">
        <v>17</v>
      </c>
      <c r="H168">
        <v>202</v>
      </c>
      <c r="I168" t="str">
        <f>VLOOKUP(B168,товар!$A$1:$C$433,2,FALSE)</f>
        <v>Рис</v>
      </c>
      <c r="J168" s="22">
        <f t="shared" si="8"/>
        <v>258.375</v>
      </c>
      <c r="K168" s="24">
        <f t="shared" si="9"/>
        <v>-0.26850507982583449</v>
      </c>
      <c r="L168" t="str">
        <f>VLOOKUP(B168,товар!$A$1:$C$433,3,FALSE)</f>
        <v>Агро-Альянс</v>
      </c>
      <c r="M168" s="24">
        <f t="shared" si="10"/>
        <v>-0.40539325842696627</v>
      </c>
      <c r="N168" s="29">
        <f t="shared" si="11"/>
        <v>317.85714285714283</v>
      </c>
      <c r="O168" s="32">
        <f>VLOOKUP(H168,клиенты!$A$2:$G$435,5,FALSE)</f>
        <v>44766</v>
      </c>
      <c r="P168">
        <f>Продажи[[#This Row],[дата создания чека]]-Продажи[[#This Row],[Дата регистрации клиента]]</f>
        <v>392</v>
      </c>
      <c r="Q168" t="str">
        <f>VLOOKUP(H168,Таблица3[],7,FALSE)</f>
        <v>Беларусь</v>
      </c>
    </row>
    <row r="169" spans="1:17" x14ac:dyDescent="0.3">
      <c r="A169">
        <v>168</v>
      </c>
      <c r="B169">
        <v>459</v>
      </c>
      <c r="C169">
        <v>405</v>
      </c>
      <c r="D169">
        <v>3</v>
      </c>
      <c r="E169">
        <v>1215</v>
      </c>
      <c r="F169" s="32">
        <v>44949</v>
      </c>
      <c r="G169" t="s">
        <v>10</v>
      </c>
      <c r="H169">
        <v>37</v>
      </c>
      <c r="I169" t="str">
        <f>VLOOKUP(B169,товар!$A$1:$C$433,2,FALSE)</f>
        <v>Крупа</v>
      </c>
      <c r="J169" s="22">
        <f t="shared" si="8"/>
        <v>255.11627906976744</v>
      </c>
      <c r="K169" s="24">
        <f t="shared" si="9"/>
        <v>0.58751139471285319</v>
      </c>
      <c r="L169" t="str">
        <f>VLOOKUP(B169,товар!$A$1:$C$433,3,FALSE)</f>
        <v>Националь</v>
      </c>
      <c r="M169" s="24">
        <f t="shared" si="10"/>
        <v>0.4765625</v>
      </c>
      <c r="N169" s="29">
        <f t="shared" si="11"/>
        <v>274.28571428571428</v>
      </c>
      <c r="O169" s="32">
        <f>VLOOKUP(H169,клиенты!$A$2:$G$435,5,FALSE)</f>
        <v>44728</v>
      </c>
      <c r="P169">
        <f>Продажи[[#This Row],[дата создания чека]]-Продажи[[#This Row],[Дата регистрации клиента]]</f>
        <v>221</v>
      </c>
      <c r="Q169" t="str">
        <f>VLOOKUP(H169,Таблица3[],7,FALSE)</f>
        <v>Украина</v>
      </c>
    </row>
    <row r="170" spans="1:17" x14ac:dyDescent="0.3">
      <c r="A170">
        <v>169</v>
      </c>
      <c r="B170">
        <v>402</v>
      </c>
      <c r="C170">
        <v>426</v>
      </c>
      <c r="D170">
        <v>2</v>
      </c>
      <c r="E170">
        <v>852</v>
      </c>
      <c r="F170" s="32">
        <v>45099</v>
      </c>
      <c r="G170" t="s">
        <v>25</v>
      </c>
      <c r="H170">
        <v>366</v>
      </c>
      <c r="I170" t="str">
        <f>VLOOKUP(B170,товар!$A$1:$C$433,2,FALSE)</f>
        <v>Хлеб</v>
      </c>
      <c r="J170" s="22">
        <f t="shared" si="8"/>
        <v>300.31818181818181</v>
      </c>
      <c r="K170" s="24">
        <f t="shared" si="9"/>
        <v>0.41849553503859549</v>
      </c>
      <c r="L170" t="str">
        <f>VLOOKUP(B170,товар!$A$1:$C$433,3,FALSE)</f>
        <v>Каравай</v>
      </c>
      <c r="M170" s="24">
        <f t="shared" si="10"/>
        <v>0.28636134876698538</v>
      </c>
      <c r="N170" s="29">
        <f t="shared" si="11"/>
        <v>331.16666666666669</v>
      </c>
      <c r="O170" s="32">
        <f>VLOOKUP(H170,клиенты!$A$2:$G$435,5,FALSE)</f>
        <v>44827</v>
      </c>
      <c r="P170">
        <f>Продажи[[#This Row],[дата создания чека]]-Продажи[[#This Row],[Дата регистрации клиента]]</f>
        <v>272</v>
      </c>
      <c r="Q170" t="str">
        <f>VLOOKUP(H170,Таблица3[],7,FALSE)</f>
        <v>Узбекистан</v>
      </c>
    </row>
    <row r="171" spans="1:17" x14ac:dyDescent="0.3">
      <c r="A171">
        <v>170</v>
      </c>
      <c r="B171">
        <v>320</v>
      </c>
      <c r="C171">
        <v>271</v>
      </c>
      <c r="D171">
        <v>1</v>
      </c>
      <c r="E171">
        <v>271</v>
      </c>
      <c r="F171" s="32">
        <v>45412</v>
      </c>
      <c r="G171" t="s">
        <v>27</v>
      </c>
      <c r="H171">
        <v>434</v>
      </c>
      <c r="I171" t="str">
        <f>VLOOKUP(B171,товар!$A$1:$C$433,2,FALSE)</f>
        <v>Конфеты</v>
      </c>
      <c r="J171" s="22">
        <f t="shared" si="8"/>
        <v>267.85483870967744</v>
      </c>
      <c r="K171" s="24">
        <f t="shared" si="9"/>
        <v>1.1742036490636432E-2</v>
      </c>
      <c r="L171" t="str">
        <f>VLOOKUP(B171,товар!$A$1:$C$433,3,FALSE)</f>
        <v>Бабаевский</v>
      </c>
      <c r="M171" s="24">
        <f t="shared" si="10"/>
        <v>8.2877016427408634E-2</v>
      </c>
      <c r="N171" s="29">
        <f t="shared" si="11"/>
        <v>250.25925925925927</v>
      </c>
      <c r="O171" s="32">
        <f>VLOOKUP(H171,клиенты!$A$2:$G$435,5,FALSE)</f>
        <v>44730</v>
      </c>
      <c r="P171">
        <f>Продажи[[#This Row],[дата создания чека]]-Продажи[[#This Row],[Дата регистрации клиента]]</f>
        <v>682</v>
      </c>
      <c r="Q171" t="str">
        <f>VLOOKUP(H171,Таблица3[],7,FALSE)</f>
        <v>Украина</v>
      </c>
    </row>
    <row r="172" spans="1:17" x14ac:dyDescent="0.3">
      <c r="A172">
        <v>171</v>
      </c>
      <c r="B172">
        <v>19</v>
      </c>
      <c r="C172">
        <v>96</v>
      </c>
      <c r="D172">
        <v>4</v>
      </c>
      <c r="E172">
        <v>384</v>
      </c>
      <c r="F172" s="32">
        <v>45041</v>
      </c>
      <c r="G172" t="s">
        <v>9</v>
      </c>
      <c r="H172">
        <v>172</v>
      </c>
      <c r="I172" t="str">
        <f>VLOOKUP(B172,товар!$A$1:$C$433,2,FALSE)</f>
        <v>Мясо</v>
      </c>
      <c r="J172" s="22">
        <f t="shared" si="8"/>
        <v>271.74545454545455</v>
      </c>
      <c r="K172" s="24">
        <f t="shared" si="9"/>
        <v>-0.6467282215977519</v>
      </c>
      <c r="L172" t="str">
        <f>VLOOKUP(B172,товар!$A$1:$C$433,3,FALSE)</f>
        <v>Снежана</v>
      </c>
      <c r="M172" s="24">
        <f t="shared" si="10"/>
        <v>-0.64751619870410371</v>
      </c>
      <c r="N172" s="29">
        <f t="shared" si="11"/>
        <v>272.35294117647061</v>
      </c>
      <c r="O172" s="32">
        <f>VLOOKUP(H172,клиенты!$A$2:$G$435,5,FALSE)</f>
        <v>44737</v>
      </c>
      <c r="P172">
        <f>Продажи[[#This Row],[дата создания чека]]-Продажи[[#This Row],[Дата регистрации клиента]]</f>
        <v>304</v>
      </c>
      <c r="Q172" t="str">
        <f>VLOOKUP(H172,Таблица3[],7,FALSE)</f>
        <v>Россия</v>
      </c>
    </row>
    <row r="173" spans="1:17" x14ac:dyDescent="0.3">
      <c r="A173">
        <v>172</v>
      </c>
      <c r="B173">
        <v>447</v>
      </c>
      <c r="C173">
        <v>65</v>
      </c>
      <c r="D173">
        <v>1</v>
      </c>
      <c r="E173">
        <v>65</v>
      </c>
      <c r="F173" s="32">
        <v>45341</v>
      </c>
      <c r="G173" t="s">
        <v>11</v>
      </c>
      <c r="H173">
        <v>52</v>
      </c>
      <c r="I173" t="str">
        <f>VLOOKUP(B173,товар!$A$1:$C$433,2,FALSE)</f>
        <v>Йогурт</v>
      </c>
      <c r="J173" s="22">
        <f t="shared" si="8"/>
        <v>263.25423728813558</v>
      </c>
      <c r="K173" s="24">
        <f t="shared" si="9"/>
        <v>-0.75309039402523825</v>
      </c>
      <c r="L173" t="str">
        <f>VLOOKUP(B173,товар!$A$1:$C$433,3,FALSE)</f>
        <v>Эрманн</v>
      </c>
      <c r="M173" s="24">
        <f t="shared" si="10"/>
        <v>-0.7384305835010061</v>
      </c>
      <c r="N173" s="29">
        <f t="shared" si="11"/>
        <v>248.5</v>
      </c>
      <c r="O173" s="32">
        <f>VLOOKUP(H173,клиенты!$A$2:$G$435,5,FALSE)</f>
        <v>44917</v>
      </c>
      <c r="P173">
        <f>Продажи[[#This Row],[дата создания чека]]-Продажи[[#This Row],[Дата регистрации клиента]]</f>
        <v>424</v>
      </c>
      <c r="Q173" t="str">
        <f>VLOOKUP(H173,Таблица3[],7,FALSE)</f>
        <v>Россия</v>
      </c>
    </row>
    <row r="174" spans="1:17" x14ac:dyDescent="0.3">
      <c r="A174">
        <v>173</v>
      </c>
      <c r="B174">
        <v>406</v>
      </c>
      <c r="C174">
        <v>426</v>
      </c>
      <c r="D174">
        <v>1</v>
      </c>
      <c r="E174">
        <v>426</v>
      </c>
      <c r="F174" s="32">
        <v>45289</v>
      </c>
      <c r="G174" t="s">
        <v>12</v>
      </c>
      <c r="H174">
        <v>395</v>
      </c>
      <c r="I174" t="str">
        <f>VLOOKUP(B174,товар!$A$1:$C$433,2,FALSE)</f>
        <v>Сок</v>
      </c>
      <c r="J174" s="22">
        <f t="shared" si="8"/>
        <v>268.60344827586209</v>
      </c>
      <c r="K174" s="24">
        <f t="shared" si="9"/>
        <v>0.58598112844213346</v>
      </c>
      <c r="L174" t="str">
        <f>VLOOKUP(B174,товар!$A$1:$C$433,3,FALSE)</f>
        <v>Фруктовый сад</v>
      </c>
      <c r="M174" s="24">
        <f t="shared" si="10"/>
        <v>0.51080571871882974</v>
      </c>
      <c r="N174" s="29">
        <f t="shared" si="11"/>
        <v>281.96875</v>
      </c>
      <c r="O174" s="32">
        <f>VLOOKUP(H174,клиенты!$A$2:$G$435,5,FALSE)</f>
        <v>44890</v>
      </c>
      <c r="P174">
        <f>Продажи[[#This Row],[дата создания чека]]-Продажи[[#This Row],[Дата регистрации клиента]]</f>
        <v>399</v>
      </c>
      <c r="Q174" t="str">
        <f>VLOOKUP(H174,Таблица3[],7,FALSE)</f>
        <v>Узбекистан</v>
      </c>
    </row>
    <row r="175" spans="1:17" x14ac:dyDescent="0.3">
      <c r="A175">
        <v>174</v>
      </c>
      <c r="B175">
        <v>391</v>
      </c>
      <c r="C175">
        <v>356</v>
      </c>
      <c r="D175">
        <v>2</v>
      </c>
      <c r="E175">
        <v>712</v>
      </c>
      <c r="F175" s="32">
        <v>45175</v>
      </c>
      <c r="G175" t="s">
        <v>12</v>
      </c>
      <c r="H175">
        <v>46</v>
      </c>
      <c r="I175" t="str">
        <f>VLOOKUP(B175,товар!$A$1:$C$433,2,FALSE)</f>
        <v>Рыба</v>
      </c>
      <c r="J175" s="22">
        <f t="shared" si="8"/>
        <v>258.5128205128205</v>
      </c>
      <c r="K175" s="24">
        <f t="shared" si="9"/>
        <v>0.37710771672287247</v>
      </c>
      <c r="L175" t="str">
        <f>VLOOKUP(B175,товар!$A$1:$C$433,3,FALSE)</f>
        <v>Балтийский берег</v>
      </c>
      <c r="M175" s="24">
        <f t="shared" si="10"/>
        <v>0.22805672671521648</v>
      </c>
      <c r="N175" s="29">
        <f t="shared" si="11"/>
        <v>289.88888888888891</v>
      </c>
      <c r="O175" s="32">
        <f>VLOOKUP(H175,клиенты!$A$2:$G$435,5,FALSE)</f>
        <v>44636</v>
      </c>
      <c r="P175">
        <f>Продажи[[#This Row],[дата создания чека]]-Продажи[[#This Row],[Дата регистрации клиента]]</f>
        <v>539</v>
      </c>
      <c r="Q175" t="str">
        <f>VLOOKUP(H175,Таблица3[],7,FALSE)</f>
        <v>Таджикистан</v>
      </c>
    </row>
    <row r="176" spans="1:17" x14ac:dyDescent="0.3">
      <c r="A176">
        <v>175</v>
      </c>
      <c r="B176">
        <v>82</v>
      </c>
      <c r="C176">
        <v>233</v>
      </c>
      <c r="D176">
        <v>2</v>
      </c>
      <c r="E176">
        <v>466</v>
      </c>
      <c r="F176" s="32">
        <v>45369</v>
      </c>
      <c r="G176" t="s">
        <v>24</v>
      </c>
      <c r="H176">
        <v>361</v>
      </c>
      <c r="I176" t="str">
        <f>VLOOKUP(B176,товар!$A$1:$C$433,2,FALSE)</f>
        <v>Сыр</v>
      </c>
      <c r="J176" s="22">
        <f t="shared" si="8"/>
        <v>262.63492063492066</v>
      </c>
      <c r="K176" s="24">
        <f t="shared" si="9"/>
        <v>-0.11283693944155693</v>
      </c>
      <c r="L176" t="str">
        <f>VLOOKUP(B176,товар!$A$1:$C$433,3,FALSE)</f>
        <v>Hochland</v>
      </c>
      <c r="M176" s="24">
        <f t="shared" si="10"/>
        <v>0.38690476190476186</v>
      </c>
      <c r="N176" s="29">
        <f t="shared" si="11"/>
        <v>168</v>
      </c>
      <c r="O176" s="32">
        <f>VLOOKUP(H176,клиенты!$A$2:$G$435,5,FALSE)</f>
        <v>44831</v>
      </c>
      <c r="P176">
        <f>Продажи[[#This Row],[дата создания чека]]-Продажи[[#This Row],[Дата регистрации клиента]]</f>
        <v>538</v>
      </c>
      <c r="Q176" t="str">
        <f>VLOOKUP(H176,Таблица3[],7,FALSE)</f>
        <v>Узбекистан</v>
      </c>
    </row>
    <row r="177" spans="1:17" x14ac:dyDescent="0.3">
      <c r="A177">
        <v>176</v>
      </c>
      <c r="B177">
        <v>243</v>
      </c>
      <c r="C177">
        <v>494</v>
      </c>
      <c r="D177">
        <v>5</v>
      </c>
      <c r="E177">
        <v>2470</v>
      </c>
      <c r="F177" s="32">
        <v>45353</v>
      </c>
      <c r="G177" t="s">
        <v>27</v>
      </c>
      <c r="H177">
        <v>358</v>
      </c>
      <c r="I177" t="str">
        <f>VLOOKUP(B177,товар!$A$1:$C$433,2,FALSE)</f>
        <v>Рис</v>
      </c>
      <c r="J177" s="22">
        <f t="shared" si="8"/>
        <v>258.375</v>
      </c>
      <c r="K177" s="24">
        <f t="shared" si="9"/>
        <v>0.91194968553459121</v>
      </c>
      <c r="L177" t="str">
        <f>VLOOKUP(B177,товар!$A$1:$C$433,3,FALSE)</f>
        <v>Белый Злат</v>
      </c>
      <c r="M177" s="24">
        <f t="shared" si="10"/>
        <v>0.83162486368593247</v>
      </c>
      <c r="N177" s="29">
        <f t="shared" si="11"/>
        <v>269.70588235294116</v>
      </c>
      <c r="O177" s="32">
        <f>VLOOKUP(H177,клиенты!$A$2:$G$435,5,FALSE)</f>
        <v>44771</v>
      </c>
      <c r="P177">
        <f>Продажи[[#This Row],[дата создания чека]]-Продажи[[#This Row],[Дата регистрации клиента]]</f>
        <v>582</v>
      </c>
      <c r="Q177" t="str">
        <f>VLOOKUP(H177,Таблица3[],7,FALSE)</f>
        <v>Украина</v>
      </c>
    </row>
    <row r="178" spans="1:17" x14ac:dyDescent="0.3">
      <c r="A178">
        <v>177</v>
      </c>
      <c r="B178">
        <v>432</v>
      </c>
      <c r="C178">
        <v>305</v>
      </c>
      <c r="D178">
        <v>3</v>
      </c>
      <c r="E178">
        <v>915</v>
      </c>
      <c r="F178" s="32">
        <v>45413</v>
      </c>
      <c r="G178" t="s">
        <v>22</v>
      </c>
      <c r="H178">
        <v>44</v>
      </c>
      <c r="I178" t="str">
        <f>VLOOKUP(B178,товар!$A$1:$C$433,2,FALSE)</f>
        <v>Макароны</v>
      </c>
      <c r="J178" s="22">
        <f t="shared" si="8"/>
        <v>265.47674418604652</v>
      </c>
      <c r="K178" s="24">
        <f t="shared" si="9"/>
        <v>0.14887652752836056</v>
      </c>
      <c r="L178" t="str">
        <f>VLOOKUP(B178,товар!$A$1:$C$433,3,FALSE)</f>
        <v>Борилла</v>
      </c>
      <c r="M178" s="24">
        <f t="shared" si="10"/>
        <v>0.29086398131932278</v>
      </c>
      <c r="N178" s="29">
        <f t="shared" si="11"/>
        <v>236.27586206896552</v>
      </c>
      <c r="O178" s="32">
        <f>VLOOKUP(H178,клиенты!$A$2:$G$435,5,FALSE)</f>
        <v>44701</v>
      </c>
      <c r="P178">
        <f>Продажи[[#This Row],[дата создания чека]]-Продажи[[#This Row],[Дата регистрации клиента]]</f>
        <v>712</v>
      </c>
      <c r="Q178" t="str">
        <f>VLOOKUP(H178,Таблица3[],7,FALSE)</f>
        <v>Беларусь</v>
      </c>
    </row>
    <row r="179" spans="1:17" x14ac:dyDescent="0.3">
      <c r="A179">
        <v>178</v>
      </c>
      <c r="B179">
        <v>159</v>
      </c>
      <c r="C179">
        <v>173</v>
      </c>
      <c r="D179">
        <v>4</v>
      </c>
      <c r="E179">
        <v>692</v>
      </c>
      <c r="F179" s="32">
        <v>45175</v>
      </c>
      <c r="G179" t="s">
        <v>10</v>
      </c>
      <c r="H179">
        <v>416</v>
      </c>
      <c r="I179" t="str">
        <f>VLOOKUP(B179,товар!$A$1:$C$433,2,FALSE)</f>
        <v>Крупа</v>
      </c>
      <c r="J179" s="22">
        <f t="shared" si="8"/>
        <v>255.11627906976744</v>
      </c>
      <c r="K179" s="24">
        <f t="shared" si="9"/>
        <v>-0.32187784867821334</v>
      </c>
      <c r="L179" t="str">
        <f>VLOOKUP(B179,товар!$A$1:$C$433,3,FALSE)</f>
        <v>Националь</v>
      </c>
      <c r="M179" s="24">
        <f t="shared" si="10"/>
        <v>-0.36927083333333333</v>
      </c>
      <c r="N179" s="29">
        <f t="shared" si="11"/>
        <v>274.28571428571428</v>
      </c>
      <c r="O179" s="32">
        <f>VLOOKUP(H179,клиенты!$A$2:$G$435,5,FALSE)</f>
        <v>44703</v>
      </c>
      <c r="P179">
        <f>Продажи[[#This Row],[дата создания чека]]-Продажи[[#This Row],[Дата регистрации клиента]]</f>
        <v>472</v>
      </c>
      <c r="Q179" t="str">
        <f>VLOOKUP(H179,Таблица3[],7,FALSE)</f>
        <v>Таджикистан</v>
      </c>
    </row>
    <row r="180" spans="1:17" x14ac:dyDescent="0.3">
      <c r="A180">
        <v>179</v>
      </c>
      <c r="B180">
        <v>197</v>
      </c>
      <c r="C180">
        <v>177</v>
      </c>
      <c r="D180">
        <v>2</v>
      </c>
      <c r="E180">
        <v>354</v>
      </c>
      <c r="F180" s="32">
        <v>45165</v>
      </c>
      <c r="G180" t="s">
        <v>23</v>
      </c>
      <c r="H180">
        <v>153</v>
      </c>
      <c r="I180" t="str">
        <f>VLOOKUP(B180,товар!$A$1:$C$433,2,FALSE)</f>
        <v>Печенье</v>
      </c>
      <c r="J180" s="22">
        <f t="shared" si="8"/>
        <v>283.468085106383</v>
      </c>
      <c r="K180" s="24">
        <f t="shared" si="9"/>
        <v>-0.37559108308939437</v>
      </c>
      <c r="L180" t="str">
        <f>VLOOKUP(B180,товар!$A$1:$C$433,3,FALSE)</f>
        <v>Юбилейное</v>
      </c>
      <c r="M180" s="24">
        <f t="shared" si="10"/>
        <v>-0.23852772466539196</v>
      </c>
      <c r="N180" s="29">
        <f t="shared" si="11"/>
        <v>232.44444444444446</v>
      </c>
      <c r="O180" s="32">
        <f>VLOOKUP(H180,клиенты!$A$2:$G$435,5,FALSE)</f>
        <v>44802</v>
      </c>
      <c r="P180">
        <f>Продажи[[#This Row],[дата создания чека]]-Продажи[[#This Row],[Дата регистрации клиента]]</f>
        <v>363</v>
      </c>
      <c r="Q180" t="str">
        <f>VLOOKUP(H180,Таблица3[],7,FALSE)</f>
        <v>Россия</v>
      </c>
    </row>
    <row r="181" spans="1:17" x14ac:dyDescent="0.3">
      <c r="A181">
        <v>180</v>
      </c>
      <c r="B181">
        <v>110</v>
      </c>
      <c r="C181">
        <v>261</v>
      </c>
      <c r="D181">
        <v>1</v>
      </c>
      <c r="E181">
        <v>261</v>
      </c>
      <c r="F181" s="32">
        <v>45325</v>
      </c>
      <c r="G181" t="s">
        <v>21</v>
      </c>
      <c r="H181">
        <v>223</v>
      </c>
      <c r="I181" t="str">
        <f>VLOOKUP(B181,товар!$A$1:$C$433,2,FALSE)</f>
        <v>Макароны</v>
      </c>
      <c r="J181" s="22">
        <f t="shared" si="8"/>
        <v>265.47674418604652</v>
      </c>
      <c r="K181" s="24">
        <f t="shared" si="9"/>
        <v>-1.6863037098681644E-2</v>
      </c>
      <c r="L181" t="str">
        <f>VLOOKUP(B181,товар!$A$1:$C$433,3,FALSE)</f>
        <v>Паста Зара</v>
      </c>
      <c r="M181" s="24">
        <f t="shared" si="10"/>
        <v>-5.6657223796033995E-2</v>
      </c>
      <c r="N181" s="29">
        <f t="shared" si="11"/>
        <v>276.67567567567568</v>
      </c>
      <c r="O181" s="32">
        <f>VLOOKUP(H181,клиенты!$A$2:$G$435,5,FALSE)</f>
        <v>44893</v>
      </c>
      <c r="P181">
        <f>Продажи[[#This Row],[дата создания чека]]-Продажи[[#This Row],[Дата регистрации клиента]]</f>
        <v>432</v>
      </c>
      <c r="Q181" t="str">
        <f>VLOOKUP(H181,Таблица3[],7,FALSE)</f>
        <v>Украина</v>
      </c>
    </row>
    <row r="182" spans="1:17" x14ac:dyDescent="0.3">
      <c r="A182">
        <v>181</v>
      </c>
      <c r="B182">
        <v>288</v>
      </c>
      <c r="C182">
        <v>198</v>
      </c>
      <c r="D182">
        <v>5</v>
      </c>
      <c r="E182">
        <v>990</v>
      </c>
      <c r="F182" s="32">
        <v>45212</v>
      </c>
      <c r="G182" t="s">
        <v>26</v>
      </c>
      <c r="H182">
        <v>74</v>
      </c>
      <c r="I182" t="str">
        <f>VLOOKUP(B182,товар!$A$1:$C$433,2,FALSE)</f>
        <v>Сыр</v>
      </c>
      <c r="J182" s="22">
        <f t="shared" si="8"/>
        <v>262.63492063492066</v>
      </c>
      <c r="K182" s="24">
        <f t="shared" si="9"/>
        <v>-0.24610177686449908</v>
      </c>
      <c r="L182" t="str">
        <f>VLOOKUP(B182,товар!$A$1:$C$433,3,FALSE)</f>
        <v>Hochland</v>
      </c>
      <c r="M182" s="24">
        <f t="shared" si="10"/>
        <v>0.1785714285714286</v>
      </c>
      <c r="N182" s="29">
        <f t="shared" si="11"/>
        <v>168</v>
      </c>
      <c r="O182" s="32">
        <f>VLOOKUP(H182,клиенты!$A$2:$G$435,5,FALSE)</f>
        <v>44857</v>
      </c>
      <c r="P182">
        <f>Продажи[[#This Row],[дата создания чека]]-Продажи[[#This Row],[Дата регистрации клиента]]</f>
        <v>355</v>
      </c>
      <c r="Q182" t="str">
        <f>VLOOKUP(H182,Таблица3[],7,FALSE)</f>
        <v>Россия</v>
      </c>
    </row>
    <row r="183" spans="1:17" x14ac:dyDescent="0.3">
      <c r="A183">
        <v>182</v>
      </c>
      <c r="B183">
        <v>7</v>
      </c>
      <c r="C183">
        <v>114</v>
      </c>
      <c r="D183">
        <v>3</v>
      </c>
      <c r="E183">
        <v>342</v>
      </c>
      <c r="F183" s="32">
        <v>45244</v>
      </c>
      <c r="G183" t="s">
        <v>22</v>
      </c>
      <c r="H183">
        <v>180</v>
      </c>
      <c r="I183" t="str">
        <f>VLOOKUP(B183,товар!$A$1:$C$433,2,FALSE)</f>
        <v>Сыр</v>
      </c>
      <c r="J183" s="22">
        <f t="shared" si="8"/>
        <v>262.63492063492066</v>
      </c>
      <c r="K183" s="24">
        <f t="shared" si="9"/>
        <v>-0.56593738667956006</v>
      </c>
      <c r="L183" t="str">
        <f>VLOOKUP(B183,товар!$A$1:$C$433,3,FALSE)</f>
        <v>President</v>
      </c>
      <c r="M183" s="24">
        <f t="shared" si="10"/>
        <v>-0.52245752850826155</v>
      </c>
      <c r="N183" s="29">
        <f t="shared" si="11"/>
        <v>238.72222222222223</v>
      </c>
      <c r="O183" s="32">
        <f>VLOOKUP(H183,клиенты!$A$2:$G$435,5,FALSE)</f>
        <v>44616</v>
      </c>
      <c r="P183">
        <f>Продажи[[#This Row],[дата создания чека]]-Продажи[[#This Row],[Дата регистрации клиента]]</f>
        <v>628</v>
      </c>
      <c r="Q183" t="str">
        <f>VLOOKUP(H183,Таблица3[],7,FALSE)</f>
        <v>Беларусь</v>
      </c>
    </row>
    <row r="184" spans="1:17" x14ac:dyDescent="0.3">
      <c r="A184">
        <v>183</v>
      </c>
      <c r="B184">
        <v>385</v>
      </c>
      <c r="C184">
        <v>427</v>
      </c>
      <c r="D184">
        <v>3</v>
      </c>
      <c r="E184">
        <v>1281</v>
      </c>
      <c r="F184" s="32">
        <v>44942</v>
      </c>
      <c r="G184" t="s">
        <v>27</v>
      </c>
      <c r="H184">
        <v>359</v>
      </c>
      <c r="I184" t="str">
        <f>VLOOKUP(B184,товар!$A$1:$C$433,2,FALSE)</f>
        <v>Макароны</v>
      </c>
      <c r="J184" s="22">
        <f t="shared" si="8"/>
        <v>265.47674418604652</v>
      </c>
      <c r="K184" s="24">
        <f t="shared" si="9"/>
        <v>0.60842713853970465</v>
      </c>
      <c r="L184" t="str">
        <f>VLOOKUP(B184,товар!$A$1:$C$433,3,FALSE)</f>
        <v>Макфа</v>
      </c>
      <c r="M184" s="24">
        <f t="shared" si="10"/>
        <v>0.29679734953064618</v>
      </c>
      <c r="N184" s="29">
        <f t="shared" si="11"/>
        <v>329.27272727272725</v>
      </c>
      <c r="O184" s="32">
        <f>VLOOKUP(H184,клиенты!$A$2:$G$435,5,FALSE)</f>
        <v>44584</v>
      </c>
      <c r="P184">
        <f>Продажи[[#This Row],[дата создания чека]]-Продажи[[#This Row],[Дата регистрации клиента]]</f>
        <v>358</v>
      </c>
      <c r="Q184" t="str">
        <f>VLOOKUP(H184,Таблица3[],7,FALSE)</f>
        <v>Россия</v>
      </c>
    </row>
    <row r="185" spans="1:17" x14ac:dyDescent="0.3">
      <c r="A185">
        <v>184</v>
      </c>
      <c r="B185">
        <v>493</v>
      </c>
      <c r="C185">
        <v>376</v>
      </c>
      <c r="D185">
        <v>1</v>
      </c>
      <c r="E185">
        <v>376</v>
      </c>
      <c r="F185" s="32">
        <v>45253</v>
      </c>
      <c r="G185" t="s">
        <v>8</v>
      </c>
      <c r="H185">
        <v>134</v>
      </c>
      <c r="I185" t="str">
        <f>VLOOKUP(B185,товар!$A$1:$C$433,2,FALSE)</f>
        <v>Овощи</v>
      </c>
      <c r="J185" s="22">
        <f t="shared" si="8"/>
        <v>250.48780487804879</v>
      </c>
      <c r="K185" s="24">
        <f t="shared" si="9"/>
        <v>0.50107108081791618</v>
      </c>
      <c r="L185" t="str">
        <f>VLOOKUP(B185,товар!$A$1:$C$433,3,FALSE)</f>
        <v>Овощной ряд</v>
      </c>
      <c r="M185" s="24">
        <f t="shared" si="10"/>
        <v>0.23756050338818979</v>
      </c>
      <c r="N185" s="29">
        <f t="shared" si="11"/>
        <v>303.8235294117647</v>
      </c>
      <c r="O185" s="32">
        <f>VLOOKUP(H185,клиенты!$A$2:$G$435,5,FALSE)</f>
        <v>44753</v>
      </c>
      <c r="P185">
        <f>Продажи[[#This Row],[дата создания чека]]-Продажи[[#This Row],[Дата регистрации клиента]]</f>
        <v>500</v>
      </c>
      <c r="Q185" t="str">
        <f>VLOOKUP(H185,Таблица3[],7,FALSE)</f>
        <v>Россия</v>
      </c>
    </row>
    <row r="186" spans="1:17" x14ac:dyDescent="0.3">
      <c r="A186">
        <v>185</v>
      </c>
      <c r="B186">
        <v>158</v>
      </c>
      <c r="C186">
        <v>51</v>
      </c>
      <c r="D186">
        <v>2</v>
      </c>
      <c r="E186">
        <v>102</v>
      </c>
      <c r="F186" s="32">
        <v>45325</v>
      </c>
      <c r="G186" t="s">
        <v>11</v>
      </c>
      <c r="H186">
        <v>159</v>
      </c>
      <c r="I186" t="str">
        <f>VLOOKUP(B186,товар!$A$1:$C$433,2,FALSE)</f>
        <v>Сахар</v>
      </c>
      <c r="J186" s="22">
        <f t="shared" si="8"/>
        <v>252.76271186440678</v>
      </c>
      <c r="K186" s="24">
        <f t="shared" si="9"/>
        <v>-0.7982297324481995</v>
      </c>
      <c r="L186" t="str">
        <f>VLOOKUP(B186,товар!$A$1:$C$433,3,FALSE)</f>
        <v>Сладов</v>
      </c>
      <c r="M186" s="24">
        <f t="shared" si="10"/>
        <v>-0.78773584905660377</v>
      </c>
      <c r="N186" s="29">
        <f t="shared" si="11"/>
        <v>240.26666666666668</v>
      </c>
      <c r="O186" s="32">
        <f>VLOOKUP(H186,клиенты!$A$2:$G$435,5,FALSE)</f>
        <v>44686</v>
      </c>
      <c r="P186">
        <f>Продажи[[#This Row],[дата создания чека]]-Продажи[[#This Row],[Дата регистрации клиента]]</f>
        <v>639</v>
      </c>
      <c r="Q186" t="str">
        <f>VLOOKUP(H186,Таблица3[],7,FALSE)</f>
        <v>Узбекистан</v>
      </c>
    </row>
    <row r="187" spans="1:17" x14ac:dyDescent="0.3">
      <c r="A187">
        <v>186</v>
      </c>
      <c r="B187">
        <v>446</v>
      </c>
      <c r="C187">
        <v>316</v>
      </c>
      <c r="D187">
        <v>2</v>
      </c>
      <c r="E187">
        <v>632</v>
      </c>
      <c r="F187" s="32">
        <v>45029</v>
      </c>
      <c r="G187" t="s">
        <v>16</v>
      </c>
      <c r="H187">
        <v>328</v>
      </c>
      <c r="I187" t="str">
        <f>VLOOKUP(B187,товар!$A$1:$C$433,2,FALSE)</f>
        <v>Чипсы</v>
      </c>
      <c r="J187" s="22">
        <f t="shared" si="8"/>
        <v>273.72549019607845</v>
      </c>
      <c r="K187" s="24">
        <f t="shared" si="9"/>
        <v>0.15444126074498565</v>
      </c>
      <c r="L187" t="str">
        <f>VLOOKUP(B187,товар!$A$1:$C$433,3,FALSE)</f>
        <v>Lay's</v>
      </c>
      <c r="M187" s="24">
        <f t="shared" si="10"/>
        <v>-1.426024955436711E-2</v>
      </c>
      <c r="N187" s="29">
        <f t="shared" si="11"/>
        <v>320.57142857142856</v>
      </c>
      <c r="O187" s="32">
        <f>VLOOKUP(H187,клиенты!$A$2:$G$435,5,FALSE)</f>
        <v>44568</v>
      </c>
      <c r="P187">
        <f>Продажи[[#This Row],[дата создания чека]]-Продажи[[#This Row],[Дата регистрации клиента]]</f>
        <v>461</v>
      </c>
      <c r="Q187" t="str">
        <f>VLOOKUP(H187,Таблица3[],7,FALSE)</f>
        <v>Россия</v>
      </c>
    </row>
    <row r="188" spans="1:17" x14ac:dyDescent="0.3">
      <c r="A188">
        <v>187</v>
      </c>
      <c r="B188">
        <v>428</v>
      </c>
      <c r="C188">
        <v>156</v>
      </c>
      <c r="D188">
        <v>1</v>
      </c>
      <c r="E188">
        <v>156</v>
      </c>
      <c r="F188" s="32">
        <v>45421</v>
      </c>
      <c r="G188" t="s">
        <v>16</v>
      </c>
      <c r="H188">
        <v>325</v>
      </c>
      <c r="I188" t="str">
        <f>VLOOKUP(B188,товар!$A$1:$C$433,2,FALSE)</f>
        <v>Конфеты</v>
      </c>
      <c r="J188" s="22">
        <f t="shared" si="8"/>
        <v>267.85483870967744</v>
      </c>
      <c r="K188" s="24">
        <f t="shared" si="9"/>
        <v>-0.41759499006443068</v>
      </c>
      <c r="L188" t="str">
        <f>VLOOKUP(B188,товар!$A$1:$C$433,3,FALSE)</f>
        <v>Бабаевский</v>
      </c>
      <c r="M188" s="24">
        <f t="shared" si="10"/>
        <v>-0.3766464407281338</v>
      </c>
      <c r="N188" s="29">
        <f t="shared" si="11"/>
        <v>250.25925925925927</v>
      </c>
      <c r="O188" s="32">
        <f>VLOOKUP(H188,клиенты!$A$2:$G$435,5,FALSE)</f>
        <v>44875</v>
      </c>
      <c r="P188">
        <f>Продажи[[#This Row],[дата создания чека]]-Продажи[[#This Row],[Дата регистрации клиента]]</f>
        <v>546</v>
      </c>
      <c r="Q188" t="str">
        <f>VLOOKUP(H188,Таблица3[],7,FALSE)</f>
        <v>Таджикистан</v>
      </c>
    </row>
    <row r="189" spans="1:17" x14ac:dyDescent="0.3">
      <c r="A189">
        <v>188</v>
      </c>
      <c r="B189">
        <v>192</v>
      </c>
      <c r="C189">
        <v>215</v>
      </c>
      <c r="D189">
        <v>1</v>
      </c>
      <c r="E189">
        <v>215</v>
      </c>
      <c r="F189" s="32">
        <v>45411</v>
      </c>
      <c r="G189" t="s">
        <v>26</v>
      </c>
      <c r="H189">
        <v>106</v>
      </c>
      <c r="I189" t="str">
        <f>VLOOKUP(B189,товар!$A$1:$C$433,2,FALSE)</f>
        <v>Мясо</v>
      </c>
      <c r="J189" s="22">
        <f t="shared" si="8"/>
        <v>271.74545454545455</v>
      </c>
      <c r="K189" s="24">
        <f t="shared" si="9"/>
        <v>-0.2088184129532985</v>
      </c>
      <c r="L189" t="str">
        <f>VLOOKUP(B189,товар!$A$1:$C$433,3,FALSE)</f>
        <v>Снежана</v>
      </c>
      <c r="M189" s="24">
        <f t="shared" si="10"/>
        <v>-0.21058315334773225</v>
      </c>
      <c r="N189" s="29">
        <f t="shared" si="11"/>
        <v>272.35294117647061</v>
      </c>
      <c r="O189" s="32">
        <f>VLOOKUP(H189,клиенты!$A$2:$G$435,5,FALSE)</f>
        <v>44858</v>
      </c>
      <c r="P189">
        <f>Продажи[[#This Row],[дата создания чека]]-Продажи[[#This Row],[Дата регистрации клиента]]</f>
        <v>553</v>
      </c>
      <c r="Q189" t="str">
        <f>VLOOKUP(H189,Таблица3[],7,FALSE)</f>
        <v>Украина</v>
      </c>
    </row>
    <row r="190" spans="1:17" x14ac:dyDescent="0.3">
      <c r="A190">
        <v>189</v>
      </c>
      <c r="B190">
        <v>41</v>
      </c>
      <c r="C190">
        <v>59</v>
      </c>
      <c r="D190">
        <v>1</v>
      </c>
      <c r="E190">
        <v>59</v>
      </c>
      <c r="F190" s="32">
        <v>45000</v>
      </c>
      <c r="G190" t="s">
        <v>9</v>
      </c>
      <c r="H190">
        <v>65</v>
      </c>
      <c r="I190" t="str">
        <f>VLOOKUP(B190,товар!$A$1:$C$433,2,FALSE)</f>
        <v>Рис</v>
      </c>
      <c r="J190" s="22">
        <f t="shared" si="8"/>
        <v>258.375</v>
      </c>
      <c r="K190" s="24">
        <f t="shared" si="9"/>
        <v>-0.77164973391388481</v>
      </c>
      <c r="L190" t="str">
        <f>VLOOKUP(B190,товар!$A$1:$C$433,3,FALSE)</f>
        <v>Агро-Альянс</v>
      </c>
      <c r="M190" s="24">
        <f t="shared" si="10"/>
        <v>-0.81438202247191005</v>
      </c>
      <c r="N190" s="29">
        <f t="shared" si="11"/>
        <v>317.85714285714283</v>
      </c>
      <c r="O190" s="32">
        <f>VLOOKUP(H190,клиенты!$A$2:$G$435,5,FALSE)</f>
        <v>44623</v>
      </c>
      <c r="P190">
        <f>Продажи[[#This Row],[дата создания чека]]-Продажи[[#This Row],[Дата регистрации клиента]]</f>
        <v>377</v>
      </c>
      <c r="Q190" t="str">
        <f>VLOOKUP(H190,Таблица3[],7,FALSE)</f>
        <v>Украина</v>
      </c>
    </row>
    <row r="191" spans="1:17" x14ac:dyDescent="0.3">
      <c r="A191">
        <v>190</v>
      </c>
      <c r="B191">
        <v>69</v>
      </c>
      <c r="C191">
        <v>88</v>
      </c>
      <c r="D191">
        <v>4</v>
      </c>
      <c r="E191">
        <v>352</v>
      </c>
      <c r="F191" s="32">
        <v>45309</v>
      </c>
      <c r="G191" t="s">
        <v>12</v>
      </c>
      <c r="H191">
        <v>346</v>
      </c>
      <c r="I191" t="str">
        <f>VLOOKUP(B191,товар!$A$1:$C$433,2,FALSE)</f>
        <v>Чипсы</v>
      </c>
      <c r="J191" s="22">
        <f t="shared" si="8"/>
        <v>273.72549019607845</v>
      </c>
      <c r="K191" s="24">
        <f t="shared" si="9"/>
        <v>-0.67851002865329513</v>
      </c>
      <c r="L191" t="str">
        <f>VLOOKUP(B191,товар!$A$1:$C$433,3,FALSE)</f>
        <v>Estrella</v>
      </c>
      <c r="M191" s="24">
        <f t="shared" si="10"/>
        <v>-0.6695117787640833</v>
      </c>
      <c r="N191" s="29">
        <f t="shared" si="11"/>
        <v>266.27272727272725</v>
      </c>
      <c r="O191" s="32">
        <f>VLOOKUP(H191,клиенты!$A$2:$G$435,5,FALSE)</f>
        <v>44636</v>
      </c>
      <c r="P191">
        <f>Продажи[[#This Row],[дата создания чека]]-Продажи[[#This Row],[Дата регистрации клиента]]</f>
        <v>673</v>
      </c>
      <c r="Q191" t="str">
        <f>VLOOKUP(H191,Таблица3[],7,FALSE)</f>
        <v>Россия</v>
      </c>
    </row>
    <row r="192" spans="1:17" x14ac:dyDescent="0.3">
      <c r="A192">
        <v>191</v>
      </c>
      <c r="B192">
        <v>270</v>
      </c>
      <c r="C192">
        <v>484</v>
      </c>
      <c r="D192">
        <v>4</v>
      </c>
      <c r="E192">
        <v>1936</v>
      </c>
      <c r="F192" s="32">
        <v>45084</v>
      </c>
      <c r="G192" t="s">
        <v>8</v>
      </c>
      <c r="H192">
        <v>457</v>
      </c>
      <c r="I192" t="str">
        <f>VLOOKUP(B192,товар!$A$1:$C$433,2,FALSE)</f>
        <v>Соль</v>
      </c>
      <c r="J192" s="22">
        <f t="shared" si="8"/>
        <v>264.8679245283019</v>
      </c>
      <c r="K192" s="24">
        <f t="shared" si="9"/>
        <v>0.82732582989029768</v>
      </c>
      <c r="L192" t="str">
        <f>VLOOKUP(B192,товар!$A$1:$C$433,3,FALSE)</f>
        <v>Славянская</v>
      </c>
      <c r="M192" s="24">
        <f t="shared" si="10"/>
        <v>1.0429124164614842</v>
      </c>
      <c r="N192" s="29">
        <f t="shared" si="11"/>
        <v>236.91666666666666</v>
      </c>
      <c r="O192" s="32">
        <f>VLOOKUP(H192,клиенты!$A$2:$G$435,5,FALSE)</f>
        <v>44595</v>
      </c>
      <c r="P192">
        <f>Продажи[[#This Row],[дата создания чека]]-Продажи[[#This Row],[Дата регистрации клиента]]</f>
        <v>489</v>
      </c>
      <c r="Q192" t="str">
        <f>VLOOKUP(H192,Таблица3[],7,FALSE)</f>
        <v>Таджикистан</v>
      </c>
    </row>
    <row r="193" spans="1:17" x14ac:dyDescent="0.3">
      <c r="A193">
        <v>192</v>
      </c>
      <c r="B193">
        <v>345</v>
      </c>
      <c r="C193">
        <v>257</v>
      </c>
      <c r="D193">
        <v>1</v>
      </c>
      <c r="E193">
        <v>257</v>
      </c>
      <c r="F193" s="32">
        <v>44969</v>
      </c>
      <c r="G193" t="s">
        <v>9</v>
      </c>
      <c r="H193">
        <v>255</v>
      </c>
      <c r="I193" t="str">
        <f>VLOOKUP(B193,товар!$A$1:$C$433,2,FALSE)</f>
        <v>Конфеты</v>
      </c>
      <c r="J193" s="22">
        <f t="shared" si="8"/>
        <v>267.85483870967744</v>
      </c>
      <c r="K193" s="24">
        <f t="shared" si="9"/>
        <v>-4.0525079785632578E-2</v>
      </c>
      <c r="L193" t="str">
        <f>VLOOKUP(B193,товар!$A$1:$C$433,3,FALSE)</f>
        <v>Рот Фронт</v>
      </c>
      <c r="M193" s="24">
        <f t="shared" si="10"/>
        <v>-0.10837601189492818</v>
      </c>
      <c r="N193" s="29">
        <f t="shared" si="11"/>
        <v>288.23809523809524</v>
      </c>
      <c r="O193" s="32">
        <f>VLOOKUP(H193,клиенты!$A$2:$G$435,5,FALSE)</f>
        <v>44793</v>
      </c>
      <c r="P193">
        <f>Продажи[[#This Row],[дата создания чека]]-Продажи[[#This Row],[Дата регистрации клиента]]</f>
        <v>176</v>
      </c>
      <c r="Q193" t="str">
        <f>VLOOKUP(H193,Таблица3[],7,FALSE)</f>
        <v>Украина</v>
      </c>
    </row>
    <row r="194" spans="1:17" x14ac:dyDescent="0.3">
      <c r="A194">
        <v>193</v>
      </c>
      <c r="B194">
        <v>348</v>
      </c>
      <c r="C194">
        <v>497</v>
      </c>
      <c r="D194">
        <v>3</v>
      </c>
      <c r="E194">
        <v>1491</v>
      </c>
      <c r="F194" s="32">
        <v>45276</v>
      </c>
      <c r="G194" t="s">
        <v>8</v>
      </c>
      <c r="H194">
        <v>42</v>
      </c>
      <c r="I194" t="str">
        <f>VLOOKUP(B194,товар!$A$1:$C$433,2,FALSE)</f>
        <v>Чипсы</v>
      </c>
      <c r="J194" s="22">
        <f t="shared" ref="J194:J257" si="12">AVERAGEIF($I$2:$I$1001,I194,$C$2:$C$1001)</f>
        <v>273.72549019607845</v>
      </c>
      <c r="K194" s="24">
        <f t="shared" ref="K194:K257" si="13">C194/J194-1</f>
        <v>0.81568767908309447</v>
      </c>
      <c r="L194" t="str">
        <f>VLOOKUP(B194,товар!$A$1:$C$433,3,FALSE)</f>
        <v>Estrella</v>
      </c>
      <c r="M194" s="24">
        <f t="shared" ref="M194:M257" si="14">C194/N194-1</f>
        <v>0.8665073403892114</v>
      </c>
      <c r="N194" s="29">
        <f t="shared" ref="N194:N257" si="15">AVERAGEIFS($C$2:$C$1001,$I$2:$I$1001,I194,$L$2:$L$1001,L194)</f>
        <v>266.27272727272725</v>
      </c>
      <c r="O194" s="32">
        <f>VLOOKUP(H194,клиенты!$A$2:$G$435,5,FALSE)</f>
        <v>44783</v>
      </c>
      <c r="P194">
        <f>Продажи[[#This Row],[дата создания чека]]-Продажи[[#This Row],[Дата регистрации клиента]]</f>
        <v>493</v>
      </c>
      <c r="Q194" t="str">
        <f>VLOOKUP(H194,Таблица3[],7,FALSE)</f>
        <v>Таджикистан</v>
      </c>
    </row>
    <row r="195" spans="1:17" x14ac:dyDescent="0.3">
      <c r="A195">
        <v>194</v>
      </c>
      <c r="B195">
        <v>102</v>
      </c>
      <c r="C195">
        <v>115</v>
      </c>
      <c r="D195">
        <v>2</v>
      </c>
      <c r="E195">
        <v>230</v>
      </c>
      <c r="F195" s="32">
        <v>45380</v>
      </c>
      <c r="G195" t="s">
        <v>16</v>
      </c>
      <c r="H195">
        <v>385</v>
      </c>
      <c r="I195" t="str">
        <f>VLOOKUP(B195,товар!$A$1:$C$433,2,FALSE)</f>
        <v>Печенье</v>
      </c>
      <c r="J195" s="22">
        <f t="shared" si="12"/>
        <v>283.468085106383</v>
      </c>
      <c r="K195" s="24">
        <f t="shared" si="13"/>
        <v>-0.59431059070779857</v>
      </c>
      <c r="L195" t="str">
        <f>VLOOKUP(B195,товар!$A$1:$C$433,3,FALSE)</f>
        <v>Белогорье</v>
      </c>
      <c r="M195" s="24">
        <f t="shared" si="14"/>
        <v>-0.53907815631262523</v>
      </c>
      <c r="N195" s="29">
        <f t="shared" si="15"/>
        <v>249.5</v>
      </c>
      <c r="O195" s="32">
        <f>VLOOKUP(H195,клиенты!$A$2:$G$435,5,FALSE)</f>
        <v>44753</v>
      </c>
      <c r="P195">
        <f>Продажи[[#This Row],[дата создания чека]]-Продажи[[#This Row],[Дата регистрации клиента]]</f>
        <v>627</v>
      </c>
      <c r="Q195" t="str">
        <f>VLOOKUP(H195,Таблица3[],7,FALSE)</f>
        <v>Украина</v>
      </c>
    </row>
    <row r="196" spans="1:17" x14ac:dyDescent="0.3">
      <c r="A196">
        <v>195</v>
      </c>
      <c r="B196">
        <v>321</v>
      </c>
      <c r="C196">
        <v>368</v>
      </c>
      <c r="D196">
        <v>1</v>
      </c>
      <c r="E196">
        <v>368</v>
      </c>
      <c r="F196" s="32">
        <v>45193</v>
      </c>
      <c r="G196" t="s">
        <v>25</v>
      </c>
      <c r="H196">
        <v>436</v>
      </c>
      <c r="I196" t="str">
        <f>VLOOKUP(B196,товар!$A$1:$C$433,2,FALSE)</f>
        <v>Мясо</v>
      </c>
      <c r="J196" s="22">
        <f t="shared" si="12"/>
        <v>271.74545454545455</v>
      </c>
      <c r="K196" s="24">
        <f t="shared" si="13"/>
        <v>0.35420848387528436</v>
      </c>
      <c r="L196" t="str">
        <f>VLOOKUP(B196,товар!$A$1:$C$433,3,FALSE)</f>
        <v>Сава</v>
      </c>
      <c r="M196" s="24">
        <f t="shared" si="14"/>
        <v>0.7292217327459618</v>
      </c>
      <c r="N196" s="29">
        <f t="shared" si="15"/>
        <v>212.8125</v>
      </c>
      <c r="O196" s="32">
        <f>VLOOKUP(H196,клиенты!$A$2:$G$435,5,FALSE)</f>
        <v>44683</v>
      </c>
      <c r="P196">
        <f>Продажи[[#This Row],[дата создания чека]]-Продажи[[#This Row],[Дата регистрации клиента]]</f>
        <v>510</v>
      </c>
      <c r="Q196" t="str">
        <f>VLOOKUP(H196,Таблица3[],7,FALSE)</f>
        <v>Россия</v>
      </c>
    </row>
    <row r="197" spans="1:17" x14ac:dyDescent="0.3">
      <c r="A197">
        <v>196</v>
      </c>
      <c r="B197">
        <v>176</v>
      </c>
      <c r="C197">
        <v>113</v>
      </c>
      <c r="D197">
        <v>4</v>
      </c>
      <c r="E197">
        <v>452</v>
      </c>
      <c r="F197" s="32">
        <v>45335</v>
      </c>
      <c r="G197" t="s">
        <v>22</v>
      </c>
      <c r="H197">
        <v>175</v>
      </c>
      <c r="I197" t="str">
        <f>VLOOKUP(B197,товар!$A$1:$C$433,2,FALSE)</f>
        <v>Сахар</v>
      </c>
      <c r="J197" s="22">
        <f t="shared" si="12"/>
        <v>252.76271186440678</v>
      </c>
      <c r="K197" s="24">
        <f t="shared" si="13"/>
        <v>-0.55294038758130493</v>
      </c>
      <c r="L197" t="str">
        <f>VLOOKUP(B197,товар!$A$1:$C$433,3,FALSE)</f>
        <v>Продимекс</v>
      </c>
      <c r="M197" s="24">
        <f t="shared" si="14"/>
        <v>-0.53014553014553012</v>
      </c>
      <c r="N197" s="29">
        <f t="shared" si="15"/>
        <v>240.5</v>
      </c>
      <c r="O197" s="32">
        <f>VLOOKUP(H197,клиенты!$A$2:$G$435,5,FALSE)</f>
        <v>44565</v>
      </c>
      <c r="P197">
        <f>Продажи[[#This Row],[дата создания чека]]-Продажи[[#This Row],[Дата регистрации клиента]]</f>
        <v>770</v>
      </c>
      <c r="Q197" t="str">
        <f>VLOOKUP(H197,Таблица3[],7,FALSE)</f>
        <v>Россия</v>
      </c>
    </row>
    <row r="198" spans="1:17" x14ac:dyDescent="0.3">
      <c r="A198">
        <v>197</v>
      </c>
      <c r="B198">
        <v>341</v>
      </c>
      <c r="C198">
        <v>194</v>
      </c>
      <c r="D198">
        <v>3</v>
      </c>
      <c r="E198">
        <v>582</v>
      </c>
      <c r="F198" s="32">
        <v>45255</v>
      </c>
      <c r="G198" t="s">
        <v>15</v>
      </c>
      <c r="H198">
        <v>274</v>
      </c>
      <c r="I198" t="str">
        <f>VLOOKUP(B198,товар!$A$1:$C$433,2,FALSE)</f>
        <v>Макароны</v>
      </c>
      <c r="J198" s="22">
        <f t="shared" si="12"/>
        <v>265.47674418604652</v>
      </c>
      <c r="K198" s="24">
        <f t="shared" si="13"/>
        <v>-0.26923919232622318</v>
      </c>
      <c r="L198" t="str">
        <f>VLOOKUP(B198,товар!$A$1:$C$433,3,FALSE)</f>
        <v>Макфа</v>
      </c>
      <c r="M198" s="24">
        <f t="shared" si="14"/>
        <v>-0.41082274986195466</v>
      </c>
      <c r="N198" s="29">
        <f t="shared" si="15"/>
        <v>329.27272727272725</v>
      </c>
      <c r="O198" s="32">
        <f>VLOOKUP(H198,клиенты!$A$2:$G$435,5,FALSE)</f>
        <v>44607</v>
      </c>
      <c r="P198">
        <f>Продажи[[#This Row],[дата создания чека]]-Продажи[[#This Row],[Дата регистрации клиента]]</f>
        <v>648</v>
      </c>
      <c r="Q198" t="str">
        <f>VLOOKUP(H198,Таблица3[],7,FALSE)</f>
        <v>Россия</v>
      </c>
    </row>
    <row r="199" spans="1:17" x14ac:dyDescent="0.3">
      <c r="A199">
        <v>198</v>
      </c>
      <c r="B199">
        <v>473</v>
      </c>
      <c r="C199">
        <v>171</v>
      </c>
      <c r="D199">
        <v>4</v>
      </c>
      <c r="E199">
        <v>684</v>
      </c>
      <c r="F199" s="32">
        <v>45058</v>
      </c>
      <c r="G199" t="s">
        <v>27</v>
      </c>
      <c r="H199">
        <v>266</v>
      </c>
      <c r="I199" t="str">
        <f>VLOOKUP(B199,товар!$A$1:$C$433,2,FALSE)</f>
        <v>Хлеб</v>
      </c>
      <c r="J199" s="22">
        <f t="shared" si="12"/>
        <v>300.31818181818181</v>
      </c>
      <c r="K199" s="24">
        <f t="shared" si="13"/>
        <v>-0.43060390494929623</v>
      </c>
      <c r="L199" t="str">
        <f>VLOOKUP(B199,товар!$A$1:$C$433,3,FALSE)</f>
        <v>Хлебный Дом</v>
      </c>
      <c r="M199" s="24">
        <f t="shared" si="14"/>
        <v>-0.39304306672976819</v>
      </c>
      <c r="N199" s="29">
        <f t="shared" si="15"/>
        <v>281.73333333333335</v>
      </c>
      <c r="O199" s="32">
        <f>VLOOKUP(H199,клиенты!$A$2:$G$435,5,FALSE)</f>
        <v>44795</v>
      </c>
      <c r="P199">
        <f>Продажи[[#This Row],[дата создания чека]]-Продажи[[#This Row],[Дата регистрации клиента]]</f>
        <v>263</v>
      </c>
      <c r="Q199" t="str">
        <f>VLOOKUP(H199,Таблица3[],7,FALSE)</f>
        <v>Россия</v>
      </c>
    </row>
    <row r="200" spans="1:17" x14ac:dyDescent="0.3">
      <c r="A200">
        <v>199</v>
      </c>
      <c r="B200">
        <v>482</v>
      </c>
      <c r="C200">
        <v>321</v>
      </c>
      <c r="D200">
        <v>2</v>
      </c>
      <c r="E200">
        <v>642</v>
      </c>
      <c r="F200" s="32">
        <v>44942</v>
      </c>
      <c r="G200" t="s">
        <v>10</v>
      </c>
      <c r="H200">
        <v>481</v>
      </c>
      <c r="I200" t="str">
        <f>VLOOKUP(B200,товар!$A$1:$C$433,2,FALSE)</f>
        <v>Крупа</v>
      </c>
      <c r="J200" s="22">
        <f t="shared" si="12"/>
        <v>255.11627906976744</v>
      </c>
      <c r="K200" s="24">
        <f t="shared" si="13"/>
        <v>0.25824977210574285</v>
      </c>
      <c r="L200" t="str">
        <f>VLOOKUP(B200,товар!$A$1:$C$433,3,FALSE)</f>
        <v>Мистраль</v>
      </c>
      <c r="M200" s="24">
        <f t="shared" si="14"/>
        <v>0.28242163491087879</v>
      </c>
      <c r="N200" s="29">
        <f t="shared" si="15"/>
        <v>250.30769230769232</v>
      </c>
      <c r="O200" s="32">
        <f>VLOOKUP(H200,клиенты!$A$2:$G$435,5,FALSE)</f>
        <v>44756</v>
      </c>
      <c r="P200">
        <f>Продажи[[#This Row],[дата создания чека]]-Продажи[[#This Row],[Дата регистрации клиента]]</f>
        <v>186</v>
      </c>
      <c r="Q200" t="str">
        <f>VLOOKUP(H200,Таблица3[],7,FALSE)</f>
        <v>Беларусь</v>
      </c>
    </row>
    <row r="201" spans="1:17" x14ac:dyDescent="0.3">
      <c r="A201">
        <v>200</v>
      </c>
      <c r="B201">
        <v>169</v>
      </c>
      <c r="C201">
        <v>386</v>
      </c>
      <c r="D201">
        <v>5</v>
      </c>
      <c r="E201">
        <v>1930</v>
      </c>
      <c r="F201" s="32">
        <v>44967</v>
      </c>
      <c r="G201" t="s">
        <v>18</v>
      </c>
      <c r="H201">
        <v>59</v>
      </c>
      <c r="I201" t="str">
        <f>VLOOKUP(B201,товар!$A$1:$C$433,2,FALSE)</f>
        <v>Фрукты</v>
      </c>
      <c r="J201" s="22">
        <f t="shared" si="12"/>
        <v>274.16279069767444</v>
      </c>
      <c r="K201" s="24">
        <f t="shared" si="13"/>
        <v>0.4079226397489184</v>
      </c>
      <c r="L201" t="str">
        <f>VLOOKUP(B201,товар!$A$1:$C$433,3,FALSE)</f>
        <v>Фруктовый Рай</v>
      </c>
      <c r="M201" s="24">
        <f t="shared" si="14"/>
        <v>0.49434187016080999</v>
      </c>
      <c r="N201" s="29">
        <f t="shared" si="15"/>
        <v>258.30769230769232</v>
      </c>
      <c r="O201" s="32">
        <f>VLOOKUP(H201,клиенты!$A$2:$G$435,5,FALSE)</f>
        <v>44770</v>
      </c>
      <c r="P201">
        <f>Продажи[[#This Row],[дата создания чека]]-Продажи[[#This Row],[Дата регистрации клиента]]</f>
        <v>197</v>
      </c>
      <c r="Q201" t="str">
        <f>VLOOKUP(H201,Таблица3[],7,FALSE)</f>
        <v>Россия</v>
      </c>
    </row>
    <row r="202" spans="1:17" x14ac:dyDescent="0.3">
      <c r="A202">
        <v>201</v>
      </c>
      <c r="B202">
        <v>397</v>
      </c>
      <c r="C202">
        <v>148</v>
      </c>
      <c r="D202">
        <v>1</v>
      </c>
      <c r="E202">
        <v>148</v>
      </c>
      <c r="F202" s="32">
        <v>45010</v>
      </c>
      <c r="G202" t="s">
        <v>21</v>
      </c>
      <c r="H202">
        <v>47</v>
      </c>
      <c r="I202" t="str">
        <f>VLOOKUP(B202,товар!$A$1:$C$433,2,FALSE)</f>
        <v>Йогурт</v>
      </c>
      <c r="J202" s="22">
        <f t="shared" si="12"/>
        <v>263.25423728813558</v>
      </c>
      <c r="K202" s="24">
        <f t="shared" si="13"/>
        <v>-0.43780582024208081</v>
      </c>
      <c r="L202" t="str">
        <f>VLOOKUP(B202,товар!$A$1:$C$433,3,FALSE)</f>
        <v>Ростагроэкспорт</v>
      </c>
      <c r="M202" s="24">
        <f t="shared" si="14"/>
        <v>-0.42587282847023111</v>
      </c>
      <c r="N202" s="29">
        <f t="shared" si="15"/>
        <v>257.78260869565219</v>
      </c>
      <c r="O202" s="32">
        <f>VLOOKUP(H202,клиенты!$A$2:$G$435,5,FALSE)</f>
        <v>44693</v>
      </c>
      <c r="P202">
        <f>Продажи[[#This Row],[дата создания чека]]-Продажи[[#This Row],[Дата регистрации клиента]]</f>
        <v>317</v>
      </c>
      <c r="Q202" t="str">
        <f>VLOOKUP(H202,Таблица3[],7,FALSE)</f>
        <v>Беларусь</v>
      </c>
    </row>
    <row r="203" spans="1:17" x14ac:dyDescent="0.3">
      <c r="A203">
        <v>202</v>
      </c>
      <c r="B203">
        <v>436</v>
      </c>
      <c r="C203">
        <v>291</v>
      </c>
      <c r="D203">
        <v>2</v>
      </c>
      <c r="E203">
        <v>582</v>
      </c>
      <c r="F203" s="32">
        <v>45095</v>
      </c>
      <c r="G203" t="s">
        <v>21</v>
      </c>
      <c r="H203">
        <v>385</v>
      </c>
      <c r="I203" t="str">
        <f>VLOOKUP(B203,товар!$A$1:$C$433,2,FALSE)</f>
        <v>Овощи</v>
      </c>
      <c r="J203" s="22">
        <f t="shared" si="12"/>
        <v>250.48780487804879</v>
      </c>
      <c r="K203" s="24">
        <f t="shared" si="13"/>
        <v>0.16173320350535536</v>
      </c>
      <c r="L203" t="str">
        <f>VLOOKUP(B203,товар!$A$1:$C$433,3,FALSE)</f>
        <v>Гавриш</v>
      </c>
      <c r="M203" s="24">
        <f t="shared" si="14"/>
        <v>0.17496635262449534</v>
      </c>
      <c r="N203" s="29">
        <f t="shared" si="15"/>
        <v>247.66666666666666</v>
      </c>
      <c r="O203" s="32">
        <f>VLOOKUP(H203,клиенты!$A$2:$G$435,5,FALSE)</f>
        <v>44753</v>
      </c>
      <c r="P203">
        <f>Продажи[[#This Row],[дата создания чека]]-Продажи[[#This Row],[Дата регистрации клиента]]</f>
        <v>342</v>
      </c>
      <c r="Q203" t="str">
        <f>VLOOKUP(H203,Таблица3[],7,FALSE)</f>
        <v>Украина</v>
      </c>
    </row>
    <row r="204" spans="1:17" x14ac:dyDescent="0.3">
      <c r="A204">
        <v>203</v>
      </c>
      <c r="B204">
        <v>369</v>
      </c>
      <c r="C204">
        <v>74</v>
      </c>
      <c r="D204">
        <v>1</v>
      </c>
      <c r="E204">
        <v>74</v>
      </c>
      <c r="F204" s="32">
        <v>45208</v>
      </c>
      <c r="G204" t="s">
        <v>18</v>
      </c>
      <c r="H204">
        <v>411</v>
      </c>
      <c r="I204" t="str">
        <f>VLOOKUP(B204,товар!$A$1:$C$433,2,FALSE)</f>
        <v>Молоко</v>
      </c>
      <c r="J204" s="22">
        <f t="shared" si="12"/>
        <v>294.95238095238096</v>
      </c>
      <c r="K204" s="24">
        <f t="shared" si="13"/>
        <v>-0.74911204391346464</v>
      </c>
      <c r="L204" t="str">
        <f>VLOOKUP(B204,товар!$A$1:$C$433,3,FALSE)</f>
        <v>Домик в деревне</v>
      </c>
      <c r="M204" s="24">
        <f t="shared" si="14"/>
        <v>-0.73069146785281036</v>
      </c>
      <c r="N204" s="29">
        <f t="shared" si="15"/>
        <v>274.77777777777777</v>
      </c>
      <c r="O204" s="32">
        <f>VLOOKUP(H204,клиенты!$A$2:$G$435,5,FALSE)</f>
        <v>44673</v>
      </c>
      <c r="P204">
        <f>Продажи[[#This Row],[дата создания чека]]-Продажи[[#This Row],[Дата регистрации клиента]]</f>
        <v>535</v>
      </c>
      <c r="Q204" t="str">
        <f>VLOOKUP(H204,Таблица3[],7,FALSE)</f>
        <v>Таджикистан</v>
      </c>
    </row>
    <row r="205" spans="1:17" x14ac:dyDescent="0.3">
      <c r="A205">
        <v>204</v>
      </c>
      <c r="B205">
        <v>361</v>
      </c>
      <c r="C205">
        <v>245</v>
      </c>
      <c r="D205">
        <v>1</v>
      </c>
      <c r="E205">
        <v>245</v>
      </c>
      <c r="F205" s="32">
        <v>45178</v>
      </c>
      <c r="G205" t="s">
        <v>24</v>
      </c>
      <c r="H205">
        <v>259</v>
      </c>
      <c r="I205" t="str">
        <f>VLOOKUP(B205,товар!$A$1:$C$433,2,FALSE)</f>
        <v>Мясо</v>
      </c>
      <c r="J205" s="22">
        <f t="shared" si="12"/>
        <v>271.74545454545455</v>
      </c>
      <c r="K205" s="24">
        <f t="shared" si="13"/>
        <v>-9.8420982202595986E-2</v>
      </c>
      <c r="L205" t="str">
        <f>VLOOKUP(B205,товар!$A$1:$C$433,3,FALSE)</f>
        <v>Сава</v>
      </c>
      <c r="M205" s="24">
        <f t="shared" si="14"/>
        <v>0.15124816446402356</v>
      </c>
      <c r="N205" s="29">
        <f t="shared" si="15"/>
        <v>212.8125</v>
      </c>
      <c r="O205" s="32">
        <f>VLOOKUP(H205,клиенты!$A$2:$G$435,5,FALSE)</f>
        <v>44707</v>
      </c>
      <c r="P205">
        <f>Продажи[[#This Row],[дата создания чека]]-Продажи[[#This Row],[Дата регистрации клиента]]</f>
        <v>471</v>
      </c>
      <c r="Q205" t="str">
        <f>VLOOKUP(H205,Таблица3[],7,FALSE)</f>
        <v>Беларусь</v>
      </c>
    </row>
    <row r="206" spans="1:17" x14ac:dyDescent="0.3">
      <c r="A206">
        <v>205</v>
      </c>
      <c r="B206">
        <v>226</v>
      </c>
      <c r="C206">
        <v>339</v>
      </c>
      <c r="D206">
        <v>4</v>
      </c>
      <c r="E206">
        <v>1356</v>
      </c>
      <c r="F206" s="32">
        <v>45251</v>
      </c>
      <c r="G206" t="s">
        <v>15</v>
      </c>
      <c r="H206">
        <v>337</v>
      </c>
      <c r="I206" t="str">
        <f>VLOOKUP(B206,товар!$A$1:$C$433,2,FALSE)</f>
        <v>Сыр</v>
      </c>
      <c r="J206" s="22">
        <f t="shared" si="12"/>
        <v>262.63492063492066</v>
      </c>
      <c r="K206" s="24">
        <f t="shared" si="13"/>
        <v>0.29076513961078199</v>
      </c>
      <c r="L206" t="str">
        <f>VLOOKUP(B206,товар!$A$1:$C$433,3,FALSE)</f>
        <v>Карат</v>
      </c>
      <c r="M206" s="24">
        <f t="shared" si="14"/>
        <v>8.8865096359743045E-2</v>
      </c>
      <c r="N206" s="29">
        <f t="shared" si="15"/>
        <v>311.33333333333331</v>
      </c>
      <c r="O206" s="32">
        <f>VLOOKUP(H206,клиенты!$A$2:$G$435,5,FALSE)</f>
        <v>44875</v>
      </c>
      <c r="P206">
        <f>Продажи[[#This Row],[дата создания чека]]-Продажи[[#This Row],[Дата регистрации клиента]]</f>
        <v>376</v>
      </c>
      <c r="Q206" t="str">
        <f>VLOOKUP(H206,Таблица3[],7,FALSE)</f>
        <v>Россия</v>
      </c>
    </row>
    <row r="207" spans="1:17" x14ac:dyDescent="0.3">
      <c r="A207">
        <v>206</v>
      </c>
      <c r="B207">
        <v>87</v>
      </c>
      <c r="C207">
        <v>487</v>
      </c>
      <c r="D207">
        <v>1</v>
      </c>
      <c r="E207">
        <v>487</v>
      </c>
      <c r="F207" s="32">
        <v>45019</v>
      </c>
      <c r="G207" t="s">
        <v>17</v>
      </c>
      <c r="H207">
        <v>172</v>
      </c>
      <c r="I207" t="str">
        <f>VLOOKUP(B207,товар!$A$1:$C$433,2,FALSE)</f>
        <v>Кофе</v>
      </c>
      <c r="J207" s="22">
        <f t="shared" si="12"/>
        <v>249.02380952380952</v>
      </c>
      <c r="K207" s="24">
        <f t="shared" si="13"/>
        <v>0.95563629410077455</v>
      </c>
      <c r="L207" t="str">
        <f>VLOOKUP(B207,товар!$A$1:$C$433,3,FALSE)</f>
        <v>Jacobs</v>
      </c>
      <c r="M207" s="24">
        <f t="shared" si="14"/>
        <v>0.76314786585365857</v>
      </c>
      <c r="N207" s="29">
        <f t="shared" si="15"/>
        <v>276.21052631578948</v>
      </c>
      <c r="O207" s="32">
        <f>VLOOKUP(H207,клиенты!$A$2:$G$435,5,FALSE)</f>
        <v>44737</v>
      </c>
      <c r="P207">
        <f>Продажи[[#This Row],[дата создания чека]]-Продажи[[#This Row],[Дата регистрации клиента]]</f>
        <v>282</v>
      </c>
      <c r="Q207" t="str">
        <f>VLOOKUP(H207,Таблица3[],7,FALSE)</f>
        <v>Россия</v>
      </c>
    </row>
    <row r="208" spans="1:17" x14ac:dyDescent="0.3">
      <c r="A208">
        <v>207</v>
      </c>
      <c r="B208">
        <v>376</v>
      </c>
      <c r="C208">
        <v>335</v>
      </c>
      <c r="D208">
        <v>5</v>
      </c>
      <c r="E208">
        <v>1675</v>
      </c>
      <c r="F208" s="32">
        <v>44983</v>
      </c>
      <c r="G208" t="s">
        <v>17</v>
      </c>
      <c r="H208">
        <v>130</v>
      </c>
      <c r="I208" t="str">
        <f>VLOOKUP(B208,товар!$A$1:$C$433,2,FALSE)</f>
        <v>Конфеты</v>
      </c>
      <c r="J208" s="22">
        <f t="shared" si="12"/>
        <v>267.85483870967744</v>
      </c>
      <c r="K208" s="24">
        <f t="shared" si="13"/>
        <v>0.25067742518215197</v>
      </c>
      <c r="L208" t="str">
        <f>VLOOKUP(B208,товар!$A$1:$C$433,3,FALSE)</f>
        <v>Красный Октябрь</v>
      </c>
      <c r="M208" s="24">
        <f t="shared" si="14"/>
        <v>0.22430333485609877</v>
      </c>
      <c r="N208" s="29">
        <f t="shared" si="15"/>
        <v>273.625</v>
      </c>
      <c r="O208" s="32">
        <f>VLOOKUP(H208,клиенты!$A$2:$G$435,5,FALSE)</f>
        <v>44863</v>
      </c>
      <c r="P208">
        <f>Продажи[[#This Row],[дата создания чека]]-Продажи[[#This Row],[Дата регистрации клиента]]</f>
        <v>120</v>
      </c>
      <c r="Q208" t="str">
        <f>VLOOKUP(H208,Таблица3[],7,FALSE)</f>
        <v>Таджикистан</v>
      </c>
    </row>
    <row r="209" spans="1:17" x14ac:dyDescent="0.3">
      <c r="A209">
        <v>208</v>
      </c>
      <c r="B209">
        <v>255</v>
      </c>
      <c r="C209">
        <v>214</v>
      </c>
      <c r="D209">
        <v>2</v>
      </c>
      <c r="E209">
        <v>428</v>
      </c>
      <c r="F209" s="32">
        <v>45031</v>
      </c>
      <c r="G209" t="s">
        <v>12</v>
      </c>
      <c r="H209">
        <v>354</v>
      </c>
      <c r="I209" t="str">
        <f>VLOOKUP(B209,товар!$A$1:$C$433,2,FALSE)</f>
        <v>Кофе</v>
      </c>
      <c r="J209" s="22">
        <f t="shared" si="12"/>
        <v>249.02380952380952</v>
      </c>
      <c r="K209" s="24">
        <f t="shared" si="13"/>
        <v>-0.14064442107276032</v>
      </c>
      <c r="L209" t="str">
        <f>VLOOKUP(B209,товар!$A$1:$C$433,3,FALSE)</f>
        <v>Nescafe</v>
      </c>
      <c r="M209" s="24">
        <f t="shared" si="14"/>
        <v>-0.16699104710003887</v>
      </c>
      <c r="N209" s="29">
        <f t="shared" si="15"/>
        <v>256.89999999999998</v>
      </c>
      <c r="O209" s="32">
        <f>VLOOKUP(H209,клиенты!$A$2:$G$435,5,FALSE)</f>
        <v>44811</v>
      </c>
      <c r="P209">
        <f>Продажи[[#This Row],[дата создания чека]]-Продажи[[#This Row],[Дата регистрации клиента]]</f>
        <v>220</v>
      </c>
      <c r="Q209" t="str">
        <f>VLOOKUP(H209,Таблица3[],7,FALSE)</f>
        <v>Узбекистан</v>
      </c>
    </row>
    <row r="210" spans="1:17" x14ac:dyDescent="0.3">
      <c r="A210">
        <v>209</v>
      </c>
      <c r="B210">
        <v>111</v>
      </c>
      <c r="C210">
        <v>452</v>
      </c>
      <c r="D210">
        <v>4</v>
      </c>
      <c r="E210">
        <v>1808</v>
      </c>
      <c r="F210" s="32">
        <v>44927</v>
      </c>
      <c r="G210" t="s">
        <v>15</v>
      </c>
      <c r="H210">
        <v>329</v>
      </c>
      <c r="I210" t="str">
        <f>VLOOKUP(B210,товар!$A$1:$C$433,2,FALSE)</f>
        <v>Сахар</v>
      </c>
      <c r="J210" s="22">
        <f t="shared" si="12"/>
        <v>252.76271186440678</v>
      </c>
      <c r="K210" s="24">
        <f t="shared" si="13"/>
        <v>0.78823844967478029</v>
      </c>
      <c r="L210" t="str">
        <f>VLOOKUP(B210,товар!$A$1:$C$433,3,FALSE)</f>
        <v>Сладов</v>
      </c>
      <c r="M210" s="24">
        <f t="shared" si="14"/>
        <v>0.88124306326304103</v>
      </c>
      <c r="N210" s="29">
        <f t="shared" si="15"/>
        <v>240.26666666666668</v>
      </c>
      <c r="O210" s="32">
        <f>VLOOKUP(H210,клиенты!$A$2:$G$435,5,FALSE)</f>
        <v>44653</v>
      </c>
      <c r="P210">
        <f>Продажи[[#This Row],[дата создания чека]]-Продажи[[#This Row],[Дата регистрации клиента]]</f>
        <v>274</v>
      </c>
      <c r="Q210" t="str">
        <f>VLOOKUP(H210,Таблица3[],7,FALSE)</f>
        <v>Беларусь</v>
      </c>
    </row>
    <row r="211" spans="1:17" x14ac:dyDescent="0.3">
      <c r="A211">
        <v>210</v>
      </c>
      <c r="B211">
        <v>344</v>
      </c>
      <c r="C211">
        <v>172</v>
      </c>
      <c r="D211">
        <v>5</v>
      </c>
      <c r="E211">
        <v>860</v>
      </c>
      <c r="F211" s="32">
        <v>45092</v>
      </c>
      <c r="G211" t="s">
        <v>18</v>
      </c>
      <c r="H211">
        <v>186</v>
      </c>
      <c r="I211" t="str">
        <f>VLOOKUP(B211,товар!$A$1:$C$433,2,FALSE)</f>
        <v>Сок</v>
      </c>
      <c r="J211" s="22">
        <f t="shared" si="12"/>
        <v>268.60344827586209</v>
      </c>
      <c r="K211" s="24">
        <f t="shared" si="13"/>
        <v>-0.35965081199050009</v>
      </c>
      <c r="L211" t="str">
        <f>VLOOKUP(B211,товар!$A$1:$C$433,3,FALSE)</f>
        <v>Сады Придонья</v>
      </c>
      <c r="M211" s="24">
        <f t="shared" si="14"/>
        <v>-0.32331902718168815</v>
      </c>
      <c r="N211" s="29">
        <f t="shared" si="15"/>
        <v>254.18181818181819</v>
      </c>
      <c r="O211" s="32">
        <f>VLOOKUP(H211,клиенты!$A$2:$G$435,5,FALSE)</f>
        <v>44914</v>
      </c>
      <c r="P211">
        <f>Продажи[[#This Row],[дата создания чека]]-Продажи[[#This Row],[Дата регистрации клиента]]</f>
        <v>178</v>
      </c>
      <c r="Q211" t="str">
        <f>VLOOKUP(H211,Таблица3[],7,FALSE)</f>
        <v>Беларусь</v>
      </c>
    </row>
    <row r="212" spans="1:17" x14ac:dyDescent="0.3">
      <c r="A212">
        <v>211</v>
      </c>
      <c r="B212">
        <v>462</v>
      </c>
      <c r="C212">
        <v>104</v>
      </c>
      <c r="D212">
        <v>4</v>
      </c>
      <c r="E212">
        <v>416</v>
      </c>
      <c r="F212" s="32">
        <v>45105</v>
      </c>
      <c r="G212" t="s">
        <v>20</v>
      </c>
      <c r="H212">
        <v>448</v>
      </c>
      <c r="I212" t="str">
        <f>VLOOKUP(B212,товар!$A$1:$C$433,2,FALSE)</f>
        <v>Рис</v>
      </c>
      <c r="J212" s="22">
        <f t="shared" si="12"/>
        <v>258.375</v>
      </c>
      <c r="K212" s="24">
        <f t="shared" si="13"/>
        <v>-0.59748427672955973</v>
      </c>
      <c r="L212" t="str">
        <f>VLOOKUP(B212,товар!$A$1:$C$433,3,FALSE)</f>
        <v>Белый Злат</v>
      </c>
      <c r="M212" s="24">
        <f t="shared" si="14"/>
        <v>-0.61439476553980366</v>
      </c>
      <c r="N212" s="29">
        <f t="shared" si="15"/>
        <v>269.70588235294116</v>
      </c>
      <c r="O212" s="32">
        <f>VLOOKUP(H212,клиенты!$A$2:$G$435,5,FALSE)</f>
        <v>44770</v>
      </c>
      <c r="P212">
        <f>Продажи[[#This Row],[дата создания чека]]-Продажи[[#This Row],[Дата регистрации клиента]]</f>
        <v>335</v>
      </c>
      <c r="Q212" t="str">
        <f>VLOOKUP(H212,Таблица3[],7,FALSE)</f>
        <v>Россия</v>
      </c>
    </row>
    <row r="213" spans="1:17" x14ac:dyDescent="0.3">
      <c r="A213">
        <v>212</v>
      </c>
      <c r="B213">
        <v>279</v>
      </c>
      <c r="C213">
        <v>433</v>
      </c>
      <c r="D213">
        <v>4</v>
      </c>
      <c r="E213">
        <v>1732</v>
      </c>
      <c r="F213" s="32">
        <v>45265</v>
      </c>
      <c r="G213" t="s">
        <v>25</v>
      </c>
      <c r="H213">
        <v>377</v>
      </c>
      <c r="I213" t="str">
        <f>VLOOKUP(B213,товар!$A$1:$C$433,2,FALSE)</f>
        <v>Крупа</v>
      </c>
      <c r="J213" s="22">
        <f t="shared" si="12"/>
        <v>255.11627906976744</v>
      </c>
      <c r="K213" s="24">
        <f t="shared" si="13"/>
        <v>0.69726526891522322</v>
      </c>
      <c r="L213" t="str">
        <f>VLOOKUP(B213,товар!$A$1:$C$433,3,FALSE)</f>
        <v>Увелка</v>
      </c>
      <c r="M213" s="24">
        <f t="shared" si="14"/>
        <v>0.71882236189216009</v>
      </c>
      <c r="N213" s="29">
        <f t="shared" si="15"/>
        <v>251.91666666666666</v>
      </c>
      <c r="O213" s="32">
        <f>VLOOKUP(H213,клиенты!$A$2:$G$435,5,FALSE)</f>
        <v>44794</v>
      </c>
      <c r="P213">
        <f>Продажи[[#This Row],[дата создания чека]]-Продажи[[#This Row],[Дата регистрации клиента]]</f>
        <v>471</v>
      </c>
      <c r="Q213" t="str">
        <f>VLOOKUP(H213,Таблица3[],7,FALSE)</f>
        <v>Узбекистан</v>
      </c>
    </row>
    <row r="214" spans="1:17" x14ac:dyDescent="0.3">
      <c r="A214">
        <v>213</v>
      </c>
      <c r="B214">
        <v>322</v>
      </c>
      <c r="C214">
        <v>79</v>
      </c>
      <c r="D214">
        <v>5</v>
      </c>
      <c r="E214">
        <v>395</v>
      </c>
      <c r="F214" s="32">
        <v>45108</v>
      </c>
      <c r="G214" t="s">
        <v>13</v>
      </c>
      <c r="H214">
        <v>316</v>
      </c>
      <c r="I214" t="str">
        <f>VLOOKUP(B214,товар!$A$1:$C$433,2,FALSE)</f>
        <v>Крупа</v>
      </c>
      <c r="J214" s="22">
        <f t="shared" si="12"/>
        <v>255.11627906976744</v>
      </c>
      <c r="K214" s="24">
        <f t="shared" si="13"/>
        <v>-0.69033728350045576</v>
      </c>
      <c r="L214" t="str">
        <f>VLOOKUP(B214,товар!$A$1:$C$433,3,FALSE)</f>
        <v>Увелка</v>
      </c>
      <c r="M214" s="24">
        <f t="shared" si="14"/>
        <v>-0.68640423420443275</v>
      </c>
      <c r="N214" s="29">
        <f t="shared" si="15"/>
        <v>251.91666666666666</v>
      </c>
      <c r="O214" s="32">
        <f>VLOOKUP(H214,клиенты!$A$2:$G$435,5,FALSE)</f>
        <v>44787</v>
      </c>
      <c r="P214">
        <f>Продажи[[#This Row],[дата создания чека]]-Продажи[[#This Row],[Дата регистрации клиента]]</f>
        <v>321</v>
      </c>
      <c r="Q214" t="str">
        <f>VLOOKUP(H214,Таблица3[],7,FALSE)</f>
        <v>Таджикистан</v>
      </c>
    </row>
    <row r="215" spans="1:17" x14ac:dyDescent="0.3">
      <c r="A215">
        <v>214</v>
      </c>
      <c r="B215">
        <v>494</v>
      </c>
      <c r="C215">
        <v>181</v>
      </c>
      <c r="D215">
        <v>1</v>
      </c>
      <c r="E215">
        <v>181</v>
      </c>
      <c r="F215" s="32">
        <v>45251</v>
      </c>
      <c r="G215" t="s">
        <v>24</v>
      </c>
      <c r="H215">
        <v>356</v>
      </c>
      <c r="I215" t="str">
        <f>VLOOKUP(B215,товар!$A$1:$C$433,2,FALSE)</f>
        <v>Сыр</v>
      </c>
      <c r="J215" s="22">
        <f t="shared" si="12"/>
        <v>262.63492063492066</v>
      </c>
      <c r="K215" s="24">
        <f t="shared" si="13"/>
        <v>-0.31083041218421381</v>
      </c>
      <c r="L215" t="str">
        <f>VLOOKUP(B215,товар!$A$1:$C$433,3,FALSE)</f>
        <v>Сырная долина</v>
      </c>
      <c r="M215" s="24">
        <f t="shared" si="14"/>
        <v>-0.33210332103321039</v>
      </c>
      <c r="N215" s="29">
        <f t="shared" si="15"/>
        <v>271</v>
      </c>
      <c r="O215" s="32">
        <f>VLOOKUP(H215,клиенты!$A$2:$G$435,5,FALSE)</f>
        <v>44570</v>
      </c>
      <c r="P215">
        <f>Продажи[[#This Row],[дата создания чека]]-Продажи[[#This Row],[Дата регистрации клиента]]</f>
        <v>681</v>
      </c>
      <c r="Q215" t="str">
        <f>VLOOKUP(H215,Таблица3[],7,FALSE)</f>
        <v>Таджикистан</v>
      </c>
    </row>
    <row r="216" spans="1:17" x14ac:dyDescent="0.3">
      <c r="A216">
        <v>215</v>
      </c>
      <c r="B216">
        <v>317</v>
      </c>
      <c r="C216">
        <v>196</v>
      </c>
      <c r="D216">
        <v>3</v>
      </c>
      <c r="E216">
        <v>588</v>
      </c>
      <c r="F216" s="32">
        <v>45371</v>
      </c>
      <c r="G216" t="s">
        <v>16</v>
      </c>
      <c r="H216">
        <v>159</v>
      </c>
      <c r="I216" t="str">
        <f>VLOOKUP(B216,товар!$A$1:$C$433,2,FALSE)</f>
        <v>Сок</v>
      </c>
      <c r="J216" s="22">
        <f t="shared" si="12"/>
        <v>268.60344827586209</v>
      </c>
      <c r="K216" s="24">
        <f t="shared" si="13"/>
        <v>-0.27029976250080245</v>
      </c>
      <c r="L216" t="str">
        <f>VLOOKUP(B216,товар!$A$1:$C$433,3,FALSE)</f>
        <v>Фруктовый сад</v>
      </c>
      <c r="M216" s="24">
        <f t="shared" si="14"/>
        <v>-0.30488750969743983</v>
      </c>
      <c r="N216" s="29">
        <f t="shared" si="15"/>
        <v>281.96875</v>
      </c>
      <c r="O216" s="32">
        <f>VLOOKUP(H216,клиенты!$A$2:$G$435,5,FALSE)</f>
        <v>44686</v>
      </c>
      <c r="P216">
        <f>Продажи[[#This Row],[дата создания чека]]-Продажи[[#This Row],[Дата регистрации клиента]]</f>
        <v>685</v>
      </c>
      <c r="Q216" t="str">
        <f>VLOOKUP(H216,Таблица3[],7,FALSE)</f>
        <v>Узбекистан</v>
      </c>
    </row>
    <row r="217" spans="1:17" x14ac:dyDescent="0.3">
      <c r="A217">
        <v>216</v>
      </c>
      <c r="B217">
        <v>223</v>
      </c>
      <c r="C217">
        <v>174</v>
      </c>
      <c r="D217">
        <v>1</v>
      </c>
      <c r="E217">
        <v>174</v>
      </c>
      <c r="F217" s="32">
        <v>45022</v>
      </c>
      <c r="G217" t="s">
        <v>10</v>
      </c>
      <c r="H217">
        <v>287</v>
      </c>
      <c r="I217" t="str">
        <f>VLOOKUP(B217,товар!$A$1:$C$433,2,FALSE)</f>
        <v>Чай</v>
      </c>
      <c r="J217" s="22">
        <f t="shared" si="12"/>
        <v>271.18181818181819</v>
      </c>
      <c r="K217" s="24">
        <f t="shared" si="13"/>
        <v>-0.35836406302380153</v>
      </c>
      <c r="L217" t="str">
        <f>VLOOKUP(B217,товар!$A$1:$C$433,3,FALSE)</f>
        <v>Greenfield</v>
      </c>
      <c r="M217" s="24">
        <f t="shared" si="14"/>
        <v>-0.40299438552713662</v>
      </c>
      <c r="N217" s="29">
        <f t="shared" si="15"/>
        <v>291.45454545454544</v>
      </c>
      <c r="O217" s="32">
        <f>VLOOKUP(H217,клиенты!$A$2:$G$435,5,FALSE)</f>
        <v>44608</v>
      </c>
      <c r="P217">
        <f>Продажи[[#This Row],[дата создания чека]]-Продажи[[#This Row],[Дата регистрации клиента]]</f>
        <v>414</v>
      </c>
      <c r="Q217" t="str">
        <f>VLOOKUP(H217,Таблица3[],7,FALSE)</f>
        <v>Россия</v>
      </c>
    </row>
    <row r="218" spans="1:17" x14ac:dyDescent="0.3">
      <c r="A218">
        <v>217</v>
      </c>
      <c r="B218">
        <v>25</v>
      </c>
      <c r="C218">
        <v>356</v>
      </c>
      <c r="D218">
        <v>3</v>
      </c>
      <c r="E218">
        <v>1068</v>
      </c>
      <c r="F218" s="32">
        <v>45018</v>
      </c>
      <c r="G218" t="s">
        <v>15</v>
      </c>
      <c r="H218">
        <v>322</v>
      </c>
      <c r="I218" t="str">
        <f>VLOOKUP(B218,товар!$A$1:$C$433,2,FALSE)</f>
        <v>Чипсы</v>
      </c>
      <c r="J218" s="22">
        <f t="shared" si="12"/>
        <v>273.72549019607845</v>
      </c>
      <c r="K218" s="24">
        <f t="shared" si="13"/>
        <v>0.30057306590257871</v>
      </c>
      <c r="L218" t="str">
        <f>VLOOKUP(B218,товар!$A$1:$C$433,3,FALSE)</f>
        <v>Русская картошка</v>
      </c>
      <c r="M218" s="24">
        <f t="shared" si="14"/>
        <v>0.47208821502412124</v>
      </c>
      <c r="N218" s="29">
        <f t="shared" si="15"/>
        <v>241.83333333333334</v>
      </c>
      <c r="O218" s="32">
        <f>VLOOKUP(H218,клиенты!$A$2:$G$435,5,FALSE)</f>
        <v>44886</v>
      </c>
      <c r="P218">
        <f>Продажи[[#This Row],[дата создания чека]]-Продажи[[#This Row],[Дата регистрации клиента]]</f>
        <v>132</v>
      </c>
      <c r="Q218" t="str">
        <f>VLOOKUP(H218,Таблица3[],7,FALSE)</f>
        <v>Украина</v>
      </c>
    </row>
    <row r="219" spans="1:17" x14ac:dyDescent="0.3">
      <c r="A219">
        <v>218</v>
      </c>
      <c r="B219">
        <v>392</v>
      </c>
      <c r="C219">
        <v>125</v>
      </c>
      <c r="D219">
        <v>5</v>
      </c>
      <c r="E219">
        <v>625</v>
      </c>
      <c r="F219" s="32">
        <v>45282</v>
      </c>
      <c r="G219" t="s">
        <v>9</v>
      </c>
      <c r="H219">
        <v>62</v>
      </c>
      <c r="I219" t="str">
        <f>VLOOKUP(B219,товар!$A$1:$C$433,2,FALSE)</f>
        <v>Кофе</v>
      </c>
      <c r="J219" s="22">
        <f t="shared" si="12"/>
        <v>249.02380952380952</v>
      </c>
      <c r="K219" s="24">
        <f t="shared" si="13"/>
        <v>-0.49803996557988339</v>
      </c>
      <c r="L219" t="str">
        <f>VLOOKUP(B219,товар!$A$1:$C$433,3,FALSE)</f>
        <v>Черная Карта</v>
      </c>
      <c r="M219" s="24">
        <f t="shared" si="14"/>
        <v>-0.43744374437443745</v>
      </c>
      <c r="N219" s="29">
        <f t="shared" si="15"/>
        <v>222.2</v>
      </c>
      <c r="O219" s="32">
        <f>VLOOKUP(H219,клиенты!$A$2:$G$435,5,FALSE)</f>
        <v>44671</v>
      </c>
      <c r="P219">
        <f>Продажи[[#This Row],[дата создания чека]]-Продажи[[#This Row],[Дата регистрации клиента]]</f>
        <v>611</v>
      </c>
      <c r="Q219" t="str">
        <f>VLOOKUP(H219,Таблица3[],7,FALSE)</f>
        <v>Россия</v>
      </c>
    </row>
    <row r="220" spans="1:17" x14ac:dyDescent="0.3">
      <c r="A220">
        <v>219</v>
      </c>
      <c r="B220">
        <v>410</v>
      </c>
      <c r="C220">
        <v>228</v>
      </c>
      <c r="D220">
        <v>2</v>
      </c>
      <c r="E220">
        <v>456</v>
      </c>
      <c r="F220" s="32">
        <v>45224</v>
      </c>
      <c r="G220" t="s">
        <v>22</v>
      </c>
      <c r="H220">
        <v>295</v>
      </c>
      <c r="I220" t="str">
        <f>VLOOKUP(B220,товар!$A$1:$C$433,2,FALSE)</f>
        <v>Чипсы</v>
      </c>
      <c r="J220" s="22">
        <f t="shared" si="12"/>
        <v>273.72549019607845</v>
      </c>
      <c r="K220" s="24">
        <f t="shared" si="13"/>
        <v>-0.16704871060171922</v>
      </c>
      <c r="L220" t="str">
        <f>VLOOKUP(B220,товар!$A$1:$C$433,3,FALSE)</f>
        <v>Lay's</v>
      </c>
      <c r="M220" s="24">
        <f t="shared" si="14"/>
        <v>-0.28877005347593576</v>
      </c>
      <c r="N220" s="29">
        <f t="shared" si="15"/>
        <v>320.57142857142856</v>
      </c>
      <c r="O220" s="32">
        <f>VLOOKUP(H220,клиенты!$A$2:$G$435,5,FALSE)</f>
        <v>44588</v>
      </c>
      <c r="P220">
        <f>Продажи[[#This Row],[дата создания чека]]-Продажи[[#This Row],[Дата регистрации клиента]]</f>
        <v>636</v>
      </c>
      <c r="Q220" t="str">
        <f>VLOOKUP(H220,Таблица3[],7,FALSE)</f>
        <v>Россия</v>
      </c>
    </row>
    <row r="221" spans="1:17" x14ac:dyDescent="0.3">
      <c r="A221">
        <v>220</v>
      </c>
      <c r="B221">
        <v>498</v>
      </c>
      <c r="C221">
        <v>472</v>
      </c>
      <c r="D221">
        <v>5</v>
      </c>
      <c r="E221">
        <v>2360</v>
      </c>
      <c r="F221" s="32">
        <v>45195</v>
      </c>
      <c r="G221" t="s">
        <v>17</v>
      </c>
      <c r="H221">
        <v>171</v>
      </c>
      <c r="I221" t="str">
        <f>VLOOKUP(B221,товар!$A$1:$C$433,2,FALSE)</f>
        <v>Молоко</v>
      </c>
      <c r="J221" s="22">
        <f t="shared" si="12"/>
        <v>294.95238095238096</v>
      </c>
      <c r="K221" s="24">
        <f t="shared" si="13"/>
        <v>0.60025831449790124</v>
      </c>
      <c r="L221" t="str">
        <f>VLOOKUP(B221,товар!$A$1:$C$433,3,FALSE)</f>
        <v>Домик в деревне</v>
      </c>
      <c r="M221" s="24">
        <f t="shared" si="14"/>
        <v>0.71775171856045294</v>
      </c>
      <c r="N221" s="29">
        <f t="shared" si="15"/>
        <v>274.77777777777777</v>
      </c>
      <c r="O221" s="32">
        <f>VLOOKUP(H221,клиенты!$A$2:$G$435,5,FALSE)</f>
        <v>44710</v>
      </c>
      <c r="P221">
        <f>Продажи[[#This Row],[дата создания чека]]-Продажи[[#This Row],[Дата регистрации клиента]]</f>
        <v>485</v>
      </c>
      <c r="Q221" t="str">
        <f>VLOOKUP(H221,Таблица3[],7,FALSE)</f>
        <v>Россия</v>
      </c>
    </row>
    <row r="222" spans="1:17" x14ac:dyDescent="0.3">
      <c r="A222">
        <v>221</v>
      </c>
      <c r="B222">
        <v>304</v>
      </c>
      <c r="C222">
        <v>163</v>
      </c>
      <c r="D222">
        <v>3</v>
      </c>
      <c r="E222">
        <v>489</v>
      </c>
      <c r="F222" s="32">
        <v>45139</v>
      </c>
      <c r="G222" t="s">
        <v>14</v>
      </c>
      <c r="H222">
        <v>392</v>
      </c>
      <c r="I222" t="str">
        <f>VLOOKUP(B222,товар!$A$1:$C$433,2,FALSE)</f>
        <v>Конфеты</v>
      </c>
      <c r="J222" s="22">
        <f t="shared" si="12"/>
        <v>267.85483870967744</v>
      </c>
      <c r="K222" s="24">
        <f t="shared" si="13"/>
        <v>-0.39146143192629623</v>
      </c>
      <c r="L222" t="str">
        <f>VLOOKUP(B222,товар!$A$1:$C$433,3,FALSE)</f>
        <v>Рот Фронт</v>
      </c>
      <c r="M222" s="24">
        <f t="shared" si="14"/>
        <v>-0.43449529159094669</v>
      </c>
      <c r="N222" s="29">
        <f t="shared" si="15"/>
        <v>288.23809523809524</v>
      </c>
      <c r="O222" s="32">
        <f>VLOOKUP(H222,клиенты!$A$2:$G$435,5,FALSE)</f>
        <v>44919</v>
      </c>
      <c r="P222">
        <f>Продажи[[#This Row],[дата создания чека]]-Продажи[[#This Row],[Дата регистрации клиента]]</f>
        <v>220</v>
      </c>
      <c r="Q222" t="str">
        <f>VLOOKUP(H222,Таблица3[],7,FALSE)</f>
        <v>Россия</v>
      </c>
    </row>
    <row r="223" spans="1:17" x14ac:dyDescent="0.3">
      <c r="A223">
        <v>222</v>
      </c>
      <c r="B223">
        <v>333</v>
      </c>
      <c r="C223">
        <v>70</v>
      </c>
      <c r="D223">
        <v>1</v>
      </c>
      <c r="E223">
        <v>70</v>
      </c>
      <c r="F223" s="32">
        <v>45076</v>
      </c>
      <c r="G223" t="s">
        <v>16</v>
      </c>
      <c r="H223">
        <v>229</v>
      </c>
      <c r="I223" t="str">
        <f>VLOOKUP(B223,товар!$A$1:$C$433,2,FALSE)</f>
        <v>Рыба</v>
      </c>
      <c r="J223" s="22">
        <f t="shared" si="12"/>
        <v>258.5128205128205</v>
      </c>
      <c r="K223" s="24">
        <f t="shared" si="13"/>
        <v>-0.72922039277921047</v>
      </c>
      <c r="L223" t="str">
        <f>VLOOKUP(B223,товар!$A$1:$C$433,3,FALSE)</f>
        <v>Санта Бремор</v>
      </c>
      <c r="M223" s="24">
        <f t="shared" si="14"/>
        <v>-0.67652495378927913</v>
      </c>
      <c r="N223" s="29">
        <f t="shared" si="15"/>
        <v>216.4</v>
      </c>
      <c r="O223" s="32">
        <f>VLOOKUP(H223,клиенты!$A$2:$G$435,5,FALSE)</f>
        <v>44766</v>
      </c>
      <c r="P223">
        <f>Продажи[[#This Row],[дата создания чека]]-Продажи[[#This Row],[Дата регистрации клиента]]</f>
        <v>310</v>
      </c>
      <c r="Q223" t="str">
        <f>VLOOKUP(H223,Таблица3[],7,FALSE)</f>
        <v>Беларусь</v>
      </c>
    </row>
    <row r="224" spans="1:17" x14ac:dyDescent="0.3">
      <c r="A224">
        <v>223</v>
      </c>
      <c r="B224">
        <v>207</v>
      </c>
      <c r="C224">
        <v>208</v>
      </c>
      <c r="D224">
        <v>5</v>
      </c>
      <c r="E224">
        <v>1040</v>
      </c>
      <c r="F224" s="32">
        <v>44960</v>
      </c>
      <c r="G224" t="s">
        <v>8</v>
      </c>
      <c r="H224">
        <v>253</v>
      </c>
      <c r="I224" t="str">
        <f>VLOOKUP(B224,товар!$A$1:$C$433,2,FALSE)</f>
        <v>Сахар</v>
      </c>
      <c r="J224" s="22">
        <f t="shared" si="12"/>
        <v>252.76271186440678</v>
      </c>
      <c r="K224" s="24">
        <f t="shared" si="13"/>
        <v>-0.17709381076912767</v>
      </c>
      <c r="L224" t="str">
        <f>VLOOKUP(B224,товар!$A$1:$C$433,3,FALSE)</f>
        <v>Агросахар</v>
      </c>
      <c r="M224" s="24">
        <f t="shared" si="14"/>
        <v>-3.6399735274652567E-2</v>
      </c>
      <c r="N224" s="29">
        <f t="shared" si="15"/>
        <v>215.85714285714286</v>
      </c>
      <c r="O224" s="32">
        <f>VLOOKUP(H224,клиенты!$A$2:$G$435,5,FALSE)</f>
        <v>44750</v>
      </c>
      <c r="P224">
        <f>Продажи[[#This Row],[дата создания чека]]-Продажи[[#This Row],[Дата регистрации клиента]]</f>
        <v>210</v>
      </c>
      <c r="Q224" t="str">
        <f>VLOOKUP(H224,Таблица3[],7,FALSE)</f>
        <v>Беларусь</v>
      </c>
    </row>
    <row r="225" spans="1:17" x14ac:dyDescent="0.3">
      <c r="A225">
        <v>224</v>
      </c>
      <c r="B225">
        <v>348</v>
      </c>
      <c r="C225">
        <v>417</v>
      </c>
      <c r="D225">
        <v>4</v>
      </c>
      <c r="E225">
        <v>1668</v>
      </c>
      <c r="F225" s="32">
        <v>45005</v>
      </c>
      <c r="G225" t="s">
        <v>18</v>
      </c>
      <c r="H225">
        <v>235</v>
      </c>
      <c r="I225" t="str">
        <f>VLOOKUP(B225,товар!$A$1:$C$433,2,FALSE)</f>
        <v>Чипсы</v>
      </c>
      <c r="J225" s="22">
        <f t="shared" si="12"/>
        <v>273.72549019607845</v>
      </c>
      <c r="K225" s="24">
        <f t="shared" si="13"/>
        <v>0.52342406876790815</v>
      </c>
      <c r="L225" t="str">
        <f>VLOOKUP(B225,товар!$A$1:$C$433,3,FALSE)</f>
        <v>Estrella</v>
      </c>
      <c r="M225" s="24">
        <f t="shared" si="14"/>
        <v>0.56606350290201446</v>
      </c>
      <c r="N225" s="29">
        <f t="shared" si="15"/>
        <v>266.27272727272725</v>
      </c>
      <c r="O225" s="32">
        <f>VLOOKUP(H225,клиенты!$A$2:$G$435,5,FALSE)</f>
        <v>44635</v>
      </c>
      <c r="P225">
        <f>Продажи[[#This Row],[дата создания чека]]-Продажи[[#This Row],[Дата регистрации клиента]]</f>
        <v>370</v>
      </c>
      <c r="Q225" t="str">
        <f>VLOOKUP(H225,Таблица3[],7,FALSE)</f>
        <v>Узбекистан</v>
      </c>
    </row>
    <row r="226" spans="1:17" x14ac:dyDescent="0.3">
      <c r="A226">
        <v>225</v>
      </c>
      <c r="B226">
        <v>4</v>
      </c>
      <c r="C226">
        <v>198</v>
      </c>
      <c r="D226">
        <v>5</v>
      </c>
      <c r="E226">
        <v>990</v>
      </c>
      <c r="F226" s="32">
        <v>45351</v>
      </c>
      <c r="G226" t="s">
        <v>8</v>
      </c>
      <c r="H226">
        <v>156</v>
      </c>
      <c r="I226" t="str">
        <f>VLOOKUP(B226,товар!$A$1:$C$433,2,FALSE)</f>
        <v>Рис</v>
      </c>
      <c r="J226" s="22">
        <f t="shared" si="12"/>
        <v>258.375</v>
      </c>
      <c r="K226" s="24">
        <f t="shared" si="13"/>
        <v>-0.23367198838896952</v>
      </c>
      <c r="L226" t="str">
        <f>VLOOKUP(B226,товар!$A$1:$C$433,3,FALSE)</f>
        <v>Белый Злат</v>
      </c>
      <c r="M226" s="24">
        <f t="shared" si="14"/>
        <v>-0.26586695747001088</v>
      </c>
      <c r="N226" s="29">
        <f t="shared" si="15"/>
        <v>269.70588235294116</v>
      </c>
      <c r="O226" s="32">
        <f>VLOOKUP(H226,клиенты!$A$2:$G$435,5,FALSE)</f>
        <v>44905</v>
      </c>
      <c r="P226">
        <f>Продажи[[#This Row],[дата создания чека]]-Продажи[[#This Row],[Дата регистрации клиента]]</f>
        <v>446</v>
      </c>
      <c r="Q226" t="str">
        <f>VLOOKUP(H226,Таблица3[],7,FALSE)</f>
        <v>Украина</v>
      </c>
    </row>
    <row r="227" spans="1:17" x14ac:dyDescent="0.3">
      <c r="A227">
        <v>226</v>
      </c>
      <c r="B227">
        <v>317</v>
      </c>
      <c r="C227">
        <v>196</v>
      </c>
      <c r="D227">
        <v>2</v>
      </c>
      <c r="E227">
        <v>392</v>
      </c>
      <c r="F227" s="32">
        <v>45430</v>
      </c>
      <c r="G227" t="s">
        <v>22</v>
      </c>
      <c r="H227">
        <v>327</v>
      </c>
      <c r="I227" t="str">
        <f>VLOOKUP(B227,товар!$A$1:$C$433,2,FALSE)</f>
        <v>Сок</v>
      </c>
      <c r="J227" s="22">
        <f t="shared" si="12"/>
        <v>268.60344827586209</v>
      </c>
      <c r="K227" s="24">
        <f t="shared" si="13"/>
        <v>-0.27029976250080245</v>
      </c>
      <c r="L227" t="str">
        <f>VLOOKUP(B227,товар!$A$1:$C$433,3,FALSE)</f>
        <v>Фруктовый сад</v>
      </c>
      <c r="M227" s="24">
        <f t="shared" si="14"/>
        <v>-0.30488750969743983</v>
      </c>
      <c r="N227" s="29">
        <f t="shared" si="15"/>
        <v>281.96875</v>
      </c>
      <c r="O227" s="32">
        <f>VLOOKUP(H227,клиенты!$A$2:$G$435,5,FALSE)</f>
        <v>44565</v>
      </c>
      <c r="P227">
        <f>Продажи[[#This Row],[дата создания чека]]-Продажи[[#This Row],[Дата регистрации клиента]]</f>
        <v>865</v>
      </c>
      <c r="Q227" t="str">
        <f>VLOOKUP(H227,Таблица3[],7,FALSE)</f>
        <v>Таджикистан</v>
      </c>
    </row>
    <row r="228" spans="1:17" x14ac:dyDescent="0.3">
      <c r="A228">
        <v>227</v>
      </c>
      <c r="B228">
        <v>131</v>
      </c>
      <c r="C228">
        <v>376</v>
      </c>
      <c r="D228">
        <v>1</v>
      </c>
      <c r="E228">
        <v>376</v>
      </c>
      <c r="F228" s="32">
        <v>45427</v>
      </c>
      <c r="G228" t="s">
        <v>17</v>
      </c>
      <c r="H228">
        <v>275</v>
      </c>
      <c r="I228" t="str">
        <f>VLOOKUP(B228,товар!$A$1:$C$433,2,FALSE)</f>
        <v>Сок</v>
      </c>
      <c r="J228" s="22">
        <f t="shared" si="12"/>
        <v>268.60344827586209</v>
      </c>
      <c r="K228" s="24">
        <f t="shared" si="13"/>
        <v>0.39983310867193</v>
      </c>
      <c r="L228" t="str">
        <f>VLOOKUP(B228,товар!$A$1:$C$433,3,FALSE)</f>
        <v>Сады Придонья</v>
      </c>
      <c r="M228" s="24">
        <f t="shared" si="14"/>
        <v>0.4792560801144492</v>
      </c>
      <c r="N228" s="29">
        <f t="shared" si="15"/>
        <v>254.18181818181819</v>
      </c>
      <c r="O228" s="32">
        <f>VLOOKUP(H228,клиенты!$A$2:$G$435,5,FALSE)</f>
        <v>44651</v>
      </c>
      <c r="P228">
        <f>Продажи[[#This Row],[дата создания чека]]-Продажи[[#This Row],[Дата регистрации клиента]]</f>
        <v>776</v>
      </c>
      <c r="Q228" t="str">
        <f>VLOOKUP(H228,Таблица3[],7,FALSE)</f>
        <v>Таджикистан</v>
      </c>
    </row>
    <row r="229" spans="1:17" x14ac:dyDescent="0.3">
      <c r="A229">
        <v>228</v>
      </c>
      <c r="B229">
        <v>96</v>
      </c>
      <c r="C229">
        <v>362</v>
      </c>
      <c r="D229">
        <v>4</v>
      </c>
      <c r="E229">
        <v>1448</v>
      </c>
      <c r="F229" s="32">
        <v>45398</v>
      </c>
      <c r="G229" t="s">
        <v>9</v>
      </c>
      <c r="H229">
        <v>330</v>
      </c>
      <c r="I229" t="str">
        <f>VLOOKUP(B229,товар!$A$1:$C$433,2,FALSE)</f>
        <v>Соль</v>
      </c>
      <c r="J229" s="22">
        <f t="shared" si="12"/>
        <v>264.8679245283019</v>
      </c>
      <c r="K229" s="24">
        <f t="shared" si="13"/>
        <v>0.36671890582704081</v>
      </c>
      <c r="L229" t="str">
        <f>VLOOKUP(B229,товар!$A$1:$C$433,3,FALSE)</f>
        <v>Салта</v>
      </c>
      <c r="M229" s="24">
        <f t="shared" si="14"/>
        <v>0.32261600292290837</v>
      </c>
      <c r="N229" s="29">
        <f t="shared" si="15"/>
        <v>273.7</v>
      </c>
      <c r="O229" s="32">
        <f>VLOOKUP(H229,клиенты!$A$2:$G$435,5,FALSE)</f>
        <v>44815</v>
      </c>
      <c r="P229">
        <f>Продажи[[#This Row],[дата создания чека]]-Продажи[[#This Row],[Дата регистрации клиента]]</f>
        <v>583</v>
      </c>
      <c r="Q229" t="str">
        <f>VLOOKUP(H229,Таблица3[],7,FALSE)</f>
        <v>Узбекистан</v>
      </c>
    </row>
    <row r="230" spans="1:17" x14ac:dyDescent="0.3">
      <c r="A230">
        <v>229</v>
      </c>
      <c r="B230">
        <v>311</v>
      </c>
      <c r="C230">
        <v>345</v>
      </c>
      <c r="D230">
        <v>5</v>
      </c>
      <c r="E230">
        <v>1725</v>
      </c>
      <c r="F230" s="32">
        <v>45421</v>
      </c>
      <c r="G230" t="s">
        <v>23</v>
      </c>
      <c r="H230">
        <v>177</v>
      </c>
      <c r="I230" t="str">
        <f>VLOOKUP(B230,товар!$A$1:$C$433,2,FALSE)</f>
        <v>Макароны</v>
      </c>
      <c r="J230" s="22">
        <f t="shared" si="12"/>
        <v>265.47674418604652</v>
      </c>
      <c r="K230" s="24">
        <f t="shared" si="13"/>
        <v>0.29954885900748973</v>
      </c>
      <c r="L230" t="str">
        <f>VLOOKUP(B230,товар!$A$1:$C$433,3,FALSE)</f>
        <v>Паста Зара</v>
      </c>
      <c r="M230" s="24">
        <f t="shared" si="14"/>
        <v>0.24694734785581707</v>
      </c>
      <c r="N230" s="29">
        <f t="shared" si="15"/>
        <v>276.67567567567568</v>
      </c>
      <c r="O230" s="32">
        <f>VLOOKUP(H230,клиенты!$A$2:$G$435,5,FALSE)</f>
        <v>44857</v>
      </c>
      <c r="P230">
        <f>Продажи[[#This Row],[дата создания чека]]-Продажи[[#This Row],[Дата регистрации клиента]]</f>
        <v>564</v>
      </c>
      <c r="Q230" t="str">
        <f>VLOOKUP(H230,Таблица3[],7,FALSE)</f>
        <v>Таджикистан</v>
      </c>
    </row>
    <row r="231" spans="1:17" x14ac:dyDescent="0.3">
      <c r="A231">
        <v>230</v>
      </c>
      <c r="B231">
        <v>268</v>
      </c>
      <c r="C231">
        <v>81</v>
      </c>
      <c r="D231">
        <v>3</v>
      </c>
      <c r="E231">
        <v>243</v>
      </c>
      <c r="F231" s="32">
        <v>45106</v>
      </c>
      <c r="G231" t="s">
        <v>25</v>
      </c>
      <c r="H231">
        <v>407</v>
      </c>
      <c r="I231" t="str">
        <f>VLOOKUP(B231,товар!$A$1:$C$433,2,FALSE)</f>
        <v>Рис</v>
      </c>
      <c r="J231" s="22">
        <f t="shared" si="12"/>
        <v>258.375</v>
      </c>
      <c r="K231" s="24">
        <f t="shared" si="13"/>
        <v>-0.68650217706821481</v>
      </c>
      <c r="L231" t="str">
        <f>VLOOKUP(B231,товар!$A$1:$C$433,3,FALSE)</f>
        <v>Мистраль</v>
      </c>
      <c r="M231" s="24">
        <f t="shared" si="14"/>
        <v>-0.55389457120377661</v>
      </c>
      <c r="N231" s="29">
        <f t="shared" si="15"/>
        <v>181.57142857142858</v>
      </c>
      <c r="O231" s="32">
        <f>VLOOKUP(H231,клиенты!$A$2:$G$435,5,FALSE)</f>
        <v>44621</v>
      </c>
      <c r="P231">
        <f>Продажи[[#This Row],[дата создания чека]]-Продажи[[#This Row],[Дата регистрации клиента]]</f>
        <v>485</v>
      </c>
      <c r="Q231" t="str">
        <f>VLOOKUP(H231,Таблица3[],7,FALSE)</f>
        <v>Беларусь</v>
      </c>
    </row>
    <row r="232" spans="1:17" x14ac:dyDescent="0.3">
      <c r="A232">
        <v>231</v>
      </c>
      <c r="B232">
        <v>495</v>
      </c>
      <c r="C232">
        <v>97</v>
      </c>
      <c r="D232">
        <v>4</v>
      </c>
      <c r="E232">
        <v>388</v>
      </c>
      <c r="F232" s="32">
        <v>45409</v>
      </c>
      <c r="G232" t="s">
        <v>12</v>
      </c>
      <c r="H232">
        <v>181</v>
      </c>
      <c r="I232" t="str">
        <f>VLOOKUP(B232,товар!$A$1:$C$433,2,FALSE)</f>
        <v>Чай</v>
      </c>
      <c r="J232" s="22">
        <f t="shared" si="12"/>
        <v>271.18181818181819</v>
      </c>
      <c r="K232" s="24">
        <f t="shared" si="13"/>
        <v>-0.64230640295005026</v>
      </c>
      <c r="L232" t="str">
        <f>VLOOKUP(B232,товар!$A$1:$C$433,3,FALSE)</f>
        <v>Greenfield</v>
      </c>
      <c r="M232" s="24">
        <f t="shared" si="14"/>
        <v>-0.66718652526512789</v>
      </c>
      <c r="N232" s="29">
        <f t="shared" si="15"/>
        <v>291.45454545454544</v>
      </c>
      <c r="O232" s="32">
        <f>VLOOKUP(H232,клиенты!$A$2:$G$435,5,FALSE)</f>
        <v>44568</v>
      </c>
      <c r="P232">
        <f>Продажи[[#This Row],[дата создания чека]]-Продажи[[#This Row],[Дата регистрации клиента]]</f>
        <v>841</v>
      </c>
      <c r="Q232" t="str">
        <f>VLOOKUP(H232,Таблица3[],7,FALSE)</f>
        <v>Украина</v>
      </c>
    </row>
    <row r="233" spans="1:17" x14ac:dyDescent="0.3">
      <c r="A233">
        <v>232</v>
      </c>
      <c r="B233">
        <v>436</v>
      </c>
      <c r="C233">
        <v>184</v>
      </c>
      <c r="D233">
        <v>4</v>
      </c>
      <c r="E233">
        <v>736</v>
      </c>
      <c r="F233" s="32">
        <v>45147</v>
      </c>
      <c r="G233" t="s">
        <v>10</v>
      </c>
      <c r="H233">
        <v>166</v>
      </c>
      <c r="I233" t="str">
        <f>VLOOKUP(B233,товар!$A$1:$C$433,2,FALSE)</f>
        <v>Овощи</v>
      </c>
      <c r="J233" s="22">
        <f t="shared" si="12"/>
        <v>250.48780487804879</v>
      </c>
      <c r="K233" s="24">
        <f t="shared" si="13"/>
        <v>-0.26543330087633887</v>
      </c>
      <c r="L233" t="str">
        <f>VLOOKUP(B233,товар!$A$1:$C$433,3,FALSE)</f>
        <v>Гавриш</v>
      </c>
      <c r="M233" s="24">
        <f t="shared" si="14"/>
        <v>-0.25706594885598921</v>
      </c>
      <c r="N233" s="29">
        <f t="shared" si="15"/>
        <v>247.66666666666666</v>
      </c>
      <c r="O233" s="32">
        <f>VLOOKUP(H233,клиенты!$A$2:$G$435,5,FALSE)</f>
        <v>44796</v>
      </c>
      <c r="P233">
        <f>Продажи[[#This Row],[дата создания чека]]-Продажи[[#This Row],[Дата регистрации клиента]]</f>
        <v>351</v>
      </c>
      <c r="Q233" t="str">
        <f>VLOOKUP(H233,Таблица3[],7,FALSE)</f>
        <v>Узбекистан</v>
      </c>
    </row>
    <row r="234" spans="1:17" x14ac:dyDescent="0.3">
      <c r="A234">
        <v>233</v>
      </c>
      <c r="B234">
        <v>358</v>
      </c>
      <c r="C234">
        <v>172</v>
      </c>
      <c r="D234">
        <v>1</v>
      </c>
      <c r="E234">
        <v>172</v>
      </c>
      <c r="F234" s="32">
        <v>45379</v>
      </c>
      <c r="G234" t="s">
        <v>23</v>
      </c>
      <c r="H234">
        <v>478</v>
      </c>
      <c r="I234" t="str">
        <f>VLOOKUP(B234,товар!$A$1:$C$433,2,FALSE)</f>
        <v>Конфеты</v>
      </c>
      <c r="J234" s="22">
        <f t="shared" si="12"/>
        <v>267.85483870967744</v>
      </c>
      <c r="K234" s="24">
        <f t="shared" si="13"/>
        <v>-0.3578611428915518</v>
      </c>
      <c r="L234" t="str">
        <f>VLOOKUP(B234,товар!$A$1:$C$433,3,FALSE)</f>
        <v>Славянка</v>
      </c>
      <c r="M234" s="24">
        <f t="shared" si="14"/>
        <v>-0.35820895522388063</v>
      </c>
      <c r="N234" s="29">
        <f t="shared" si="15"/>
        <v>268</v>
      </c>
      <c r="O234" s="32">
        <f>VLOOKUP(H234,клиенты!$A$2:$G$435,5,FALSE)</f>
        <v>44726</v>
      </c>
      <c r="P234">
        <f>Продажи[[#This Row],[дата создания чека]]-Продажи[[#This Row],[Дата регистрации клиента]]</f>
        <v>653</v>
      </c>
      <c r="Q234" t="str">
        <f>VLOOKUP(H234,Таблица3[],7,FALSE)</f>
        <v>Украина</v>
      </c>
    </row>
    <row r="235" spans="1:17" x14ac:dyDescent="0.3">
      <c r="A235">
        <v>234</v>
      </c>
      <c r="B235">
        <v>160</v>
      </c>
      <c r="C235">
        <v>288</v>
      </c>
      <c r="D235">
        <v>2</v>
      </c>
      <c r="E235">
        <v>576</v>
      </c>
      <c r="F235" s="32">
        <v>44996</v>
      </c>
      <c r="G235" t="s">
        <v>18</v>
      </c>
      <c r="H235">
        <v>429</v>
      </c>
      <c r="I235" t="str">
        <f>VLOOKUP(B235,товар!$A$1:$C$433,2,FALSE)</f>
        <v>Крупа</v>
      </c>
      <c r="J235" s="22">
        <f t="shared" si="12"/>
        <v>255.11627906976744</v>
      </c>
      <c r="K235" s="24">
        <f t="shared" si="13"/>
        <v>0.12889699179580671</v>
      </c>
      <c r="L235" t="str">
        <f>VLOOKUP(B235,товар!$A$1:$C$433,3,FALSE)</f>
        <v>Мистраль</v>
      </c>
      <c r="M235" s="24">
        <f t="shared" si="14"/>
        <v>0.15058389674247064</v>
      </c>
      <c r="N235" s="29">
        <f t="shared" si="15"/>
        <v>250.30769230769232</v>
      </c>
      <c r="O235" s="32">
        <f>VLOOKUP(H235,клиенты!$A$2:$G$435,5,FALSE)</f>
        <v>44625</v>
      </c>
      <c r="P235">
        <f>Продажи[[#This Row],[дата создания чека]]-Продажи[[#This Row],[Дата регистрации клиента]]</f>
        <v>371</v>
      </c>
      <c r="Q235" t="str">
        <f>VLOOKUP(H235,Таблица3[],7,FALSE)</f>
        <v>Таджикистан</v>
      </c>
    </row>
    <row r="236" spans="1:17" x14ac:dyDescent="0.3">
      <c r="A236">
        <v>235</v>
      </c>
      <c r="B236">
        <v>23</v>
      </c>
      <c r="C236">
        <v>174</v>
      </c>
      <c r="D236">
        <v>3</v>
      </c>
      <c r="E236">
        <v>522</v>
      </c>
      <c r="F236" s="32">
        <v>45396</v>
      </c>
      <c r="G236" t="s">
        <v>21</v>
      </c>
      <c r="H236">
        <v>181</v>
      </c>
      <c r="I236" t="str">
        <f>VLOOKUP(B236,товар!$A$1:$C$433,2,FALSE)</f>
        <v>Рыба</v>
      </c>
      <c r="J236" s="22">
        <f t="shared" si="12"/>
        <v>258.5128205128205</v>
      </c>
      <c r="K236" s="24">
        <f t="shared" si="13"/>
        <v>-0.32691926205118027</v>
      </c>
      <c r="L236" t="str">
        <f>VLOOKUP(B236,товар!$A$1:$C$433,3,FALSE)</f>
        <v>Санта Бремор</v>
      </c>
      <c r="M236" s="24">
        <f t="shared" si="14"/>
        <v>-0.1959334565619224</v>
      </c>
      <c r="N236" s="29">
        <f t="shared" si="15"/>
        <v>216.4</v>
      </c>
      <c r="O236" s="32">
        <f>VLOOKUP(H236,клиенты!$A$2:$G$435,5,FALSE)</f>
        <v>44568</v>
      </c>
      <c r="P236">
        <f>Продажи[[#This Row],[дата создания чека]]-Продажи[[#This Row],[Дата регистрации клиента]]</f>
        <v>828</v>
      </c>
      <c r="Q236" t="str">
        <f>VLOOKUP(H236,Таблица3[],7,FALSE)</f>
        <v>Украина</v>
      </c>
    </row>
    <row r="237" spans="1:17" x14ac:dyDescent="0.3">
      <c r="A237">
        <v>236</v>
      </c>
      <c r="B237">
        <v>49</v>
      </c>
      <c r="C237">
        <v>292</v>
      </c>
      <c r="D237">
        <v>3</v>
      </c>
      <c r="E237">
        <v>876</v>
      </c>
      <c r="F237" s="32">
        <v>45059</v>
      </c>
      <c r="G237" t="s">
        <v>9</v>
      </c>
      <c r="H237">
        <v>431</v>
      </c>
      <c r="I237" t="str">
        <f>VLOOKUP(B237,товар!$A$1:$C$433,2,FALSE)</f>
        <v>Рис</v>
      </c>
      <c r="J237" s="22">
        <f t="shared" si="12"/>
        <v>258.375</v>
      </c>
      <c r="K237" s="24">
        <f t="shared" si="13"/>
        <v>0.1301402999516208</v>
      </c>
      <c r="L237" t="str">
        <f>VLOOKUP(B237,товар!$A$1:$C$433,3,FALSE)</f>
        <v>Агро-Альянс</v>
      </c>
      <c r="M237" s="24">
        <f t="shared" si="14"/>
        <v>-8.1348314606741523E-2</v>
      </c>
      <c r="N237" s="29">
        <f t="shared" si="15"/>
        <v>317.85714285714283</v>
      </c>
      <c r="O237" s="32">
        <f>VLOOKUP(H237,клиенты!$A$2:$G$435,5,FALSE)</f>
        <v>44623</v>
      </c>
      <c r="P237">
        <f>Продажи[[#This Row],[дата создания чека]]-Продажи[[#This Row],[Дата регистрации клиента]]</f>
        <v>436</v>
      </c>
      <c r="Q237" t="str">
        <f>VLOOKUP(H237,Таблица3[],7,FALSE)</f>
        <v>Россия</v>
      </c>
    </row>
    <row r="238" spans="1:17" x14ac:dyDescent="0.3">
      <c r="A238">
        <v>237</v>
      </c>
      <c r="B238">
        <v>485</v>
      </c>
      <c r="C238">
        <v>243</v>
      </c>
      <c r="D238">
        <v>3</v>
      </c>
      <c r="E238">
        <v>729</v>
      </c>
      <c r="F238" s="32">
        <v>44987</v>
      </c>
      <c r="G238" t="s">
        <v>21</v>
      </c>
      <c r="H238">
        <v>34</v>
      </c>
      <c r="I238" t="str">
        <f>VLOOKUP(B238,товар!$A$1:$C$433,2,FALSE)</f>
        <v>Макароны</v>
      </c>
      <c r="J238" s="22">
        <f t="shared" si="12"/>
        <v>265.47674418604652</v>
      </c>
      <c r="K238" s="24">
        <f t="shared" si="13"/>
        <v>-8.4665586264289772E-2</v>
      </c>
      <c r="L238" t="str">
        <f>VLOOKUP(B238,товар!$A$1:$C$433,3,FALSE)</f>
        <v>Борилла</v>
      </c>
      <c r="M238" s="24">
        <f t="shared" si="14"/>
        <v>2.8458844133099737E-2</v>
      </c>
      <c r="N238" s="29">
        <f t="shared" si="15"/>
        <v>236.27586206896552</v>
      </c>
      <c r="O238" s="32">
        <f>VLOOKUP(H238,клиенты!$A$2:$G$435,5,FALSE)</f>
        <v>44654</v>
      </c>
      <c r="P238">
        <f>Продажи[[#This Row],[дата создания чека]]-Продажи[[#This Row],[Дата регистрации клиента]]</f>
        <v>333</v>
      </c>
      <c r="Q238" t="str">
        <f>VLOOKUP(H238,Таблица3[],7,FALSE)</f>
        <v>Таджикистан</v>
      </c>
    </row>
    <row r="239" spans="1:17" x14ac:dyDescent="0.3">
      <c r="A239">
        <v>238</v>
      </c>
      <c r="B239">
        <v>131</v>
      </c>
      <c r="C239">
        <v>382</v>
      </c>
      <c r="D239">
        <v>5</v>
      </c>
      <c r="E239">
        <v>1910</v>
      </c>
      <c r="F239" s="32">
        <v>45365</v>
      </c>
      <c r="G239" t="s">
        <v>13</v>
      </c>
      <c r="H239">
        <v>147</v>
      </c>
      <c r="I239" t="str">
        <f>VLOOKUP(B239,товар!$A$1:$C$433,2,FALSE)</f>
        <v>Сок</v>
      </c>
      <c r="J239" s="22">
        <f t="shared" si="12"/>
        <v>268.60344827586209</v>
      </c>
      <c r="K239" s="24">
        <f t="shared" si="13"/>
        <v>0.42217087104435436</v>
      </c>
      <c r="L239" t="str">
        <f>VLOOKUP(B239,товар!$A$1:$C$433,3,FALSE)</f>
        <v>Сады Придонья</v>
      </c>
      <c r="M239" s="24">
        <f t="shared" si="14"/>
        <v>0.5028612303290414</v>
      </c>
      <c r="N239" s="29">
        <f t="shared" si="15"/>
        <v>254.18181818181819</v>
      </c>
      <c r="O239" s="32">
        <f>VLOOKUP(H239,клиенты!$A$2:$G$435,5,FALSE)</f>
        <v>44827</v>
      </c>
      <c r="P239">
        <f>Продажи[[#This Row],[дата создания чека]]-Продажи[[#This Row],[Дата регистрации клиента]]</f>
        <v>538</v>
      </c>
      <c r="Q239" t="str">
        <f>VLOOKUP(H239,Таблица3[],7,FALSE)</f>
        <v>Россия</v>
      </c>
    </row>
    <row r="240" spans="1:17" x14ac:dyDescent="0.3">
      <c r="A240">
        <v>239</v>
      </c>
      <c r="B240">
        <v>270</v>
      </c>
      <c r="C240">
        <v>308</v>
      </c>
      <c r="D240">
        <v>1</v>
      </c>
      <c r="E240">
        <v>308</v>
      </c>
      <c r="F240" s="32">
        <v>45322</v>
      </c>
      <c r="G240" t="s">
        <v>9</v>
      </c>
      <c r="H240">
        <v>496</v>
      </c>
      <c r="I240" t="str">
        <f>VLOOKUP(B240,товар!$A$1:$C$433,2,FALSE)</f>
        <v>Соль</v>
      </c>
      <c r="J240" s="22">
        <f t="shared" si="12"/>
        <v>264.8679245283019</v>
      </c>
      <c r="K240" s="24">
        <f t="shared" si="13"/>
        <v>0.16284370993018937</v>
      </c>
      <c r="L240" t="str">
        <f>VLOOKUP(B240,товар!$A$1:$C$433,3,FALSE)</f>
        <v>Славянская</v>
      </c>
      <c r="M240" s="24">
        <f t="shared" si="14"/>
        <v>0.30003517411185365</v>
      </c>
      <c r="N240" s="29">
        <f t="shared" si="15"/>
        <v>236.91666666666666</v>
      </c>
      <c r="O240" s="32">
        <f>VLOOKUP(H240,клиенты!$A$2:$G$435,5,FALSE)</f>
        <v>44867</v>
      </c>
      <c r="P240">
        <f>Продажи[[#This Row],[дата создания чека]]-Продажи[[#This Row],[Дата регистрации клиента]]</f>
        <v>455</v>
      </c>
      <c r="Q240" t="str">
        <f>VLOOKUP(H240,Таблица3[],7,FALSE)</f>
        <v>Украина</v>
      </c>
    </row>
    <row r="241" spans="1:17" x14ac:dyDescent="0.3">
      <c r="A241">
        <v>240</v>
      </c>
      <c r="B241">
        <v>345</v>
      </c>
      <c r="C241">
        <v>357</v>
      </c>
      <c r="D241">
        <v>4</v>
      </c>
      <c r="E241">
        <v>1428</v>
      </c>
      <c r="F241" s="32">
        <v>45057</v>
      </c>
      <c r="G241" t="s">
        <v>22</v>
      </c>
      <c r="H241">
        <v>202</v>
      </c>
      <c r="I241" t="str">
        <f>VLOOKUP(B241,товар!$A$1:$C$433,2,FALSE)</f>
        <v>Конфеты</v>
      </c>
      <c r="J241" s="22">
        <f t="shared" si="12"/>
        <v>267.85483870967744</v>
      </c>
      <c r="K241" s="24">
        <f t="shared" si="13"/>
        <v>0.33281146504486059</v>
      </c>
      <c r="L241" t="str">
        <f>VLOOKUP(B241,товар!$A$1:$C$433,3,FALSE)</f>
        <v>Рот Фронт</v>
      </c>
      <c r="M241" s="24">
        <f t="shared" si="14"/>
        <v>0.23855939203700638</v>
      </c>
      <c r="N241" s="29">
        <f t="shared" si="15"/>
        <v>288.23809523809524</v>
      </c>
      <c r="O241" s="32">
        <f>VLOOKUP(H241,клиенты!$A$2:$G$435,5,FALSE)</f>
        <v>44766</v>
      </c>
      <c r="P241">
        <f>Продажи[[#This Row],[дата создания чека]]-Продажи[[#This Row],[Дата регистрации клиента]]</f>
        <v>291</v>
      </c>
      <c r="Q241" t="str">
        <f>VLOOKUP(H241,Таблица3[],7,FALSE)</f>
        <v>Беларусь</v>
      </c>
    </row>
    <row r="242" spans="1:17" x14ac:dyDescent="0.3">
      <c r="A242">
        <v>241</v>
      </c>
      <c r="B242">
        <v>40</v>
      </c>
      <c r="C242">
        <v>82</v>
      </c>
      <c r="D242">
        <v>1</v>
      </c>
      <c r="E242">
        <v>82</v>
      </c>
      <c r="F242" s="32">
        <v>45011</v>
      </c>
      <c r="G242" t="s">
        <v>12</v>
      </c>
      <c r="H242">
        <v>312</v>
      </c>
      <c r="I242" t="str">
        <f>VLOOKUP(B242,товар!$A$1:$C$433,2,FALSE)</f>
        <v>Колбаса</v>
      </c>
      <c r="J242" s="22">
        <f t="shared" si="12"/>
        <v>286.92307692307691</v>
      </c>
      <c r="K242" s="24">
        <f t="shared" si="13"/>
        <v>-0.71420911528150133</v>
      </c>
      <c r="L242" t="str">
        <f>VLOOKUP(B242,товар!$A$1:$C$433,3,FALSE)</f>
        <v>Микоян</v>
      </c>
      <c r="M242" s="24">
        <f t="shared" si="14"/>
        <v>0</v>
      </c>
      <c r="N242" s="29">
        <f t="shared" si="15"/>
        <v>82</v>
      </c>
      <c r="O242" s="32">
        <f>VLOOKUP(H242,клиенты!$A$2:$G$435,5,FALSE)</f>
        <v>44886</v>
      </c>
      <c r="P242">
        <f>Продажи[[#This Row],[дата создания чека]]-Продажи[[#This Row],[Дата регистрации клиента]]</f>
        <v>125</v>
      </c>
      <c r="Q242" t="str">
        <f>VLOOKUP(H242,Таблица3[],7,FALSE)</f>
        <v>Россия</v>
      </c>
    </row>
    <row r="243" spans="1:17" x14ac:dyDescent="0.3">
      <c r="A243">
        <v>242</v>
      </c>
      <c r="B243">
        <v>275</v>
      </c>
      <c r="C243">
        <v>219</v>
      </c>
      <c r="D243">
        <v>1</v>
      </c>
      <c r="E243">
        <v>219</v>
      </c>
      <c r="F243" s="32">
        <v>45028</v>
      </c>
      <c r="G243" t="s">
        <v>24</v>
      </c>
      <c r="H243">
        <v>41</v>
      </c>
      <c r="I243" t="str">
        <f>VLOOKUP(B243,товар!$A$1:$C$433,2,FALSE)</f>
        <v>Сыр</v>
      </c>
      <c r="J243" s="22">
        <f t="shared" si="12"/>
        <v>262.63492063492066</v>
      </c>
      <c r="K243" s="24">
        <f t="shared" si="13"/>
        <v>-0.16614287441073383</v>
      </c>
      <c r="L243" t="str">
        <f>VLOOKUP(B243,товар!$A$1:$C$433,3,FALSE)</f>
        <v>Сырная долина</v>
      </c>
      <c r="M243" s="24">
        <f t="shared" si="14"/>
        <v>-0.19188191881918815</v>
      </c>
      <c r="N243" s="29">
        <f t="shared" si="15"/>
        <v>271</v>
      </c>
      <c r="O243" s="32">
        <f>VLOOKUP(H243,клиенты!$A$2:$G$435,5,FALSE)</f>
        <v>44842</v>
      </c>
      <c r="P243">
        <f>Продажи[[#This Row],[дата создания чека]]-Продажи[[#This Row],[Дата регистрации клиента]]</f>
        <v>186</v>
      </c>
      <c r="Q243" t="str">
        <f>VLOOKUP(H243,Таблица3[],7,FALSE)</f>
        <v>Россия</v>
      </c>
    </row>
    <row r="244" spans="1:17" x14ac:dyDescent="0.3">
      <c r="A244">
        <v>243</v>
      </c>
      <c r="B244">
        <v>205</v>
      </c>
      <c r="C244">
        <v>117</v>
      </c>
      <c r="D244">
        <v>5</v>
      </c>
      <c r="E244">
        <v>585</v>
      </c>
      <c r="F244" s="32">
        <v>45006</v>
      </c>
      <c r="G244" t="s">
        <v>27</v>
      </c>
      <c r="H244">
        <v>389</v>
      </c>
      <c r="I244" t="str">
        <f>VLOOKUP(B244,товар!$A$1:$C$433,2,FALSE)</f>
        <v>Макароны</v>
      </c>
      <c r="J244" s="22">
        <f t="shared" si="12"/>
        <v>265.47674418604652</v>
      </c>
      <c r="K244" s="24">
        <f t="shared" si="13"/>
        <v>-0.559283430423547</v>
      </c>
      <c r="L244" t="str">
        <f>VLOOKUP(B244,товар!$A$1:$C$433,3,FALSE)</f>
        <v>Борилла</v>
      </c>
      <c r="M244" s="24">
        <f t="shared" si="14"/>
        <v>-0.50481611208406307</v>
      </c>
      <c r="N244" s="29">
        <f t="shared" si="15"/>
        <v>236.27586206896552</v>
      </c>
      <c r="O244" s="32">
        <f>VLOOKUP(H244,клиенты!$A$2:$G$435,5,FALSE)</f>
        <v>44876</v>
      </c>
      <c r="P244">
        <f>Продажи[[#This Row],[дата создания чека]]-Продажи[[#This Row],[Дата регистрации клиента]]</f>
        <v>130</v>
      </c>
      <c r="Q244" t="str">
        <f>VLOOKUP(H244,Таблица3[],7,FALSE)</f>
        <v>Россия</v>
      </c>
    </row>
    <row r="245" spans="1:17" x14ac:dyDescent="0.3">
      <c r="A245">
        <v>244</v>
      </c>
      <c r="B245">
        <v>219</v>
      </c>
      <c r="C245">
        <v>474</v>
      </c>
      <c r="D245">
        <v>5</v>
      </c>
      <c r="E245">
        <v>2370</v>
      </c>
      <c r="F245" s="32">
        <v>45300</v>
      </c>
      <c r="G245" t="s">
        <v>18</v>
      </c>
      <c r="H245">
        <v>24</v>
      </c>
      <c r="I245" t="str">
        <f>VLOOKUP(B245,товар!$A$1:$C$433,2,FALSE)</f>
        <v>Йогурт</v>
      </c>
      <c r="J245" s="22">
        <f t="shared" si="12"/>
        <v>263.25423728813558</v>
      </c>
      <c r="K245" s="24">
        <f t="shared" si="13"/>
        <v>0.80054081895441676</v>
      </c>
      <c r="L245" t="str">
        <f>VLOOKUP(B245,товар!$A$1:$C$433,3,FALSE)</f>
        <v>Чудо</v>
      </c>
      <c r="M245" s="24">
        <f t="shared" si="14"/>
        <v>0.65099268547544398</v>
      </c>
      <c r="N245" s="29">
        <f t="shared" si="15"/>
        <v>287.10000000000002</v>
      </c>
      <c r="O245" s="32">
        <f>VLOOKUP(H245,клиенты!$A$2:$G$435,5,FALSE)</f>
        <v>44609</v>
      </c>
      <c r="P245">
        <f>Продажи[[#This Row],[дата создания чека]]-Продажи[[#This Row],[Дата регистрации клиента]]</f>
        <v>691</v>
      </c>
      <c r="Q245" t="str">
        <f>VLOOKUP(H245,Таблица3[],7,FALSE)</f>
        <v>Узбекистан</v>
      </c>
    </row>
    <row r="246" spans="1:17" x14ac:dyDescent="0.3">
      <c r="A246">
        <v>245</v>
      </c>
      <c r="B246">
        <v>425</v>
      </c>
      <c r="C246">
        <v>334</v>
      </c>
      <c r="D246">
        <v>2</v>
      </c>
      <c r="E246">
        <v>668</v>
      </c>
      <c r="F246" s="32">
        <v>45187</v>
      </c>
      <c r="G246" t="s">
        <v>15</v>
      </c>
      <c r="H246">
        <v>25</v>
      </c>
      <c r="I246" t="str">
        <f>VLOOKUP(B246,товар!$A$1:$C$433,2,FALSE)</f>
        <v>Соль</v>
      </c>
      <c r="J246" s="22">
        <f t="shared" si="12"/>
        <v>264.8679245283019</v>
      </c>
      <c r="K246" s="24">
        <f t="shared" si="13"/>
        <v>0.2610058412879328</v>
      </c>
      <c r="L246" t="str">
        <f>VLOOKUP(B246,товар!$A$1:$C$433,3,FALSE)</f>
        <v>Экстра</v>
      </c>
      <c r="M246" s="24">
        <f t="shared" si="14"/>
        <v>4.0997362742747567E-2</v>
      </c>
      <c r="N246" s="29">
        <f t="shared" si="15"/>
        <v>320.84615384615387</v>
      </c>
      <c r="O246" s="32">
        <f>VLOOKUP(H246,клиенты!$A$2:$G$435,5,FALSE)</f>
        <v>44582</v>
      </c>
      <c r="P246">
        <f>Продажи[[#This Row],[дата создания чека]]-Продажи[[#This Row],[Дата регистрации клиента]]</f>
        <v>605</v>
      </c>
      <c r="Q246" t="str">
        <f>VLOOKUP(H246,Таблица3[],7,FALSE)</f>
        <v>Таджикистан</v>
      </c>
    </row>
    <row r="247" spans="1:17" x14ac:dyDescent="0.3">
      <c r="A247">
        <v>246</v>
      </c>
      <c r="B247">
        <v>452</v>
      </c>
      <c r="C247">
        <v>220</v>
      </c>
      <c r="D247">
        <v>5</v>
      </c>
      <c r="E247">
        <v>1100</v>
      </c>
      <c r="F247" s="32">
        <v>44951</v>
      </c>
      <c r="G247" t="s">
        <v>12</v>
      </c>
      <c r="H247">
        <v>411</v>
      </c>
      <c r="I247" t="str">
        <f>VLOOKUP(B247,товар!$A$1:$C$433,2,FALSE)</f>
        <v>Фрукты</v>
      </c>
      <c r="J247" s="22">
        <f t="shared" si="12"/>
        <v>274.16279069767444</v>
      </c>
      <c r="K247" s="24">
        <f t="shared" si="13"/>
        <v>-0.19755704470268898</v>
      </c>
      <c r="L247" t="str">
        <f>VLOOKUP(B247,товар!$A$1:$C$433,3,FALSE)</f>
        <v>Экзотик</v>
      </c>
      <c r="M247" s="24">
        <f t="shared" si="14"/>
        <v>-0.13279132791327908</v>
      </c>
      <c r="N247" s="29">
        <f t="shared" si="15"/>
        <v>253.6875</v>
      </c>
      <c r="O247" s="32">
        <f>VLOOKUP(H247,клиенты!$A$2:$G$435,5,FALSE)</f>
        <v>44673</v>
      </c>
      <c r="P247">
        <f>Продажи[[#This Row],[дата создания чека]]-Продажи[[#This Row],[Дата регистрации клиента]]</f>
        <v>278</v>
      </c>
      <c r="Q247" t="str">
        <f>VLOOKUP(H247,Таблица3[],7,FALSE)</f>
        <v>Таджикистан</v>
      </c>
    </row>
    <row r="248" spans="1:17" x14ac:dyDescent="0.3">
      <c r="A248">
        <v>247</v>
      </c>
      <c r="B248">
        <v>285</v>
      </c>
      <c r="C248">
        <v>282</v>
      </c>
      <c r="D248">
        <v>5</v>
      </c>
      <c r="E248">
        <v>1410</v>
      </c>
      <c r="F248" s="32">
        <v>45405</v>
      </c>
      <c r="G248" t="s">
        <v>24</v>
      </c>
      <c r="H248">
        <v>106</v>
      </c>
      <c r="I248" t="str">
        <f>VLOOKUP(B248,товар!$A$1:$C$433,2,FALSE)</f>
        <v>Макароны</v>
      </c>
      <c r="J248" s="22">
        <f t="shared" si="12"/>
        <v>265.47674418604652</v>
      </c>
      <c r="K248" s="24">
        <f t="shared" si="13"/>
        <v>6.2239936927861228E-2</v>
      </c>
      <c r="L248" t="str">
        <f>VLOOKUP(B248,товар!$A$1:$C$433,3,FALSE)</f>
        <v>Паста Зара</v>
      </c>
      <c r="M248" s="24">
        <f t="shared" si="14"/>
        <v>1.9243919116928687E-2</v>
      </c>
      <c r="N248" s="29">
        <f t="shared" si="15"/>
        <v>276.67567567567568</v>
      </c>
      <c r="O248" s="32">
        <f>VLOOKUP(H248,клиенты!$A$2:$G$435,5,FALSE)</f>
        <v>44858</v>
      </c>
      <c r="P248">
        <f>Продажи[[#This Row],[дата создания чека]]-Продажи[[#This Row],[Дата регистрации клиента]]</f>
        <v>547</v>
      </c>
      <c r="Q248" t="str">
        <f>VLOOKUP(H248,Таблица3[],7,FALSE)</f>
        <v>Украина</v>
      </c>
    </row>
    <row r="249" spans="1:17" x14ac:dyDescent="0.3">
      <c r="A249">
        <v>248</v>
      </c>
      <c r="B249">
        <v>435</v>
      </c>
      <c r="C249">
        <v>499</v>
      </c>
      <c r="D249">
        <v>5</v>
      </c>
      <c r="E249">
        <v>2495</v>
      </c>
      <c r="F249" s="32">
        <v>44942</v>
      </c>
      <c r="G249" t="s">
        <v>12</v>
      </c>
      <c r="H249">
        <v>175</v>
      </c>
      <c r="I249" t="str">
        <f>VLOOKUP(B249,товар!$A$1:$C$433,2,FALSE)</f>
        <v>Мясо</v>
      </c>
      <c r="J249" s="22">
        <f t="shared" si="12"/>
        <v>271.74545454545455</v>
      </c>
      <c r="K249" s="24">
        <f t="shared" si="13"/>
        <v>0.83627726482001874</v>
      </c>
      <c r="L249" t="str">
        <f>VLOOKUP(B249,товар!$A$1:$C$433,3,FALSE)</f>
        <v>Снежана</v>
      </c>
      <c r="M249" s="24">
        <f t="shared" si="14"/>
        <v>0.83218142548596097</v>
      </c>
      <c r="N249" s="29">
        <f t="shared" si="15"/>
        <v>272.35294117647061</v>
      </c>
      <c r="O249" s="32">
        <f>VLOOKUP(H249,клиенты!$A$2:$G$435,5,FALSE)</f>
        <v>44565</v>
      </c>
      <c r="P249">
        <f>Продажи[[#This Row],[дата создания чека]]-Продажи[[#This Row],[Дата регистрации клиента]]</f>
        <v>377</v>
      </c>
      <c r="Q249" t="str">
        <f>VLOOKUP(H249,Таблица3[],7,FALSE)</f>
        <v>Россия</v>
      </c>
    </row>
    <row r="250" spans="1:17" x14ac:dyDescent="0.3">
      <c r="A250">
        <v>249</v>
      </c>
      <c r="B250">
        <v>26</v>
      </c>
      <c r="C250">
        <v>170</v>
      </c>
      <c r="D250">
        <v>1</v>
      </c>
      <c r="E250">
        <v>170</v>
      </c>
      <c r="F250" s="32">
        <v>45139</v>
      </c>
      <c r="G250" t="s">
        <v>25</v>
      </c>
      <c r="H250">
        <v>286</v>
      </c>
      <c r="I250" t="str">
        <f>VLOOKUP(B250,товар!$A$1:$C$433,2,FALSE)</f>
        <v>Мясо</v>
      </c>
      <c r="J250" s="22">
        <f t="shared" si="12"/>
        <v>271.74545454545455</v>
      </c>
      <c r="K250" s="24">
        <f t="shared" si="13"/>
        <v>-0.37441455907935239</v>
      </c>
      <c r="L250" t="str">
        <f>VLOOKUP(B250,товар!$A$1:$C$433,3,FALSE)</f>
        <v>Сава</v>
      </c>
      <c r="M250" s="24">
        <f t="shared" si="14"/>
        <v>-0.2011747430249633</v>
      </c>
      <c r="N250" s="29">
        <f t="shared" si="15"/>
        <v>212.8125</v>
      </c>
      <c r="O250" s="32">
        <f>VLOOKUP(H250,клиенты!$A$2:$G$435,5,FALSE)</f>
        <v>44563</v>
      </c>
      <c r="P250">
        <f>Продажи[[#This Row],[дата создания чека]]-Продажи[[#This Row],[Дата регистрации клиента]]</f>
        <v>576</v>
      </c>
      <c r="Q250" t="str">
        <f>VLOOKUP(H250,Таблица3[],7,FALSE)</f>
        <v>Таджикистан</v>
      </c>
    </row>
    <row r="251" spans="1:17" x14ac:dyDescent="0.3">
      <c r="A251">
        <v>250</v>
      </c>
      <c r="B251">
        <v>157</v>
      </c>
      <c r="C251">
        <v>52</v>
      </c>
      <c r="D251">
        <v>1</v>
      </c>
      <c r="E251">
        <v>52</v>
      </c>
      <c r="F251" s="32">
        <v>44961</v>
      </c>
      <c r="G251" t="s">
        <v>8</v>
      </c>
      <c r="H251">
        <v>249</v>
      </c>
      <c r="I251" t="str">
        <f>VLOOKUP(B251,товар!$A$1:$C$433,2,FALSE)</f>
        <v>Сыр</v>
      </c>
      <c r="J251" s="22">
        <f t="shared" si="12"/>
        <v>262.63492063492066</v>
      </c>
      <c r="K251" s="24">
        <f t="shared" si="13"/>
        <v>-0.80200652725734312</v>
      </c>
      <c r="L251" t="str">
        <f>VLOOKUP(B251,товар!$A$1:$C$433,3,FALSE)</f>
        <v>President</v>
      </c>
      <c r="M251" s="24">
        <f t="shared" si="14"/>
        <v>-0.78217360949499648</v>
      </c>
      <c r="N251" s="29">
        <f t="shared" si="15"/>
        <v>238.72222222222223</v>
      </c>
      <c r="O251" s="32">
        <f>VLOOKUP(H251,клиенты!$A$2:$G$435,5,FALSE)</f>
        <v>44781</v>
      </c>
      <c r="P251">
        <f>Продажи[[#This Row],[дата создания чека]]-Продажи[[#This Row],[Дата регистрации клиента]]</f>
        <v>180</v>
      </c>
      <c r="Q251" t="str">
        <f>VLOOKUP(H251,Таблица3[],7,FALSE)</f>
        <v>Россия</v>
      </c>
    </row>
    <row r="252" spans="1:17" x14ac:dyDescent="0.3">
      <c r="A252">
        <v>251</v>
      </c>
      <c r="B252">
        <v>273</v>
      </c>
      <c r="C252">
        <v>156</v>
      </c>
      <c r="D252">
        <v>5</v>
      </c>
      <c r="E252">
        <v>780</v>
      </c>
      <c r="F252" s="32">
        <v>45029</v>
      </c>
      <c r="G252" t="s">
        <v>23</v>
      </c>
      <c r="H252">
        <v>168</v>
      </c>
      <c r="I252" t="str">
        <f>VLOOKUP(B252,товар!$A$1:$C$433,2,FALSE)</f>
        <v>Конфеты</v>
      </c>
      <c r="J252" s="22">
        <f t="shared" si="12"/>
        <v>267.85483870967744</v>
      </c>
      <c r="K252" s="24">
        <f t="shared" si="13"/>
        <v>-0.41759499006443068</v>
      </c>
      <c r="L252" t="str">
        <f>VLOOKUP(B252,товар!$A$1:$C$433,3,FALSE)</f>
        <v>Красный Октябрь</v>
      </c>
      <c r="M252" s="24">
        <f t="shared" si="14"/>
        <v>-0.42987665600730929</v>
      </c>
      <c r="N252" s="29">
        <f t="shared" si="15"/>
        <v>273.625</v>
      </c>
      <c r="O252" s="32">
        <f>VLOOKUP(H252,клиенты!$A$2:$G$435,5,FALSE)</f>
        <v>44706</v>
      </c>
      <c r="P252">
        <f>Продажи[[#This Row],[дата создания чека]]-Продажи[[#This Row],[Дата регистрации клиента]]</f>
        <v>323</v>
      </c>
      <c r="Q252" t="str">
        <f>VLOOKUP(H252,Таблица3[],7,FALSE)</f>
        <v>Узбекистан</v>
      </c>
    </row>
    <row r="253" spans="1:17" x14ac:dyDescent="0.3">
      <c r="A253">
        <v>252</v>
      </c>
      <c r="B253">
        <v>340</v>
      </c>
      <c r="C253">
        <v>450</v>
      </c>
      <c r="D253">
        <v>3</v>
      </c>
      <c r="E253">
        <v>1350</v>
      </c>
      <c r="F253" s="32">
        <v>44933</v>
      </c>
      <c r="G253" t="s">
        <v>15</v>
      </c>
      <c r="H253">
        <v>121</v>
      </c>
      <c r="I253" t="str">
        <f>VLOOKUP(B253,товар!$A$1:$C$433,2,FALSE)</f>
        <v>Сыр</v>
      </c>
      <c r="J253" s="22">
        <f t="shared" si="12"/>
        <v>262.63492063492066</v>
      </c>
      <c r="K253" s="24">
        <f t="shared" si="13"/>
        <v>0.71340505258068387</v>
      </c>
      <c r="L253" t="str">
        <f>VLOOKUP(B253,товар!$A$1:$C$433,3,FALSE)</f>
        <v>Карат</v>
      </c>
      <c r="M253" s="24">
        <f t="shared" si="14"/>
        <v>0.4453961456102784</v>
      </c>
      <c r="N253" s="29">
        <f t="shared" si="15"/>
        <v>311.33333333333331</v>
      </c>
      <c r="O253" s="32">
        <f>VLOOKUP(H253,клиенты!$A$2:$G$435,5,FALSE)</f>
        <v>44763</v>
      </c>
      <c r="P253">
        <f>Продажи[[#This Row],[дата создания чека]]-Продажи[[#This Row],[Дата регистрации клиента]]</f>
        <v>170</v>
      </c>
      <c r="Q253" t="str">
        <f>VLOOKUP(H253,Таблица3[],7,FALSE)</f>
        <v>Россия</v>
      </c>
    </row>
    <row r="254" spans="1:17" x14ac:dyDescent="0.3">
      <c r="A254">
        <v>253</v>
      </c>
      <c r="B254">
        <v>34</v>
      </c>
      <c r="C254">
        <v>366</v>
      </c>
      <c r="D254">
        <v>4</v>
      </c>
      <c r="E254">
        <v>1464</v>
      </c>
      <c r="F254" s="32">
        <v>45264</v>
      </c>
      <c r="G254" t="s">
        <v>14</v>
      </c>
      <c r="H254">
        <v>259</v>
      </c>
      <c r="I254" t="str">
        <f>VLOOKUP(B254,товар!$A$1:$C$433,2,FALSE)</f>
        <v>Крупа</v>
      </c>
      <c r="J254" s="22">
        <f t="shared" si="12"/>
        <v>255.11627906976744</v>
      </c>
      <c r="K254" s="24">
        <f t="shared" si="13"/>
        <v>0.4346399270738377</v>
      </c>
      <c r="L254" t="str">
        <f>VLOOKUP(B254,товар!$A$1:$C$433,3,FALSE)</f>
        <v>Ярмарка</v>
      </c>
      <c r="M254" s="24">
        <f t="shared" si="14"/>
        <v>0.45185719437432392</v>
      </c>
      <c r="N254" s="29">
        <f t="shared" si="15"/>
        <v>252.09090909090909</v>
      </c>
      <c r="O254" s="32">
        <f>VLOOKUP(H254,клиенты!$A$2:$G$435,5,FALSE)</f>
        <v>44707</v>
      </c>
      <c r="P254">
        <f>Продажи[[#This Row],[дата создания чека]]-Продажи[[#This Row],[Дата регистрации клиента]]</f>
        <v>557</v>
      </c>
      <c r="Q254" t="str">
        <f>VLOOKUP(H254,Таблица3[],7,FALSE)</f>
        <v>Беларусь</v>
      </c>
    </row>
    <row r="255" spans="1:17" x14ac:dyDescent="0.3">
      <c r="A255">
        <v>254</v>
      </c>
      <c r="B255">
        <v>296</v>
      </c>
      <c r="C255">
        <v>210</v>
      </c>
      <c r="D255">
        <v>1</v>
      </c>
      <c r="E255">
        <v>210</v>
      </c>
      <c r="F255" s="32">
        <v>45010</v>
      </c>
      <c r="G255" t="s">
        <v>9</v>
      </c>
      <c r="H255">
        <v>255</v>
      </c>
      <c r="I255" t="str">
        <f>VLOOKUP(B255,товар!$A$1:$C$433,2,FALSE)</f>
        <v>Крупа</v>
      </c>
      <c r="J255" s="22">
        <f t="shared" si="12"/>
        <v>255.11627906976744</v>
      </c>
      <c r="K255" s="24">
        <f t="shared" si="13"/>
        <v>-0.17684594348222427</v>
      </c>
      <c r="L255" t="str">
        <f>VLOOKUP(B255,товар!$A$1:$C$433,3,FALSE)</f>
        <v>Мистраль</v>
      </c>
      <c r="M255" s="24">
        <f t="shared" si="14"/>
        <v>-0.16103257529194837</v>
      </c>
      <c r="N255" s="29">
        <f t="shared" si="15"/>
        <v>250.30769230769232</v>
      </c>
      <c r="O255" s="32">
        <f>VLOOKUP(H255,клиенты!$A$2:$G$435,5,FALSE)</f>
        <v>44793</v>
      </c>
      <c r="P255">
        <f>Продажи[[#This Row],[дата создания чека]]-Продажи[[#This Row],[Дата регистрации клиента]]</f>
        <v>217</v>
      </c>
      <c r="Q255" t="str">
        <f>VLOOKUP(H255,Таблица3[],7,FALSE)</f>
        <v>Украина</v>
      </c>
    </row>
    <row r="256" spans="1:17" x14ac:dyDescent="0.3">
      <c r="A256">
        <v>255</v>
      </c>
      <c r="B256">
        <v>116</v>
      </c>
      <c r="C256">
        <v>379</v>
      </c>
      <c r="D256">
        <v>4</v>
      </c>
      <c r="E256">
        <v>1516</v>
      </c>
      <c r="F256" s="32">
        <v>45261</v>
      </c>
      <c r="G256" t="s">
        <v>22</v>
      </c>
      <c r="H256">
        <v>405</v>
      </c>
      <c r="I256" t="str">
        <f>VLOOKUP(B256,товар!$A$1:$C$433,2,FALSE)</f>
        <v>Соль</v>
      </c>
      <c r="J256" s="22">
        <f t="shared" si="12"/>
        <v>264.8679245283019</v>
      </c>
      <c r="K256" s="24">
        <f t="shared" si="13"/>
        <v>0.43090183786864222</v>
      </c>
      <c r="L256" t="str">
        <f>VLOOKUP(B256,товар!$A$1:$C$433,3,FALSE)</f>
        <v>Экстра</v>
      </c>
      <c r="M256" s="24">
        <f t="shared" si="14"/>
        <v>0.1812514984416207</v>
      </c>
      <c r="N256" s="29">
        <f t="shared" si="15"/>
        <v>320.84615384615387</v>
      </c>
      <c r="O256" s="32">
        <f>VLOOKUP(H256,клиенты!$A$2:$G$435,5,FALSE)</f>
        <v>44798</v>
      </c>
      <c r="P256">
        <f>Продажи[[#This Row],[дата создания чека]]-Продажи[[#This Row],[Дата регистрации клиента]]</f>
        <v>463</v>
      </c>
      <c r="Q256" t="str">
        <f>VLOOKUP(H256,Таблица3[],7,FALSE)</f>
        <v>Украина</v>
      </c>
    </row>
    <row r="257" spans="1:17" x14ac:dyDescent="0.3">
      <c r="A257">
        <v>256</v>
      </c>
      <c r="B257">
        <v>117</v>
      </c>
      <c r="C257">
        <v>102</v>
      </c>
      <c r="D257">
        <v>4</v>
      </c>
      <c r="E257">
        <v>408</v>
      </c>
      <c r="F257" s="32">
        <v>45329</v>
      </c>
      <c r="G257" t="s">
        <v>24</v>
      </c>
      <c r="H257">
        <v>376</v>
      </c>
      <c r="I257" t="str">
        <f>VLOOKUP(B257,товар!$A$1:$C$433,2,FALSE)</f>
        <v>Макароны</v>
      </c>
      <c r="J257" s="22">
        <f t="shared" si="12"/>
        <v>265.47674418604652</v>
      </c>
      <c r="K257" s="24">
        <f t="shared" si="13"/>
        <v>-0.61578555472822039</v>
      </c>
      <c r="L257" t="str">
        <f>VLOOKUP(B257,товар!$A$1:$C$433,3,FALSE)</f>
        <v>Роллтон</v>
      </c>
      <c r="M257" s="24">
        <f t="shared" si="14"/>
        <v>-0.56698113207547163</v>
      </c>
      <c r="N257" s="29">
        <f t="shared" si="15"/>
        <v>235.55555555555554</v>
      </c>
      <c r="O257" s="32">
        <f>VLOOKUP(H257,клиенты!$A$2:$G$435,5,FALSE)</f>
        <v>44730</v>
      </c>
      <c r="P257">
        <f>Продажи[[#This Row],[дата создания чека]]-Продажи[[#This Row],[Дата регистрации клиента]]</f>
        <v>599</v>
      </c>
      <c r="Q257" t="str">
        <f>VLOOKUP(H257,Таблица3[],7,FALSE)</f>
        <v>Беларусь</v>
      </c>
    </row>
    <row r="258" spans="1:17" x14ac:dyDescent="0.3">
      <c r="A258">
        <v>257</v>
      </c>
      <c r="B258">
        <v>239</v>
      </c>
      <c r="C258">
        <v>380</v>
      </c>
      <c r="D258">
        <v>5</v>
      </c>
      <c r="E258">
        <v>1900</v>
      </c>
      <c r="F258" s="32">
        <v>45129</v>
      </c>
      <c r="G258" t="s">
        <v>8</v>
      </c>
      <c r="H258">
        <v>489</v>
      </c>
      <c r="I258" t="str">
        <f>VLOOKUP(B258,товар!$A$1:$C$433,2,FALSE)</f>
        <v>Йогурт</v>
      </c>
      <c r="J258" s="22">
        <f t="shared" ref="J258:J321" si="16">AVERAGEIF($I$2:$I$1001,I258,$C$2:$C$1001)</f>
        <v>263.25423728813558</v>
      </c>
      <c r="K258" s="24">
        <f t="shared" ref="K258:K321" si="17">C258/J258-1</f>
        <v>0.44347154262168442</v>
      </c>
      <c r="L258" t="str">
        <f>VLOOKUP(B258,товар!$A$1:$C$433,3,FALSE)</f>
        <v>Эрманн</v>
      </c>
      <c r="M258" s="24">
        <f t="shared" ref="M258:M321" si="18">C258/N258-1</f>
        <v>0.52917505030181089</v>
      </c>
      <c r="N258" s="29">
        <f t="shared" ref="N258:N321" si="19">AVERAGEIFS($C$2:$C$1001,$I$2:$I$1001,I258,$L$2:$L$1001,L258)</f>
        <v>248.5</v>
      </c>
      <c r="O258" s="32">
        <f>VLOOKUP(H258,клиенты!$A$2:$G$435,5,FALSE)</f>
        <v>44587</v>
      </c>
      <c r="P258">
        <f>Продажи[[#This Row],[дата создания чека]]-Продажи[[#This Row],[Дата регистрации клиента]]</f>
        <v>542</v>
      </c>
      <c r="Q258" t="str">
        <f>VLOOKUP(H258,Таблица3[],7,FALSE)</f>
        <v>Россия</v>
      </c>
    </row>
    <row r="259" spans="1:17" x14ac:dyDescent="0.3">
      <c r="A259">
        <v>258</v>
      </c>
      <c r="B259">
        <v>201</v>
      </c>
      <c r="C259">
        <v>355</v>
      </c>
      <c r="D259">
        <v>5</v>
      </c>
      <c r="E259">
        <v>1775</v>
      </c>
      <c r="F259" s="32">
        <v>45343</v>
      </c>
      <c r="G259" t="s">
        <v>19</v>
      </c>
      <c r="H259">
        <v>483</v>
      </c>
      <c r="I259" t="str">
        <f>VLOOKUP(B259,товар!$A$1:$C$433,2,FALSE)</f>
        <v>Печенье</v>
      </c>
      <c r="J259" s="22">
        <f t="shared" si="16"/>
        <v>283.468085106383</v>
      </c>
      <c r="K259" s="24">
        <f t="shared" si="17"/>
        <v>0.25234556781505657</v>
      </c>
      <c r="L259" t="str">
        <f>VLOOKUP(B259,товар!$A$1:$C$433,3,FALSE)</f>
        <v>Белогорье</v>
      </c>
      <c r="M259" s="24">
        <f t="shared" si="18"/>
        <v>0.42284569138276562</v>
      </c>
      <c r="N259" s="29">
        <f t="shared" si="19"/>
        <v>249.5</v>
      </c>
      <c r="O259" s="32">
        <f>VLOOKUP(H259,клиенты!$A$2:$G$435,5,FALSE)</f>
        <v>44855</v>
      </c>
      <c r="P259">
        <f>Продажи[[#This Row],[дата создания чека]]-Продажи[[#This Row],[Дата регистрации клиента]]</f>
        <v>488</v>
      </c>
      <c r="Q259" t="str">
        <f>VLOOKUP(H259,Таблица3[],7,FALSE)</f>
        <v>Россия</v>
      </c>
    </row>
    <row r="260" spans="1:17" x14ac:dyDescent="0.3">
      <c r="A260">
        <v>259</v>
      </c>
      <c r="B260">
        <v>377</v>
      </c>
      <c r="C260">
        <v>403</v>
      </c>
      <c r="D260">
        <v>4</v>
      </c>
      <c r="E260">
        <v>1612</v>
      </c>
      <c r="F260" s="32">
        <v>45337</v>
      </c>
      <c r="G260" t="s">
        <v>24</v>
      </c>
      <c r="H260">
        <v>107</v>
      </c>
      <c r="I260" t="str">
        <f>VLOOKUP(B260,товар!$A$1:$C$433,2,FALSE)</f>
        <v>Колбаса</v>
      </c>
      <c r="J260" s="22">
        <f t="shared" si="16"/>
        <v>286.92307692307691</v>
      </c>
      <c r="K260" s="24">
        <f t="shared" si="17"/>
        <v>0.40455764075067036</v>
      </c>
      <c r="L260" t="str">
        <f>VLOOKUP(B260,товар!$A$1:$C$433,3,FALSE)</f>
        <v>Окраина</v>
      </c>
      <c r="M260" s="24">
        <f t="shared" si="18"/>
        <v>0.4730429485226928</v>
      </c>
      <c r="N260" s="29">
        <f t="shared" si="19"/>
        <v>273.58333333333331</v>
      </c>
      <c r="O260" s="32">
        <f>VLOOKUP(H260,клиенты!$A$2:$G$435,5,FALSE)</f>
        <v>44744</v>
      </c>
      <c r="P260">
        <f>Продажи[[#This Row],[дата создания чека]]-Продажи[[#This Row],[Дата регистрации клиента]]</f>
        <v>593</v>
      </c>
      <c r="Q260" t="str">
        <f>VLOOKUP(H260,Таблица3[],7,FALSE)</f>
        <v>Таджикистан</v>
      </c>
    </row>
    <row r="261" spans="1:17" x14ac:dyDescent="0.3">
      <c r="A261">
        <v>260</v>
      </c>
      <c r="B261">
        <v>485</v>
      </c>
      <c r="C261">
        <v>101</v>
      </c>
      <c r="D261">
        <v>1</v>
      </c>
      <c r="E261">
        <v>101</v>
      </c>
      <c r="F261" s="32">
        <v>45331</v>
      </c>
      <c r="G261" t="s">
        <v>21</v>
      </c>
      <c r="H261">
        <v>51</v>
      </c>
      <c r="I261" t="str">
        <f>VLOOKUP(B261,товар!$A$1:$C$433,2,FALSE)</f>
        <v>Макароны</v>
      </c>
      <c r="J261" s="22">
        <f t="shared" si="16"/>
        <v>265.47674418604652</v>
      </c>
      <c r="K261" s="24">
        <f t="shared" si="17"/>
        <v>-0.61955236301519867</v>
      </c>
      <c r="L261" t="str">
        <f>VLOOKUP(B261,товар!$A$1:$C$433,3,FALSE)</f>
        <v>Борилла</v>
      </c>
      <c r="M261" s="24">
        <f t="shared" si="18"/>
        <v>-0.57253356684179801</v>
      </c>
      <c r="N261" s="29">
        <f t="shared" si="19"/>
        <v>236.27586206896552</v>
      </c>
      <c r="O261" s="32">
        <f>VLOOKUP(H261,клиенты!$A$2:$G$435,5,FALSE)</f>
        <v>44605</v>
      </c>
      <c r="P261">
        <f>Продажи[[#This Row],[дата создания чека]]-Продажи[[#This Row],[Дата регистрации клиента]]</f>
        <v>726</v>
      </c>
      <c r="Q261" t="str">
        <f>VLOOKUP(H261,Таблица3[],7,FALSE)</f>
        <v>Узбекистан</v>
      </c>
    </row>
    <row r="262" spans="1:17" x14ac:dyDescent="0.3">
      <c r="A262">
        <v>261</v>
      </c>
      <c r="B262">
        <v>251</v>
      </c>
      <c r="C262">
        <v>294</v>
      </c>
      <c r="D262">
        <v>1</v>
      </c>
      <c r="E262">
        <v>294</v>
      </c>
      <c r="F262" s="32">
        <v>45082</v>
      </c>
      <c r="G262" t="s">
        <v>12</v>
      </c>
      <c r="H262">
        <v>47</v>
      </c>
      <c r="I262" t="str">
        <f>VLOOKUP(B262,товар!$A$1:$C$433,2,FALSE)</f>
        <v>Овощи</v>
      </c>
      <c r="J262" s="22">
        <f t="shared" si="16"/>
        <v>250.48780487804879</v>
      </c>
      <c r="K262" s="24">
        <f t="shared" si="17"/>
        <v>0.17370983446932819</v>
      </c>
      <c r="L262" t="str">
        <f>VLOOKUP(B262,товар!$A$1:$C$433,3,FALSE)</f>
        <v>Гавриш</v>
      </c>
      <c r="M262" s="24">
        <f t="shared" si="18"/>
        <v>0.18707940780619126</v>
      </c>
      <c r="N262" s="29">
        <f t="shared" si="19"/>
        <v>247.66666666666666</v>
      </c>
      <c r="O262" s="32">
        <f>VLOOKUP(H262,клиенты!$A$2:$G$435,5,FALSE)</f>
        <v>44693</v>
      </c>
      <c r="P262">
        <f>Продажи[[#This Row],[дата создания чека]]-Продажи[[#This Row],[Дата регистрации клиента]]</f>
        <v>389</v>
      </c>
      <c r="Q262" t="str">
        <f>VLOOKUP(H262,Таблица3[],7,FALSE)</f>
        <v>Беларусь</v>
      </c>
    </row>
    <row r="263" spans="1:17" x14ac:dyDescent="0.3">
      <c r="A263">
        <v>262</v>
      </c>
      <c r="B263">
        <v>409</v>
      </c>
      <c r="C263">
        <v>299</v>
      </c>
      <c r="D263">
        <v>1</v>
      </c>
      <c r="E263">
        <v>299</v>
      </c>
      <c r="F263" s="32">
        <v>45361</v>
      </c>
      <c r="G263" t="s">
        <v>10</v>
      </c>
      <c r="H263">
        <v>411</v>
      </c>
      <c r="I263" t="str">
        <f>VLOOKUP(B263,товар!$A$1:$C$433,2,FALSE)</f>
        <v>Фрукты</v>
      </c>
      <c r="J263" s="22">
        <f t="shared" si="16"/>
        <v>274.16279069767444</v>
      </c>
      <c r="K263" s="24">
        <f t="shared" si="17"/>
        <v>9.0592925608618202E-2</v>
      </c>
      <c r="L263" t="str">
        <f>VLOOKUP(B263,товар!$A$1:$C$433,3,FALSE)</f>
        <v>Фруктовый Рай</v>
      </c>
      <c r="M263" s="24">
        <f t="shared" si="18"/>
        <v>0.15753424657534243</v>
      </c>
      <c r="N263" s="29">
        <f t="shared" si="19"/>
        <v>258.30769230769232</v>
      </c>
      <c r="O263" s="32">
        <f>VLOOKUP(H263,клиенты!$A$2:$G$435,5,FALSE)</f>
        <v>44673</v>
      </c>
      <c r="P263">
        <f>Продажи[[#This Row],[дата создания чека]]-Продажи[[#This Row],[Дата регистрации клиента]]</f>
        <v>688</v>
      </c>
      <c r="Q263" t="str">
        <f>VLOOKUP(H263,Таблица3[],7,FALSE)</f>
        <v>Таджикистан</v>
      </c>
    </row>
    <row r="264" spans="1:17" x14ac:dyDescent="0.3">
      <c r="A264">
        <v>263</v>
      </c>
      <c r="B264">
        <v>422</v>
      </c>
      <c r="C264">
        <v>349</v>
      </c>
      <c r="D264">
        <v>2</v>
      </c>
      <c r="E264">
        <v>698</v>
      </c>
      <c r="F264" s="32">
        <v>45045</v>
      </c>
      <c r="G264" t="s">
        <v>18</v>
      </c>
      <c r="H264">
        <v>160</v>
      </c>
      <c r="I264" t="str">
        <f>VLOOKUP(B264,товар!$A$1:$C$433,2,FALSE)</f>
        <v>Кофе</v>
      </c>
      <c r="J264" s="22">
        <f t="shared" si="16"/>
        <v>249.02380952380952</v>
      </c>
      <c r="K264" s="24">
        <f t="shared" si="17"/>
        <v>0.40147241610096573</v>
      </c>
      <c r="L264" t="str">
        <f>VLOOKUP(B264,товар!$A$1:$C$433,3,FALSE)</f>
        <v>Nescafe</v>
      </c>
      <c r="M264" s="24">
        <f t="shared" si="18"/>
        <v>0.35850525496302077</v>
      </c>
      <c r="N264" s="29">
        <f t="shared" si="19"/>
        <v>256.89999999999998</v>
      </c>
      <c r="O264" s="32">
        <f>VLOOKUP(H264,клиенты!$A$2:$G$435,5,FALSE)</f>
        <v>44649</v>
      </c>
      <c r="P264">
        <f>Продажи[[#This Row],[дата создания чека]]-Продажи[[#This Row],[Дата регистрации клиента]]</f>
        <v>396</v>
      </c>
      <c r="Q264" t="str">
        <f>VLOOKUP(H264,Таблица3[],7,FALSE)</f>
        <v>Узбекистан</v>
      </c>
    </row>
    <row r="265" spans="1:17" x14ac:dyDescent="0.3">
      <c r="A265">
        <v>264</v>
      </c>
      <c r="B265">
        <v>222</v>
      </c>
      <c r="C265">
        <v>500</v>
      </c>
      <c r="D265">
        <v>2</v>
      </c>
      <c r="E265">
        <v>1000</v>
      </c>
      <c r="F265" s="32">
        <v>45157</v>
      </c>
      <c r="G265" t="s">
        <v>26</v>
      </c>
      <c r="H265">
        <v>9</v>
      </c>
      <c r="I265" t="str">
        <f>VLOOKUP(B265,товар!$A$1:$C$433,2,FALSE)</f>
        <v>Молоко</v>
      </c>
      <c r="J265" s="22">
        <f t="shared" si="16"/>
        <v>294.95238095238096</v>
      </c>
      <c r="K265" s="24">
        <f t="shared" si="17"/>
        <v>0.6951888924765901</v>
      </c>
      <c r="L265" t="str">
        <f>VLOOKUP(B265,товар!$A$1:$C$433,3,FALSE)</f>
        <v>Простоквашино</v>
      </c>
      <c r="M265" s="24">
        <f t="shared" si="18"/>
        <v>0.56829198745366405</v>
      </c>
      <c r="N265" s="29">
        <f t="shared" si="19"/>
        <v>318.81818181818181</v>
      </c>
      <c r="O265" s="32">
        <f>VLOOKUP(H265,клиенты!$A$2:$G$435,5,FALSE)</f>
        <v>44900</v>
      </c>
      <c r="P265">
        <f>Продажи[[#This Row],[дата создания чека]]-Продажи[[#This Row],[Дата регистрации клиента]]</f>
        <v>257</v>
      </c>
      <c r="Q265" t="str">
        <f>VLOOKUP(H265,Таблица3[],7,FALSE)</f>
        <v>Таджикистан</v>
      </c>
    </row>
    <row r="266" spans="1:17" x14ac:dyDescent="0.3">
      <c r="A266">
        <v>265</v>
      </c>
      <c r="B266">
        <v>497</v>
      </c>
      <c r="C266">
        <v>387</v>
      </c>
      <c r="D266">
        <v>2</v>
      </c>
      <c r="E266">
        <v>774</v>
      </c>
      <c r="F266" s="32">
        <v>44945</v>
      </c>
      <c r="G266" t="s">
        <v>15</v>
      </c>
      <c r="H266">
        <v>456</v>
      </c>
      <c r="I266" t="str">
        <f>VLOOKUP(B266,товар!$A$1:$C$433,2,FALSE)</f>
        <v>Конфеты</v>
      </c>
      <c r="J266" s="22">
        <f t="shared" si="16"/>
        <v>267.85483870967744</v>
      </c>
      <c r="K266" s="24">
        <f t="shared" si="17"/>
        <v>0.44481242849400848</v>
      </c>
      <c r="L266" t="str">
        <f>VLOOKUP(B266,товар!$A$1:$C$433,3,FALSE)</f>
        <v>Бабаевский</v>
      </c>
      <c r="M266" s="24">
        <f t="shared" si="18"/>
        <v>0.5463963297321297</v>
      </c>
      <c r="N266" s="29">
        <f t="shared" si="19"/>
        <v>250.25925925925927</v>
      </c>
      <c r="O266" s="32">
        <f>VLOOKUP(H266,клиенты!$A$2:$G$435,5,FALSE)</f>
        <v>44618</v>
      </c>
      <c r="P266">
        <f>Продажи[[#This Row],[дата создания чека]]-Продажи[[#This Row],[Дата регистрации клиента]]</f>
        <v>327</v>
      </c>
      <c r="Q266" t="str">
        <f>VLOOKUP(H266,Таблица3[],7,FALSE)</f>
        <v>Россия</v>
      </c>
    </row>
    <row r="267" spans="1:17" x14ac:dyDescent="0.3">
      <c r="A267">
        <v>266</v>
      </c>
      <c r="B267">
        <v>217</v>
      </c>
      <c r="C267">
        <v>412</v>
      </c>
      <c r="D267">
        <v>2</v>
      </c>
      <c r="E267">
        <v>824</v>
      </c>
      <c r="F267" s="32">
        <v>45174</v>
      </c>
      <c r="G267" t="s">
        <v>19</v>
      </c>
      <c r="H267">
        <v>110</v>
      </c>
      <c r="I267" t="str">
        <f>VLOOKUP(B267,товар!$A$1:$C$433,2,FALSE)</f>
        <v>Мясо</v>
      </c>
      <c r="J267" s="22">
        <f t="shared" si="16"/>
        <v>271.74545454545455</v>
      </c>
      <c r="K267" s="24">
        <f t="shared" si="17"/>
        <v>0.51612471564298135</v>
      </c>
      <c r="L267" t="str">
        <f>VLOOKUP(B267,товар!$A$1:$C$433,3,FALSE)</f>
        <v>Агрокомплекс</v>
      </c>
      <c r="M267" s="24">
        <f t="shared" si="18"/>
        <v>0.32390745501285356</v>
      </c>
      <c r="N267" s="29">
        <f t="shared" si="19"/>
        <v>311.2</v>
      </c>
      <c r="O267" s="32">
        <f>VLOOKUP(H267,клиенты!$A$2:$G$435,5,FALSE)</f>
        <v>44580</v>
      </c>
      <c r="P267">
        <f>Продажи[[#This Row],[дата создания чека]]-Продажи[[#This Row],[Дата регистрации клиента]]</f>
        <v>594</v>
      </c>
      <c r="Q267" t="str">
        <f>VLOOKUP(H267,Таблица3[],7,FALSE)</f>
        <v>Узбекистан</v>
      </c>
    </row>
    <row r="268" spans="1:17" x14ac:dyDescent="0.3">
      <c r="A268">
        <v>267</v>
      </c>
      <c r="B268">
        <v>351</v>
      </c>
      <c r="C268">
        <v>155</v>
      </c>
      <c r="D268">
        <v>5</v>
      </c>
      <c r="E268">
        <v>775</v>
      </c>
      <c r="F268" s="32">
        <v>45189</v>
      </c>
      <c r="G268" t="s">
        <v>17</v>
      </c>
      <c r="H268">
        <v>216</v>
      </c>
      <c r="I268" t="str">
        <f>VLOOKUP(B268,товар!$A$1:$C$433,2,FALSE)</f>
        <v>Чипсы</v>
      </c>
      <c r="J268" s="22">
        <f t="shared" si="16"/>
        <v>273.72549019607845</v>
      </c>
      <c r="K268" s="24">
        <f t="shared" si="17"/>
        <v>-0.43373925501432664</v>
      </c>
      <c r="L268" t="str">
        <f>VLOOKUP(B268,товар!$A$1:$C$433,3,FALSE)</f>
        <v>Русская картошка</v>
      </c>
      <c r="M268" s="24">
        <f t="shared" si="18"/>
        <v>-0.35906271536871126</v>
      </c>
      <c r="N268" s="29">
        <f t="shared" si="19"/>
        <v>241.83333333333334</v>
      </c>
      <c r="O268" s="32">
        <f>VLOOKUP(H268,клиенты!$A$2:$G$435,5,FALSE)</f>
        <v>44655</v>
      </c>
      <c r="P268">
        <f>Продажи[[#This Row],[дата создания чека]]-Продажи[[#This Row],[Дата регистрации клиента]]</f>
        <v>534</v>
      </c>
      <c r="Q268" t="str">
        <f>VLOOKUP(H268,Таблица3[],7,FALSE)</f>
        <v>Таджикистан</v>
      </c>
    </row>
    <row r="269" spans="1:17" x14ac:dyDescent="0.3">
      <c r="A269">
        <v>268</v>
      </c>
      <c r="B269">
        <v>494</v>
      </c>
      <c r="C269">
        <v>214</v>
      </c>
      <c r="D269">
        <v>1</v>
      </c>
      <c r="E269">
        <v>214</v>
      </c>
      <c r="F269" s="32">
        <v>45029</v>
      </c>
      <c r="G269" t="s">
        <v>14</v>
      </c>
      <c r="H269">
        <v>424</v>
      </c>
      <c r="I269" t="str">
        <f>VLOOKUP(B269,товар!$A$1:$C$433,2,FALSE)</f>
        <v>Сыр</v>
      </c>
      <c r="J269" s="22">
        <f t="shared" si="16"/>
        <v>262.63492063492066</v>
      </c>
      <c r="K269" s="24">
        <f t="shared" si="17"/>
        <v>-0.18518070832829692</v>
      </c>
      <c r="L269" t="str">
        <f>VLOOKUP(B269,товар!$A$1:$C$433,3,FALSE)</f>
        <v>Сырная долина</v>
      </c>
      <c r="M269" s="24">
        <f t="shared" si="18"/>
        <v>-0.21033210332103325</v>
      </c>
      <c r="N269" s="29">
        <f t="shared" si="19"/>
        <v>271</v>
      </c>
      <c r="O269" s="32">
        <f>VLOOKUP(H269,клиенты!$A$2:$G$435,5,FALSE)</f>
        <v>44585</v>
      </c>
      <c r="P269">
        <f>Продажи[[#This Row],[дата создания чека]]-Продажи[[#This Row],[Дата регистрации клиента]]</f>
        <v>444</v>
      </c>
      <c r="Q269" t="str">
        <f>VLOOKUP(H269,Таблица3[],7,FALSE)</f>
        <v>Россия</v>
      </c>
    </row>
    <row r="270" spans="1:17" x14ac:dyDescent="0.3">
      <c r="A270">
        <v>269</v>
      </c>
      <c r="B270">
        <v>464</v>
      </c>
      <c r="C270">
        <v>290</v>
      </c>
      <c r="D270">
        <v>3</v>
      </c>
      <c r="E270">
        <v>870</v>
      </c>
      <c r="F270" s="32">
        <v>45185</v>
      </c>
      <c r="G270" t="s">
        <v>22</v>
      </c>
      <c r="H270">
        <v>77</v>
      </c>
      <c r="I270" t="str">
        <f>VLOOKUP(B270,товар!$A$1:$C$433,2,FALSE)</f>
        <v>Сыр</v>
      </c>
      <c r="J270" s="22">
        <f t="shared" si="16"/>
        <v>262.63492063492066</v>
      </c>
      <c r="K270" s="24">
        <f t="shared" si="17"/>
        <v>0.10419436721866293</v>
      </c>
      <c r="L270" t="str">
        <f>VLOOKUP(B270,товар!$A$1:$C$433,3,FALSE)</f>
        <v>Сырная долина</v>
      </c>
      <c r="M270" s="24">
        <f t="shared" si="18"/>
        <v>7.0110701107011009E-2</v>
      </c>
      <c r="N270" s="29">
        <f t="shared" si="19"/>
        <v>271</v>
      </c>
      <c r="O270" s="32">
        <f>VLOOKUP(H270,клиенты!$A$2:$G$435,5,FALSE)</f>
        <v>44644</v>
      </c>
      <c r="P270">
        <f>Продажи[[#This Row],[дата создания чека]]-Продажи[[#This Row],[Дата регистрации клиента]]</f>
        <v>541</v>
      </c>
      <c r="Q270" t="str">
        <f>VLOOKUP(H270,Таблица3[],7,FALSE)</f>
        <v>Россия</v>
      </c>
    </row>
    <row r="271" spans="1:17" x14ac:dyDescent="0.3">
      <c r="A271">
        <v>270</v>
      </c>
      <c r="B271">
        <v>462</v>
      </c>
      <c r="C271">
        <v>271</v>
      </c>
      <c r="D271">
        <v>2</v>
      </c>
      <c r="E271">
        <v>542</v>
      </c>
      <c r="F271" s="32">
        <v>44976</v>
      </c>
      <c r="G271" t="s">
        <v>8</v>
      </c>
      <c r="H271">
        <v>192</v>
      </c>
      <c r="I271" t="str">
        <f>VLOOKUP(B271,товар!$A$1:$C$433,2,FALSE)</f>
        <v>Рис</v>
      </c>
      <c r="J271" s="22">
        <f t="shared" si="16"/>
        <v>258.375</v>
      </c>
      <c r="K271" s="24">
        <f t="shared" si="17"/>
        <v>4.8863086598935679E-2</v>
      </c>
      <c r="L271" t="str">
        <f>VLOOKUP(B271,товар!$A$1:$C$433,3,FALSE)</f>
        <v>Белый Злат</v>
      </c>
      <c r="M271" s="24">
        <f t="shared" si="18"/>
        <v>4.7982551799345963E-3</v>
      </c>
      <c r="N271" s="29">
        <f t="shared" si="19"/>
        <v>269.70588235294116</v>
      </c>
      <c r="O271" s="32">
        <f>VLOOKUP(H271,клиенты!$A$2:$G$435,5,FALSE)</f>
        <v>44572</v>
      </c>
      <c r="P271">
        <f>Продажи[[#This Row],[дата создания чека]]-Продажи[[#This Row],[Дата регистрации клиента]]</f>
        <v>404</v>
      </c>
      <c r="Q271" t="str">
        <f>VLOOKUP(H271,Таблица3[],7,FALSE)</f>
        <v>Россия</v>
      </c>
    </row>
    <row r="272" spans="1:17" x14ac:dyDescent="0.3">
      <c r="A272">
        <v>271</v>
      </c>
      <c r="B272">
        <v>102</v>
      </c>
      <c r="C272">
        <v>326</v>
      </c>
      <c r="D272">
        <v>2</v>
      </c>
      <c r="E272">
        <v>652</v>
      </c>
      <c r="F272" s="32">
        <v>45142</v>
      </c>
      <c r="G272" t="s">
        <v>24</v>
      </c>
      <c r="H272">
        <v>130</v>
      </c>
      <c r="I272" t="str">
        <f>VLOOKUP(B272,товар!$A$1:$C$433,2,FALSE)</f>
        <v>Печенье</v>
      </c>
      <c r="J272" s="22">
        <f t="shared" si="16"/>
        <v>283.468085106383</v>
      </c>
      <c r="K272" s="24">
        <f t="shared" si="17"/>
        <v>0.15004128199354483</v>
      </c>
      <c r="L272" t="str">
        <f>VLOOKUP(B272,товар!$A$1:$C$433,3,FALSE)</f>
        <v>Белогорье</v>
      </c>
      <c r="M272" s="24">
        <f t="shared" si="18"/>
        <v>0.30661322645290578</v>
      </c>
      <c r="N272" s="29">
        <f t="shared" si="19"/>
        <v>249.5</v>
      </c>
      <c r="O272" s="32">
        <f>VLOOKUP(H272,клиенты!$A$2:$G$435,5,FALSE)</f>
        <v>44863</v>
      </c>
      <c r="P272">
        <f>Продажи[[#This Row],[дата создания чека]]-Продажи[[#This Row],[Дата регистрации клиента]]</f>
        <v>279</v>
      </c>
      <c r="Q272" t="str">
        <f>VLOOKUP(H272,Таблица3[],7,FALSE)</f>
        <v>Таджикистан</v>
      </c>
    </row>
    <row r="273" spans="1:17" x14ac:dyDescent="0.3">
      <c r="A273">
        <v>272</v>
      </c>
      <c r="B273">
        <v>345</v>
      </c>
      <c r="C273">
        <v>420</v>
      </c>
      <c r="D273">
        <v>2</v>
      </c>
      <c r="E273">
        <v>840</v>
      </c>
      <c r="F273" s="32">
        <v>45037</v>
      </c>
      <c r="G273" t="s">
        <v>19</v>
      </c>
      <c r="H273">
        <v>308</v>
      </c>
      <c r="I273" t="str">
        <f>VLOOKUP(B273,товар!$A$1:$C$433,2,FALSE)</f>
        <v>Конфеты</v>
      </c>
      <c r="J273" s="22">
        <f t="shared" si="16"/>
        <v>267.85483870967744</v>
      </c>
      <c r="K273" s="24">
        <f t="shared" si="17"/>
        <v>0.56801348828807119</v>
      </c>
      <c r="L273" t="str">
        <f>VLOOKUP(B273,товар!$A$1:$C$433,3,FALSE)</f>
        <v>Рот Фронт</v>
      </c>
      <c r="M273" s="24">
        <f t="shared" si="18"/>
        <v>0.45712869651412524</v>
      </c>
      <c r="N273" s="29">
        <f t="shared" si="19"/>
        <v>288.23809523809524</v>
      </c>
      <c r="O273" s="32">
        <f>VLOOKUP(H273,клиенты!$A$2:$G$435,5,FALSE)</f>
        <v>44562</v>
      </c>
      <c r="P273">
        <f>Продажи[[#This Row],[дата создания чека]]-Продажи[[#This Row],[Дата регистрации клиента]]</f>
        <v>475</v>
      </c>
      <c r="Q273" t="str">
        <f>VLOOKUP(H273,Таблица3[],7,FALSE)</f>
        <v>Беларусь</v>
      </c>
    </row>
    <row r="274" spans="1:17" x14ac:dyDescent="0.3">
      <c r="A274">
        <v>273</v>
      </c>
      <c r="B274">
        <v>445</v>
      </c>
      <c r="C274">
        <v>71</v>
      </c>
      <c r="D274">
        <v>4</v>
      </c>
      <c r="E274">
        <v>284</v>
      </c>
      <c r="F274" s="32">
        <v>45250</v>
      </c>
      <c r="G274" t="s">
        <v>25</v>
      </c>
      <c r="H274">
        <v>455</v>
      </c>
      <c r="I274" t="str">
        <f>VLOOKUP(B274,товар!$A$1:$C$433,2,FALSE)</f>
        <v>Сахар</v>
      </c>
      <c r="J274" s="22">
        <f t="shared" si="16"/>
        <v>252.76271186440678</v>
      </c>
      <c r="K274" s="24">
        <f t="shared" si="17"/>
        <v>-0.71910413732984646</v>
      </c>
      <c r="L274" t="str">
        <f>VLOOKUP(B274,товар!$A$1:$C$433,3,FALSE)</f>
        <v>Сладов</v>
      </c>
      <c r="M274" s="24">
        <f t="shared" si="18"/>
        <v>-0.7044950055493896</v>
      </c>
      <c r="N274" s="29">
        <f t="shared" si="19"/>
        <v>240.26666666666668</v>
      </c>
      <c r="O274" s="32">
        <f>VLOOKUP(H274,клиенты!$A$2:$G$435,5,FALSE)</f>
        <v>44820</v>
      </c>
      <c r="P274">
        <f>Продажи[[#This Row],[дата создания чека]]-Продажи[[#This Row],[Дата регистрации клиента]]</f>
        <v>430</v>
      </c>
      <c r="Q274" t="str">
        <f>VLOOKUP(H274,Таблица3[],7,FALSE)</f>
        <v>Украина</v>
      </c>
    </row>
    <row r="275" spans="1:17" x14ac:dyDescent="0.3">
      <c r="A275">
        <v>274</v>
      </c>
      <c r="B275">
        <v>241</v>
      </c>
      <c r="C275">
        <v>400</v>
      </c>
      <c r="D275">
        <v>3</v>
      </c>
      <c r="E275">
        <v>1200</v>
      </c>
      <c r="F275" s="32">
        <v>45371</v>
      </c>
      <c r="G275" t="s">
        <v>25</v>
      </c>
      <c r="H275">
        <v>490</v>
      </c>
      <c r="I275" t="str">
        <f>VLOOKUP(B275,товар!$A$1:$C$433,2,FALSE)</f>
        <v>Колбаса</v>
      </c>
      <c r="J275" s="22">
        <f t="shared" si="16"/>
        <v>286.92307692307691</v>
      </c>
      <c r="K275" s="24">
        <f t="shared" si="17"/>
        <v>0.39410187667560326</v>
      </c>
      <c r="L275" t="str">
        <f>VLOOKUP(B275,товар!$A$1:$C$433,3,FALSE)</f>
        <v>Окраина</v>
      </c>
      <c r="M275" s="24">
        <f t="shared" si="18"/>
        <v>0.46207736826073731</v>
      </c>
      <c r="N275" s="29">
        <f t="shared" si="19"/>
        <v>273.58333333333331</v>
      </c>
      <c r="O275" s="32">
        <f>VLOOKUP(H275,клиенты!$A$2:$G$435,5,FALSE)</f>
        <v>44603</v>
      </c>
      <c r="P275">
        <f>Продажи[[#This Row],[дата создания чека]]-Продажи[[#This Row],[Дата регистрации клиента]]</f>
        <v>768</v>
      </c>
      <c r="Q275" t="str">
        <f>VLOOKUP(H275,Таблица3[],7,FALSE)</f>
        <v>Россия</v>
      </c>
    </row>
    <row r="276" spans="1:17" x14ac:dyDescent="0.3">
      <c r="A276">
        <v>275</v>
      </c>
      <c r="B276">
        <v>258</v>
      </c>
      <c r="C276">
        <v>109</v>
      </c>
      <c r="D276">
        <v>2</v>
      </c>
      <c r="E276">
        <v>218</v>
      </c>
      <c r="F276" s="32">
        <v>45416</v>
      </c>
      <c r="G276" t="s">
        <v>10</v>
      </c>
      <c r="H276">
        <v>480</v>
      </c>
      <c r="I276" t="str">
        <f>VLOOKUP(B276,товар!$A$1:$C$433,2,FALSE)</f>
        <v>Рыба</v>
      </c>
      <c r="J276" s="22">
        <f t="shared" si="16"/>
        <v>258.5128205128205</v>
      </c>
      <c r="K276" s="24">
        <f t="shared" si="17"/>
        <v>-0.5783574687561992</v>
      </c>
      <c r="L276" t="str">
        <f>VLOOKUP(B276,товар!$A$1:$C$433,3,FALSE)</f>
        <v>Санта Бремор</v>
      </c>
      <c r="M276" s="24">
        <f t="shared" si="18"/>
        <v>-0.4963031423290204</v>
      </c>
      <c r="N276" s="29">
        <f t="shared" si="19"/>
        <v>216.4</v>
      </c>
      <c r="O276" s="32">
        <f>VLOOKUP(H276,клиенты!$A$2:$G$435,5,FALSE)</f>
        <v>44568</v>
      </c>
      <c r="P276">
        <f>Продажи[[#This Row],[дата создания чека]]-Продажи[[#This Row],[Дата регистрации клиента]]</f>
        <v>848</v>
      </c>
      <c r="Q276" t="str">
        <f>VLOOKUP(H276,Таблица3[],7,FALSE)</f>
        <v>Узбекистан</v>
      </c>
    </row>
    <row r="277" spans="1:17" x14ac:dyDescent="0.3">
      <c r="A277">
        <v>276</v>
      </c>
      <c r="B277">
        <v>376</v>
      </c>
      <c r="C277">
        <v>217</v>
      </c>
      <c r="D277">
        <v>1</v>
      </c>
      <c r="E277">
        <v>217</v>
      </c>
      <c r="F277" s="32">
        <v>45199</v>
      </c>
      <c r="G277" t="s">
        <v>12</v>
      </c>
      <c r="H277">
        <v>321</v>
      </c>
      <c r="I277" t="str">
        <f>VLOOKUP(B277,товар!$A$1:$C$433,2,FALSE)</f>
        <v>Конфеты</v>
      </c>
      <c r="J277" s="22">
        <f t="shared" si="16"/>
        <v>267.85483870967744</v>
      </c>
      <c r="K277" s="24">
        <f t="shared" si="17"/>
        <v>-0.18985969771782985</v>
      </c>
      <c r="L277" t="str">
        <f>VLOOKUP(B277,товар!$A$1:$C$433,3,FALSE)</f>
        <v>Красный Октябрь</v>
      </c>
      <c r="M277" s="24">
        <f t="shared" si="18"/>
        <v>-0.20694380995888528</v>
      </c>
      <c r="N277" s="29">
        <f t="shared" si="19"/>
        <v>273.625</v>
      </c>
      <c r="O277" s="32">
        <f>VLOOKUP(H277,клиенты!$A$2:$G$435,5,FALSE)</f>
        <v>44756</v>
      </c>
      <c r="P277">
        <f>Продажи[[#This Row],[дата создания чека]]-Продажи[[#This Row],[Дата регистрации клиента]]</f>
        <v>443</v>
      </c>
      <c r="Q277" t="str">
        <f>VLOOKUP(H277,Таблица3[],7,FALSE)</f>
        <v>Таджикистан</v>
      </c>
    </row>
    <row r="278" spans="1:17" x14ac:dyDescent="0.3">
      <c r="A278">
        <v>277</v>
      </c>
      <c r="B278">
        <v>7</v>
      </c>
      <c r="C278">
        <v>104</v>
      </c>
      <c r="D278">
        <v>1</v>
      </c>
      <c r="E278">
        <v>104</v>
      </c>
      <c r="F278" s="32">
        <v>44989</v>
      </c>
      <c r="G278" t="s">
        <v>15</v>
      </c>
      <c r="H278">
        <v>496</v>
      </c>
      <c r="I278" t="str">
        <f>VLOOKUP(B278,товар!$A$1:$C$433,2,FALSE)</f>
        <v>Сыр</v>
      </c>
      <c r="J278" s="22">
        <f t="shared" si="16"/>
        <v>262.63492063492066</v>
      </c>
      <c r="K278" s="24">
        <f t="shared" si="17"/>
        <v>-0.60401305451468634</v>
      </c>
      <c r="L278" t="str">
        <f>VLOOKUP(B278,товар!$A$1:$C$433,3,FALSE)</f>
        <v>President</v>
      </c>
      <c r="M278" s="24">
        <f t="shared" si="18"/>
        <v>-0.56434721898999296</v>
      </c>
      <c r="N278" s="29">
        <f t="shared" si="19"/>
        <v>238.72222222222223</v>
      </c>
      <c r="O278" s="32">
        <f>VLOOKUP(H278,клиенты!$A$2:$G$435,5,FALSE)</f>
        <v>44867</v>
      </c>
      <c r="P278">
        <f>Продажи[[#This Row],[дата создания чека]]-Продажи[[#This Row],[Дата регистрации клиента]]</f>
        <v>122</v>
      </c>
      <c r="Q278" t="str">
        <f>VLOOKUP(H278,Таблица3[],7,FALSE)</f>
        <v>Украина</v>
      </c>
    </row>
    <row r="279" spans="1:17" x14ac:dyDescent="0.3">
      <c r="A279">
        <v>278</v>
      </c>
      <c r="B279">
        <v>428</v>
      </c>
      <c r="C279">
        <v>428</v>
      </c>
      <c r="D279">
        <v>4</v>
      </c>
      <c r="E279">
        <v>1712</v>
      </c>
      <c r="F279" s="32">
        <v>45123</v>
      </c>
      <c r="G279" t="s">
        <v>18</v>
      </c>
      <c r="H279">
        <v>203</v>
      </c>
      <c r="I279" t="str">
        <f>VLOOKUP(B279,товар!$A$1:$C$433,2,FALSE)</f>
        <v>Конфеты</v>
      </c>
      <c r="J279" s="22">
        <f t="shared" si="16"/>
        <v>267.85483870967744</v>
      </c>
      <c r="K279" s="24">
        <f t="shared" si="17"/>
        <v>0.59788041187451069</v>
      </c>
      <c r="L279" t="str">
        <f>VLOOKUP(B279,товар!$A$1:$C$433,3,FALSE)</f>
        <v>Бабаевский</v>
      </c>
      <c r="M279" s="24">
        <f t="shared" si="18"/>
        <v>0.71022643184845347</v>
      </c>
      <c r="N279" s="29">
        <f t="shared" si="19"/>
        <v>250.25925925925927</v>
      </c>
      <c r="O279" s="32">
        <f>VLOOKUP(H279,клиенты!$A$2:$G$435,5,FALSE)</f>
        <v>44685</v>
      </c>
      <c r="P279">
        <f>Продажи[[#This Row],[дата создания чека]]-Продажи[[#This Row],[Дата регистрации клиента]]</f>
        <v>438</v>
      </c>
      <c r="Q279" t="str">
        <f>VLOOKUP(H279,Таблица3[],7,FALSE)</f>
        <v>Россия</v>
      </c>
    </row>
    <row r="280" spans="1:17" x14ac:dyDescent="0.3">
      <c r="A280">
        <v>279</v>
      </c>
      <c r="B280">
        <v>216</v>
      </c>
      <c r="C280">
        <v>83</v>
      </c>
      <c r="D280">
        <v>3</v>
      </c>
      <c r="E280">
        <v>249</v>
      </c>
      <c r="F280" s="32">
        <v>45033</v>
      </c>
      <c r="G280" t="s">
        <v>17</v>
      </c>
      <c r="H280">
        <v>457</v>
      </c>
      <c r="I280" t="str">
        <f>VLOOKUP(B280,товар!$A$1:$C$433,2,FALSE)</f>
        <v>Кофе</v>
      </c>
      <c r="J280" s="22">
        <f t="shared" si="16"/>
        <v>249.02380952380952</v>
      </c>
      <c r="K280" s="24">
        <f t="shared" si="17"/>
        <v>-0.66669853714504246</v>
      </c>
      <c r="L280" t="str">
        <f>VLOOKUP(B280,товар!$A$1:$C$433,3,FALSE)</f>
        <v>Черная Карта</v>
      </c>
      <c r="M280" s="24">
        <f t="shared" si="18"/>
        <v>-0.62646264626462644</v>
      </c>
      <c r="N280" s="29">
        <f t="shared" si="19"/>
        <v>222.2</v>
      </c>
      <c r="O280" s="32">
        <f>VLOOKUP(H280,клиенты!$A$2:$G$435,5,FALSE)</f>
        <v>44595</v>
      </c>
      <c r="P280">
        <f>Продажи[[#This Row],[дата создания чека]]-Продажи[[#This Row],[Дата регистрации клиента]]</f>
        <v>438</v>
      </c>
      <c r="Q280" t="str">
        <f>VLOOKUP(H280,Таблица3[],7,FALSE)</f>
        <v>Таджикистан</v>
      </c>
    </row>
    <row r="281" spans="1:17" x14ac:dyDescent="0.3">
      <c r="A281">
        <v>280</v>
      </c>
      <c r="B281">
        <v>272</v>
      </c>
      <c r="C281">
        <v>113</v>
      </c>
      <c r="D281">
        <v>3</v>
      </c>
      <c r="E281">
        <v>339</v>
      </c>
      <c r="F281" s="32">
        <v>45019</v>
      </c>
      <c r="G281" t="s">
        <v>23</v>
      </c>
      <c r="H281">
        <v>21</v>
      </c>
      <c r="I281" t="str">
        <f>VLOOKUP(B281,товар!$A$1:$C$433,2,FALSE)</f>
        <v>Крупа</v>
      </c>
      <c r="J281" s="22">
        <f t="shared" si="16"/>
        <v>255.11627906976744</v>
      </c>
      <c r="K281" s="24">
        <f t="shared" si="17"/>
        <v>-0.55706472196900636</v>
      </c>
      <c r="L281" t="str">
        <f>VLOOKUP(B281,товар!$A$1:$C$433,3,FALSE)</f>
        <v>Ярмарка</v>
      </c>
      <c r="M281" s="24">
        <f t="shared" si="18"/>
        <v>-0.55174900829426621</v>
      </c>
      <c r="N281" s="29">
        <f t="shared" si="19"/>
        <v>252.09090909090909</v>
      </c>
      <c r="O281" s="32">
        <f>VLOOKUP(H281,клиенты!$A$2:$G$435,5,FALSE)</f>
        <v>44881</v>
      </c>
      <c r="P281">
        <f>Продажи[[#This Row],[дата создания чека]]-Продажи[[#This Row],[Дата регистрации клиента]]</f>
        <v>138</v>
      </c>
      <c r="Q281" t="str">
        <f>VLOOKUP(H281,Таблица3[],7,FALSE)</f>
        <v>Беларусь</v>
      </c>
    </row>
    <row r="282" spans="1:17" x14ac:dyDescent="0.3">
      <c r="A282">
        <v>281</v>
      </c>
      <c r="B282">
        <v>236</v>
      </c>
      <c r="C282">
        <v>221</v>
      </c>
      <c r="D282">
        <v>4</v>
      </c>
      <c r="E282">
        <v>884</v>
      </c>
      <c r="F282" s="32">
        <v>45166</v>
      </c>
      <c r="G282" t="s">
        <v>19</v>
      </c>
      <c r="H282">
        <v>333</v>
      </c>
      <c r="I282" t="str">
        <f>VLOOKUP(B282,товар!$A$1:$C$433,2,FALSE)</f>
        <v>Печенье</v>
      </c>
      <c r="J282" s="22">
        <f t="shared" si="16"/>
        <v>283.468085106383</v>
      </c>
      <c r="K282" s="24">
        <f t="shared" si="17"/>
        <v>-0.22037078736020421</v>
      </c>
      <c r="L282" t="str">
        <f>VLOOKUP(B282,товар!$A$1:$C$433,3,FALSE)</f>
        <v>Посиделкино</v>
      </c>
      <c r="M282" s="24">
        <f t="shared" si="18"/>
        <v>-0.31288863764838892</v>
      </c>
      <c r="N282" s="29">
        <f t="shared" si="19"/>
        <v>321.63636363636363</v>
      </c>
      <c r="O282" s="32">
        <f>VLOOKUP(H282,клиенты!$A$2:$G$435,5,FALSE)</f>
        <v>44857</v>
      </c>
      <c r="P282">
        <f>Продажи[[#This Row],[дата создания чека]]-Продажи[[#This Row],[Дата регистрации клиента]]</f>
        <v>309</v>
      </c>
      <c r="Q282" t="str">
        <f>VLOOKUP(H282,Таблица3[],7,FALSE)</f>
        <v>Россия</v>
      </c>
    </row>
    <row r="283" spans="1:17" x14ac:dyDescent="0.3">
      <c r="A283">
        <v>282</v>
      </c>
      <c r="B283">
        <v>225</v>
      </c>
      <c r="C283">
        <v>114</v>
      </c>
      <c r="D283">
        <v>3</v>
      </c>
      <c r="E283">
        <v>342</v>
      </c>
      <c r="F283" s="32">
        <v>45126</v>
      </c>
      <c r="G283" t="s">
        <v>15</v>
      </c>
      <c r="H283">
        <v>405</v>
      </c>
      <c r="I283" t="str">
        <f>VLOOKUP(B283,товар!$A$1:$C$433,2,FALSE)</f>
        <v>Соль</v>
      </c>
      <c r="J283" s="22">
        <f t="shared" si="16"/>
        <v>264.8679245283019</v>
      </c>
      <c r="K283" s="24">
        <f t="shared" si="17"/>
        <v>-0.56959680866220264</v>
      </c>
      <c r="L283" t="str">
        <f>VLOOKUP(B283,товар!$A$1:$C$433,3,FALSE)</f>
        <v>Илецкая</v>
      </c>
      <c r="M283" s="24">
        <f t="shared" si="18"/>
        <v>-0.52134359692092369</v>
      </c>
      <c r="N283" s="29">
        <f t="shared" si="19"/>
        <v>238.16666666666666</v>
      </c>
      <c r="O283" s="32">
        <f>VLOOKUP(H283,клиенты!$A$2:$G$435,5,FALSE)</f>
        <v>44798</v>
      </c>
      <c r="P283">
        <f>Продажи[[#This Row],[дата создания чека]]-Продажи[[#This Row],[Дата регистрации клиента]]</f>
        <v>328</v>
      </c>
      <c r="Q283" t="str">
        <f>VLOOKUP(H283,Таблица3[],7,FALSE)</f>
        <v>Украина</v>
      </c>
    </row>
    <row r="284" spans="1:17" x14ac:dyDescent="0.3">
      <c r="A284">
        <v>283</v>
      </c>
      <c r="B284">
        <v>167</v>
      </c>
      <c r="C284">
        <v>488</v>
      </c>
      <c r="D284">
        <v>3</v>
      </c>
      <c r="E284">
        <v>1464</v>
      </c>
      <c r="F284" s="32">
        <v>45164</v>
      </c>
      <c r="G284" t="s">
        <v>8</v>
      </c>
      <c r="H284">
        <v>32</v>
      </c>
      <c r="I284" t="str">
        <f>VLOOKUP(B284,товар!$A$1:$C$433,2,FALSE)</f>
        <v>Мясо</v>
      </c>
      <c r="J284" s="22">
        <f t="shared" si="16"/>
        <v>271.74545454545455</v>
      </c>
      <c r="K284" s="24">
        <f t="shared" si="17"/>
        <v>0.79579820687809444</v>
      </c>
      <c r="L284" t="str">
        <f>VLOOKUP(B284,товар!$A$1:$C$433,3,FALSE)</f>
        <v>Сава</v>
      </c>
      <c r="M284" s="24">
        <f t="shared" si="18"/>
        <v>1.2930983847283408</v>
      </c>
      <c r="N284" s="29">
        <f t="shared" si="19"/>
        <v>212.8125</v>
      </c>
      <c r="O284" s="32">
        <f>VLOOKUP(H284,клиенты!$A$2:$G$435,5,FALSE)</f>
        <v>44922</v>
      </c>
      <c r="P284">
        <f>Продажи[[#This Row],[дата создания чека]]-Продажи[[#This Row],[Дата регистрации клиента]]</f>
        <v>242</v>
      </c>
      <c r="Q284" t="str">
        <f>VLOOKUP(H284,Таблица3[],7,FALSE)</f>
        <v>Узбекистан</v>
      </c>
    </row>
    <row r="285" spans="1:17" x14ac:dyDescent="0.3">
      <c r="A285">
        <v>284</v>
      </c>
      <c r="B285">
        <v>467</v>
      </c>
      <c r="C285">
        <v>421</v>
      </c>
      <c r="D285">
        <v>5</v>
      </c>
      <c r="E285">
        <v>2105</v>
      </c>
      <c r="F285" s="32">
        <v>45070</v>
      </c>
      <c r="G285" t="s">
        <v>14</v>
      </c>
      <c r="H285">
        <v>334</v>
      </c>
      <c r="I285" t="str">
        <f>VLOOKUP(B285,товар!$A$1:$C$433,2,FALSE)</f>
        <v>Макароны</v>
      </c>
      <c r="J285" s="22">
        <f t="shared" si="16"/>
        <v>265.47674418604652</v>
      </c>
      <c r="K285" s="24">
        <f t="shared" si="17"/>
        <v>0.58582628881783538</v>
      </c>
      <c r="L285" t="str">
        <f>VLOOKUP(B285,товар!$A$1:$C$433,3,FALSE)</f>
        <v>Борилла</v>
      </c>
      <c r="M285" s="24">
        <f t="shared" si="18"/>
        <v>0.78181552831290135</v>
      </c>
      <c r="N285" s="29">
        <f t="shared" si="19"/>
        <v>236.27586206896552</v>
      </c>
      <c r="O285" s="32">
        <f>VLOOKUP(H285,клиенты!$A$2:$G$435,5,FALSE)</f>
        <v>44881</v>
      </c>
      <c r="P285">
        <f>Продажи[[#This Row],[дата создания чека]]-Продажи[[#This Row],[Дата регистрации клиента]]</f>
        <v>189</v>
      </c>
      <c r="Q285" t="str">
        <f>VLOOKUP(H285,Таблица3[],7,FALSE)</f>
        <v>Украина</v>
      </c>
    </row>
    <row r="286" spans="1:17" x14ac:dyDescent="0.3">
      <c r="A286">
        <v>285</v>
      </c>
      <c r="B286">
        <v>430</v>
      </c>
      <c r="C286">
        <v>380</v>
      </c>
      <c r="D286">
        <v>1</v>
      </c>
      <c r="E286">
        <v>380</v>
      </c>
      <c r="F286" s="32">
        <v>45391</v>
      </c>
      <c r="G286" t="s">
        <v>27</v>
      </c>
      <c r="H286">
        <v>449</v>
      </c>
      <c r="I286" t="str">
        <f>VLOOKUP(B286,товар!$A$1:$C$433,2,FALSE)</f>
        <v>Чай</v>
      </c>
      <c r="J286" s="22">
        <f t="shared" si="16"/>
        <v>271.18181818181819</v>
      </c>
      <c r="K286" s="24">
        <f t="shared" si="17"/>
        <v>0.40127388535031838</v>
      </c>
      <c r="L286" t="str">
        <f>VLOOKUP(B286,товар!$A$1:$C$433,3,FALSE)</f>
        <v>Ахмад</v>
      </c>
      <c r="M286" s="24">
        <f t="shared" si="18"/>
        <v>0.56185778873818326</v>
      </c>
      <c r="N286" s="29">
        <f t="shared" si="19"/>
        <v>243.3</v>
      </c>
      <c r="O286" s="32">
        <f>VLOOKUP(H286,клиенты!$A$2:$G$435,5,FALSE)</f>
        <v>44645</v>
      </c>
      <c r="P286">
        <f>Продажи[[#This Row],[дата создания чека]]-Продажи[[#This Row],[Дата регистрации клиента]]</f>
        <v>746</v>
      </c>
      <c r="Q286" t="str">
        <f>VLOOKUP(H286,Таблица3[],7,FALSE)</f>
        <v>Таджикистан</v>
      </c>
    </row>
    <row r="287" spans="1:17" x14ac:dyDescent="0.3">
      <c r="A287">
        <v>286</v>
      </c>
      <c r="B287">
        <v>139</v>
      </c>
      <c r="C287">
        <v>232</v>
      </c>
      <c r="D287">
        <v>3</v>
      </c>
      <c r="E287">
        <v>696</v>
      </c>
      <c r="F287" s="32">
        <v>45197</v>
      </c>
      <c r="G287" t="s">
        <v>26</v>
      </c>
      <c r="H287">
        <v>302</v>
      </c>
      <c r="I287" t="str">
        <f>VLOOKUP(B287,товар!$A$1:$C$433,2,FALSE)</f>
        <v>Йогурт</v>
      </c>
      <c r="J287" s="22">
        <f t="shared" si="16"/>
        <v>263.25423728813558</v>
      </c>
      <c r="K287" s="24">
        <f t="shared" si="17"/>
        <v>-0.11872263713623488</v>
      </c>
      <c r="L287" t="str">
        <f>VLOOKUP(B287,товар!$A$1:$C$433,3,FALSE)</f>
        <v>Ростагроэкспорт</v>
      </c>
      <c r="M287" s="24">
        <f t="shared" si="18"/>
        <v>-0.10001686625063255</v>
      </c>
      <c r="N287" s="29">
        <f t="shared" si="19"/>
        <v>257.78260869565219</v>
      </c>
      <c r="O287" s="32">
        <f>VLOOKUP(H287,клиенты!$A$2:$G$435,5,FALSE)</f>
        <v>44859</v>
      </c>
      <c r="P287">
        <f>Продажи[[#This Row],[дата создания чека]]-Продажи[[#This Row],[Дата регистрации клиента]]</f>
        <v>338</v>
      </c>
      <c r="Q287" t="str">
        <f>VLOOKUP(H287,Таблица3[],7,FALSE)</f>
        <v>Россия</v>
      </c>
    </row>
    <row r="288" spans="1:17" x14ac:dyDescent="0.3">
      <c r="A288">
        <v>287</v>
      </c>
      <c r="B288">
        <v>351</v>
      </c>
      <c r="C288">
        <v>93</v>
      </c>
      <c r="D288">
        <v>3</v>
      </c>
      <c r="E288">
        <v>279</v>
      </c>
      <c r="F288" s="32">
        <v>45392</v>
      </c>
      <c r="G288" t="s">
        <v>20</v>
      </c>
      <c r="H288">
        <v>341</v>
      </c>
      <c r="I288" t="str">
        <f>VLOOKUP(B288,товар!$A$1:$C$433,2,FALSE)</f>
        <v>Чипсы</v>
      </c>
      <c r="J288" s="22">
        <f t="shared" si="16"/>
        <v>273.72549019607845</v>
      </c>
      <c r="K288" s="24">
        <f t="shared" si="17"/>
        <v>-0.66024355300859594</v>
      </c>
      <c r="L288" t="str">
        <f>VLOOKUP(B288,товар!$A$1:$C$433,3,FALSE)</f>
        <v>Русская картошка</v>
      </c>
      <c r="M288" s="24">
        <f t="shared" si="18"/>
        <v>-0.61543762922122669</v>
      </c>
      <c r="N288" s="29">
        <f t="shared" si="19"/>
        <v>241.83333333333334</v>
      </c>
      <c r="O288" s="32">
        <f>VLOOKUP(H288,клиенты!$A$2:$G$435,5,FALSE)</f>
        <v>44724</v>
      </c>
      <c r="P288">
        <f>Продажи[[#This Row],[дата создания чека]]-Продажи[[#This Row],[Дата регистрации клиента]]</f>
        <v>668</v>
      </c>
      <c r="Q288" t="str">
        <f>VLOOKUP(H288,Таблица3[],7,FALSE)</f>
        <v>Россия</v>
      </c>
    </row>
    <row r="289" spans="1:17" x14ac:dyDescent="0.3">
      <c r="A289">
        <v>288</v>
      </c>
      <c r="B289">
        <v>404</v>
      </c>
      <c r="C289">
        <v>136</v>
      </c>
      <c r="D289">
        <v>2</v>
      </c>
      <c r="E289">
        <v>272</v>
      </c>
      <c r="F289" s="32">
        <v>45287</v>
      </c>
      <c r="G289" t="s">
        <v>11</v>
      </c>
      <c r="H289">
        <v>62</v>
      </c>
      <c r="I289" t="str">
        <f>VLOOKUP(B289,товар!$A$1:$C$433,2,FALSE)</f>
        <v>Йогурт</v>
      </c>
      <c r="J289" s="22">
        <f t="shared" si="16"/>
        <v>263.25423728813558</v>
      </c>
      <c r="K289" s="24">
        <f t="shared" si="17"/>
        <v>-0.48338913211434453</v>
      </c>
      <c r="L289" t="str">
        <f>VLOOKUP(B289,товар!$A$1:$C$433,3,FALSE)</f>
        <v>Ростагроэкспорт</v>
      </c>
      <c r="M289" s="24">
        <f t="shared" si="18"/>
        <v>-0.47242368021588799</v>
      </c>
      <c r="N289" s="29">
        <f t="shared" si="19"/>
        <v>257.78260869565219</v>
      </c>
      <c r="O289" s="32">
        <f>VLOOKUP(H289,клиенты!$A$2:$G$435,5,FALSE)</f>
        <v>44671</v>
      </c>
      <c r="P289">
        <f>Продажи[[#This Row],[дата создания чека]]-Продажи[[#This Row],[Дата регистрации клиента]]</f>
        <v>616</v>
      </c>
      <c r="Q289" t="str">
        <f>VLOOKUP(H289,Таблица3[],7,FALSE)</f>
        <v>Россия</v>
      </c>
    </row>
    <row r="290" spans="1:17" x14ac:dyDescent="0.3">
      <c r="A290">
        <v>289</v>
      </c>
      <c r="B290">
        <v>237</v>
      </c>
      <c r="C290">
        <v>157</v>
      </c>
      <c r="D290">
        <v>5</v>
      </c>
      <c r="E290">
        <v>785</v>
      </c>
      <c r="F290" s="32">
        <v>44946</v>
      </c>
      <c r="G290" t="s">
        <v>24</v>
      </c>
      <c r="H290">
        <v>366</v>
      </c>
      <c r="I290" t="str">
        <f>VLOOKUP(B290,товар!$A$1:$C$433,2,FALSE)</f>
        <v>Конфеты</v>
      </c>
      <c r="J290" s="22">
        <f t="shared" si="16"/>
        <v>267.85483870967744</v>
      </c>
      <c r="K290" s="24">
        <f t="shared" si="17"/>
        <v>-0.41386162461612575</v>
      </c>
      <c r="L290" t="str">
        <f>VLOOKUP(B290,товар!$A$1:$C$433,3,FALSE)</f>
        <v>Рот Фронт</v>
      </c>
      <c r="M290" s="24">
        <f t="shared" si="18"/>
        <v>-0.45531141582686274</v>
      </c>
      <c r="N290" s="29">
        <f t="shared" si="19"/>
        <v>288.23809523809524</v>
      </c>
      <c r="O290" s="32">
        <f>VLOOKUP(H290,клиенты!$A$2:$G$435,5,FALSE)</f>
        <v>44827</v>
      </c>
      <c r="P290">
        <f>Продажи[[#This Row],[дата создания чека]]-Продажи[[#This Row],[Дата регистрации клиента]]</f>
        <v>119</v>
      </c>
      <c r="Q290" t="str">
        <f>VLOOKUP(H290,Таблица3[],7,FALSE)</f>
        <v>Узбекистан</v>
      </c>
    </row>
    <row r="291" spans="1:17" x14ac:dyDescent="0.3">
      <c r="A291">
        <v>290</v>
      </c>
      <c r="B291">
        <v>323</v>
      </c>
      <c r="C291">
        <v>363</v>
      </c>
      <c r="D291">
        <v>4</v>
      </c>
      <c r="E291">
        <v>1452</v>
      </c>
      <c r="F291" s="32">
        <v>45362</v>
      </c>
      <c r="G291" t="s">
        <v>15</v>
      </c>
      <c r="H291">
        <v>463</v>
      </c>
      <c r="I291" t="str">
        <f>VLOOKUP(B291,товар!$A$1:$C$433,2,FALSE)</f>
        <v>Рыба</v>
      </c>
      <c r="J291" s="22">
        <f t="shared" si="16"/>
        <v>258.5128205128205</v>
      </c>
      <c r="K291" s="24">
        <f t="shared" si="17"/>
        <v>0.40418567744495149</v>
      </c>
      <c r="L291" t="str">
        <f>VLOOKUP(B291,товар!$A$1:$C$433,3,FALSE)</f>
        <v>Меридиан</v>
      </c>
      <c r="M291" s="24">
        <f t="shared" si="18"/>
        <v>0.39268788083953976</v>
      </c>
      <c r="N291" s="29">
        <f t="shared" si="19"/>
        <v>260.64705882352939</v>
      </c>
      <c r="O291" s="32">
        <f>VLOOKUP(H291,клиенты!$A$2:$G$435,5,FALSE)</f>
        <v>44869</v>
      </c>
      <c r="P291">
        <f>Продажи[[#This Row],[дата создания чека]]-Продажи[[#This Row],[Дата регистрации клиента]]</f>
        <v>493</v>
      </c>
      <c r="Q291" t="str">
        <f>VLOOKUP(H291,Таблица3[],7,FALSE)</f>
        <v>Украина</v>
      </c>
    </row>
    <row r="292" spans="1:17" x14ac:dyDescent="0.3">
      <c r="A292">
        <v>291</v>
      </c>
      <c r="B292">
        <v>457</v>
      </c>
      <c r="C292">
        <v>289</v>
      </c>
      <c r="D292">
        <v>5</v>
      </c>
      <c r="E292">
        <v>1445</v>
      </c>
      <c r="F292" s="32">
        <v>45167</v>
      </c>
      <c r="G292" t="s">
        <v>24</v>
      </c>
      <c r="H292">
        <v>421</v>
      </c>
      <c r="I292" t="str">
        <f>VLOOKUP(B292,товар!$A$1:$C$433,2,FALSE)</f>
        <v>Сок</v>
      </c>
      <c r="J292" s="22">
        <f t="shared" si="16"/>
        <v>268.60344827586209</v>
      </c>
      <c r="K292" s="24">
        <f t="shared" si="17"/>
        <v>7.5935554271776118E-2</v>
      </c>
      <c r="L292" t="str">
        <f>VLOOKUP(B292,товар!$A$1:$C$433,3,FALSE)</f>
        <v>Rich</v>
      </c>
      <c r="M292" s="24">
        <f t="shared" si="18"/>
        <v>6.1524334251606971E-2</v>
      </c>
      <c r="N292" s="29">
        <f t="shared" si="19"/>
        <v>272.25</v>
      </c>
      <c r="O292" s="32">
        <f>VLOOKUP(H292,клиенты!$A$2:$G$435,5,FALSE)</f>
        <v>44620</v>
      </c>
      <c r="P292">
        <f>Продажи[[#This Row],[дата создания чека]]-Продажи[[#This Row],[Дата регистрации клиента]]</f>
        <v>547</v>
      </c>
      <c r="Q292" t="str">
        <f>VLOOKUP(H292,Таблица3[],7,FALSE)</f>
        <v>Россия</v>
      </c>
    </row>
    <row r="293" spans="1:17" x14ac:dyDescent="0.3">
      <c r="A293">
        <v>292</v>
      </c>
      <c r="B293">
        <v>328</v>
      </c>
      <c r="C293">
        <v>448</v>
      </c>
      <c r="D293">
        <v>4</v>
      </c>
      <c r="E293">
        <v>1792</v>
      </c>
      <c r="F293" s="32">
        <v>45166</v>
      </c>
      <c r="G293" t="s">
        <v>18</v>
      </c>
      <c r="H293">
        <v>86</v>
      </c>
      <c r="I293" t="str">
        <f>VLOOKUP(B293,товар!$A$1:$C$433,2,FALSE)</f>
        <v>Чипсы</v>
      </c>
      <c r="J293" s="22">
        <f t="shared" si="16"/>
        <v>273.72549019607845</v>
      </c>
      <c r="K293" s="24">
        <f t="shared" si="17"/>
        <v>0.63667621776504291</v>
      </c>
      <c r="L293" t="str">
        <f>VLOOKUP(B293,товар!$A$1:$C$433,3,FALSE)</f>
        <v>Русская картошка</v>
      </c>
      <c r="M293" s="24">
        <f t="shared" si="18"/>
        <v>0.85251550654720876</v>
      </c>
      <c r="N293" s="29">
        <f t="shared" si="19"/>
        <v>241.83333333333334</v>
      </c>
      <c r="O293" s="32">
        <f>VLOOKUP(H293,клиенты!$A$2:$G$435,5,FALSE)</f>
        <v>44692</v>
      </c>
      <c r="P293">
        <f>Продажи[[#This Row],[дата создания чека]]-Продажи[[#This Row],[Дата регистрации клиента]]</f>
        <v>474</v>
      </c>
      <c r="Q293" t="str">
        <f>VLOOKUP(H293,Таблица3[],7,FALSE)</f>
        <v>Узбекистан</v>
      </c>
    </row>
    <row r="294" spans="1:17" x14ac:dyDescent="0.3">
      <c r="A294">
        <v>293</v>
      </c>
      <c r="B294">
        <v>424</v>
      </c>
      <c r="C294">
        <v>226</v>
      </c>
      <c r="D294">
        <v>2</v>
      </c>
      <c r="E294">
        <v>452</v>
      </c>
      <c r="F294" s="32">
        <v>45108</v>
      </c>
      <c r="G294" t="s">
        <v>17</v>
      </c>
      <c r="H294">
        <v>397</v>
      </c>
      <c r="I294" t="str">
        <f>VLOOKUP(B294,товар!$A$1:$C$433,2,FALSE)</f>
        <v>Печенье</v>
      </c>
      <c r="J294" s="22">
        <f t="shared" si="16"/>
        <v>283.468085106383</v>
      </c>
      <c r="K294" s="24">
        <f t="shared" si="17"/>
        <v>-0.20273211739097807</v>
      </c>
      <c r="L294" t="str">
        <f>VLOOKUP(B294,товар!$A$1:$C$433,3,FALSE)</f>
        <v>КДВ</v>
      </c>
      <c r="M294" s="24">
        <f t="shared" si="18"/>
        <v>-0.30047619047619056</v>
      </c>
      <c r="N294" s="29">
        <f t="shared" si="19"/>
        <v>323.07692307692309</v>
      </c>
      <c r="O294" s="32">
        <f>VLOOKUP(H294,клиенты!$A$2:$G$435,5,FALSE)</f>
        <v>44728</v>
      </c>
      <c r="P294">
        <f>Продажи[[#This Row],[дата создания чека]]-Продажи[[#This Row],[Дата регистрации клиента]]</f>
        <v>380</v>
      </c>
      <c r="Q294" t="str">
        <f>VLOOKUP(H294,Таблица3[],7,FALSE)</f>
        <v>Беларусь</v>
      </c>
    </row>
    <row r="295" spans="1:17" x14ac:dyDescent="0.3">
      <c r="A295">
        <v>294</v>
      </c>
      <c r="B295">
        <v>86</v>
      </c>
      <c r="C295">
        <v>261</v>
      </c>
      <c r="D295">
        <v>5</v>
      </c>
      <c r="E295">
        <v>1305</v>
      </c>
      <c r="F295" s="32">
        <v>45001</v>
      </c>
      <c r="G295" t="s">
        <v>10</v>
      </c>
      <c r="H295">
        <v>319</v>
      </c>
      <c r="I295" t="str">
        <f>VLOOKUP(B295,товар!$A$1:$C$433,2,FALSE)</f>
        <v>Сахар</v>
      </c>
      <c r="J295" s="22">
        <f t="shared" si="16"/>
        <v>252.76271186440678</v>
      </c>
      <c r="K295" s="24">
        <f t="shared" si="17"/>
        <v>3.2589016294508166E-2</v>
      </c>
      <c r="L295" t="str">
        <f>VLOOKUP(B295,товар!$A$1:$C$433,3,FALSE)</f>
        <v>Русский сахар</v>
      </c>
      <c r="M295" s="24">
        <f t="shared" si="18"/>
        <v>-0.11046511627906985</v>
      </c>
      <c r="N295" s="29">
        <f t="shared" si="19"/>
        <v>293.41176470588238</v>
      </c>
      <c r="O295" s="32">
        <f>VLOOKUP(H295,клиенты!$A$2:$G$435,5,FALSE)</f>
        <v>44674</v>
      </c>
      <c r="P295">
        <f>Продажи[[#This Row],[дата создания чека]]-Продажи[[#This Row],[Дата регистрации клиента]]</f>
        <v>327</v>
      </c>
      <c r="Q295" t="str">
        <f>VLOOKUP(H295,Таблица3[],7,FALSE)</f>
        <v>Узбекистан</v>
      </c>
    </row>
    <row r="296" spans="1:17" x14ac:dyDescent="0.3">
      <c r="A296">
        <v>295</v>
      </c>
      <c r="B296">
        <v>17</v>
      </c>
      <c r="C296">
        <v>253</v>
      </c>
      <c r="D296">
        <v>3</v>
      </c>
      <c r="E296">
        <v>759</v>
      </c>
      <c r="F296" s="32">
        <v>45369</v>
      </c>
      <c r="G296" t="s">
        <v>23</v>
      </c>
      <c r="H296">
        <v>290</v>
      </c>
      <c r="I296" t="str">
        <f>VLOOKUP(B296,товар!$A$1:$C$433,2,FALSE)</f>
        <v>Кофе</v>
      </c>
      <c r="J296" s="22">
        <f t="shared" si="16"/>
        <v>249.02380952380952</v>
      </c>
      <c r="K296" s="24">
        <f t="shared" si="17"/>
        <v>1.5967109666316093E-2</v>
      </c>
      <c r="L296" t="str">
        <f>VLOOKUP(B296,товар!$A$1:$C$433,3,FALSE)</f>
        <v>Jacobs</v>
      </c>
      <c r="M296" s="24">
        <f t="shared" si="18"/>
        <v>-8.4032012195122019E-2</v>
      </c>
      <c r="N296" s="29">
        <f t="shared" si="19"/>
        <v>276.21052631578948</v>
      </c>
      <c r="O296" s="32">
        <f>VLOOKUP(H296,клиенты!$A$2:$G$435,5,FALSE)</f>
        <v>44777</v>
      </c>
      <c r="P296">
        <f>Продажи[[#This Row],[дата создания чека]]-Продажи[[#This Row],[Дата регистрации клиента]]</f>
        <v>592</v>
      </c>
      <c r="Q296" t="str">
        <f>VLOOKUP(H296,Таблица3[],7,FALSE)</f>
        <v>Россия</v>
      </c>
    </row>
    <row r="297" spans="1:17" x14ac:dyDescent="0.3">
      <c r="A297">
        <v>296</v>
      </c>
      <c r="B297">
        <v>43</v>
      </c>
      <c r="C297">
        <v>457</v>
      </c>
      <c r="D297">
        <v>3</v>
      </c>
      <c r="E297">
        <v>1371</v>
      </c>
      <c r="F297" s="32">
        <v>44943</v>
      </c>
      <c r="G297" t="s">
        <v>16</v>
      </c>
      <c r="H297">
        <v>13</v>
      </c>
      <c r="I297" t="str">
        <f>VLOOKUP(B297,товар!$A$1:$C$433,2,FALSE)</f>
        <v>Печенье</v>
      </c>
      <c r="J297" s="22">
        <f t="shared" si="16"/>
        <v>283.468085106383</v>
      </c>
      <c r="K297" s="24">
        <f t="shared" si="17"/>
        <v>0.61217443518726999</v>
      </c>
      <c r="L297" t="str">
        <f>VLOOKUP(B297,товар!$A$1:$C$433,3,FALSE)</f>
        <v>КДВ</v>
      </c>
      <c r="M297" s="24">
        <f t="shared" si="18"/>
        <v>0.41452380952380952</v>
      </c>
      <c r="N297" s="29">
        <f t="shared" si="19"/>
        <v>323.07692307692309</v>
      </c>
      <c r="O297" s="32">
        <f>VLOOKUP(H297,клиенты!$A$2:$G$435,5,FALSE)</f>
        <v>44724</v>
      </c>
      <c r="P297">
        <f>Продажи[[#This Row],[дата создания чека]]-Продажи[[#This Row],[Дата регистрации клиента]]</f>
        <v>219</v>
      </c>
      <c r="Q297" t="str">
        <f>VLOOKUP(H297,Таблица3[],7,FALSE)</f>
        <v>Россия</v>
      </c>
    </row>
    <row r="298" spans="1:17" x14ac:dyDescent="0.3">
      <c r="A298">
        <v>297</v>
      </c>
      <c r="B298">
        <v>5</v>
      </c>
      <c r="C298">
        <v>65</v>
      </c>
      <c r="D298">
        <v>5</v>
      </c>
      <c r="E298">
        <v>325</v>
      </c>
      <c r="F298" s="32">
        <v>45251</v>
      </c>
      <c r="G298" t="s">
        <v>22</v>
      </c>
      <c r="H298">
        <v>302</v>
      </c>
      <c r="I298" t="str">
        <f>VLOOKUP(B298,товар!$A$1:$C$433,2,FALSE)</f>
        <v>Макароны</v>
      </c>
      <c r="J298" s="22">
        <f t="shared" si="16"/>
        <v>265.47674418604652</v>
      </c>
      <c r="K298" s="24">
        <f t="shared" si="17"/>
        <v>-0.75515746134641493</v>
      </c>
      <c r="L298" t="str">
        <f>VLOOKUP(B298,товар!$A$1:$C$433,3,FALSE)</f>
        <v>Роллтон</v>
      </c>
      <c r="M298" s="24">
        <f t="shared" si="18"/>
        <v>-0.72405660377358494</v>
      </c>
      <c r="N298" s="29">
        <f t="shared" si="19"/>
        <v>235.55555555555554</v>
      </c>
      <c r="O298" s="32">
        <f>VLOOKUP(H298,клиенты!$A$2:$G$435,5,FALSE)</f>
        <v>44859</v>
      </c>
      <c r="P298">
        <f>Продажи[[#This Row],[дата создания чека]]-Продажи[[#This Row],[Дата регистрации клиента]]</f>
        <v>392</v>
      </c>
      <c r="Q298" t="str">
        <f>VLOOKUP(H298,Таблица3[],7,FALSE)</f>
        <v>Россия</v>
      </c>
    </row>
    <row r="299" spans="1:17" x14ac:dyDescent="0.3">
      <c r="A299">
        <v>298</v>
      </c>
      <c r="B299">
        <v>298</v>
      </c>
      <c r="C299">
        <v>65</v>
      </c>
      <c r="D299">
        <v>1</v>
      </c>
      <c r="E299">
        <v>65</v>
      </c>
      <c r="F299" s="32">
        <v>44985</v>
      </c>
      <c r="G299" t="s">
        <v>27</v>
      </c>
      <c r="H299">
        <v>453</v>
      </c>
      <c r="I299" t="str">
        <f>VLOOKUP(B299,товар!$A$1:$C$433,2,FALSE)</f>
        <v>Крупа</v>
      </c>
      <c r="J299" s="22">
        <f t="shared" si="16"/>
        <v>255.11627906976744</v>
      </c>
      <c r="K299" s="24">
        <f t="shared" si="17"/>
        <v>-0.74521422060164078</v>
      </c>
      <c r="L299" t="str">
        <f>VLOOKUP(B299,товар!$A$1:$C$433,3,FALSE)</f>
        <v>Увелка</v>
      </c>
      <c r="M299" s="24">
        <f t="shared" si="18"/>
        <v>-0.74197816738339395</v>
      </c>
      <c r="N299" s="29">
        <f t="shared" si="19"/>
        <v>251.91666666666666</v>
      </c>
      <c r="O299" s="32">
        <f>VLOOKUP(H299,клиенты!$A$2:$G$435,5,FALSE)</f>
        <v>44635</v>
      </c>
      <c r="P299">
        <f>Продажи[[#This Row],[дата создания чека]]-Продажи[[#This Row],[Дата регистрации клиента]]</f>
        <v>350</v>
      </c>
      <c r="Q299" t="str">
        <f>VLOOKUP(H299,Таблица3[],7,FALSE)</f>
        <v>Россия</v>
      </c>
    </row>
    <row r="300" spans="1:17" x14ac:dyDescent="0.3">
      <c r="A300">
        <v>299</v>
      </c>
      <c r="B300">
        <v>436</v>
      </c>
      <c r="C300">
        <v>320</v>
      </c>
      <c r="D300">
        <v>3</v>
      </c>
      <c r="E300">
        <v>960</v>
      </c>
      <c r="F300" s="32">
        <v>45388</v>
      </c>
      <c r="G300" t="s">
        <v>21</v>
      </c>
      <c r="H300">
        <v>16</v>
      </c>
      <c r="I300" t="str">
        <f>VLOOKUP(B300,товар!$A$1:$C$433,2,FALSE)</f>
        <v>Овощи</v>
      </c>
      <c r="J300" s="22">
        <f t="shared" si="16"/>
        <v>250.48780487804879</v>
      </c>
      <c r="K300" s="24">
        <f t="shared" si="17"/>
        <v>0.27750730282375846</v>
      </c>
      <c r="L300" t="str">
        <f>VLOOKUP(B300,товар!$A$1:$C$433,3,FALSE)</f>
        <v>Гавриш</v>
      </c>
      <c r="M300" s="24">
        <f t="shared" si="18"/>
        <v>0.29205921938088841</v>
      </c>
      <c r="N300" s="29">
        <f t="shared" si="19"/>
        <v>247.66666666666666</v>
      </c>
      <c r="O300" s="32">
        <f>VLOOKUP(H300,клиенты!$A$2:$G$435,5,FALSE)</f>
        <v>44713</v>
      </c>
      <c r="P300">
        <f>Продажи[[#This Row],[дата создания чека]]-Продажи[[#This Row],[Дата регистрации клиента]]</f>
        <v>675</v>
      </c>
      <c r="Q300" t="str">
        <f>VLOOKUP(H300,Таблица3[],7,FALSE)</f>
        <v>Украина</v>
      </c>
    </row>
    <row r="301" spans="1:17" x14ac:dyDescent="0.3">
      <c r="A301">
        <v>300</v>
      </c>
      <c r="B301">
        <v>421</v>
      </c>
      <c r="C301">
        <v>145</v>
      </c>
      <c r="D301">
        <v>4</v>
      </c>
      <c r="E301">
        <v>580</v>
      </c>
      <c r="F301" s="32">
        <v>45323</v>
      </c>
      <c r="G301" t="s">
        <v>21</v>
      </c>
      <c r="H301">
        <v>120</v>
      </c>
      <c r="I301" t="str">
        <f>VLOOKUP(B301,товар!$A$1:$C$433,2,FALSE)</f>
        <v>Чай</v>
      </c>
      <c r="J301" s="22">
        <f t="shared" si="16"/>
        <v>271.18181818181819</v>
      </c>
      <c r="K301" s="24">
        <f t="shared" si="17"/>
        <v>-0.46530338585316799</v>
      </c>
      <c r="L301" t="str">
        <f>VLOOKUP(B301,товар!$A$1:$C$433,3,FALSE)</f>
        <v>Greenfield</v>
      </c>
      <c r="M301" s="24">
        <f t="shared" si="18"/>
        <v>-0.50249532127261376</v>
      </c>
      <c r="N301" s="29">
        <f t="shared" si="19"/>
        <v>291.45454545454544</v>
      </c>
      <c r="O301" s="32">
        <f>VLOOKUP(H301,клиенты!$A$2:$G$435,5,FALSE)</f>
        <v>44691</v>
      </c>
      <c r="P301">
        <f>Продажи[[#This Row],[дата создания чека]]-Продажи[[#This Row],[Дата регистрации клиента]]</f>
        <v>632</v>
      </c>
      <c r="Q301" t="str">
        <f>VLOOKUP(H301,Таблица3[],7,FALSE)</f>
        <v>Россия</v>
      </c>
    </row>
    <row r="302" spans="1:17" x14ac:dyDescent="0.3">
      <c r="A302">
        <v>301</v>
      </c>
      <c r="B302">
        <v>223</v>
      </c>
      <c r="C302">
        <v>467</v>
      </c>
      <c r="D302">
        <v>5</v>
      </c>
      <c r="E302">
        <v>2335</v>
      </c>
      <c r="F302" s="32">
        <v>45310</v>
      </c>
      <c r="G302" t="s">
        <v>12</v>
      </c>
      <c r="H302">
        <v>295</v>
      </c>
      <c r="I302" t="str">
        <f>VLOOKUP(B302,товар!$A$1:$C$433,2,FALSE)</f>
        <v>Чай</v>
      </c>
      <c r="J302" s="22">
        <f t="shared" si="16"/>
        <v>271.18181818181819</v>
      </c>
      <c r="K302" s="24">
        <f t="shared" si="17"/>
        <v>0.72209185383841756</v>
      </c>
      <c r="L302" t="str">
        <f>VLOOKUP(B302,товар!$A$1:$C$433,3,FALSE)</f>
        <v>Greenfield</v>
      </c>
      <c r="M302" s="24">
        <f t="shared" si="18"/>
        <v>0.60230817217716792</v>
      </c>
      <c r="N302" s="29">
        <f t="shared" si="19"/>
        <v>291.45454545454544</v>
      </c>
      <c r="O302" s="32">
        <f>VLOOKUP(H302,клиенты!$A$2:$G$435,5,FALSE)</f>
        <v>44588</v>
      </c>
      <c r="P302">
        <f>Продажи[[#This Row],[дата создания чека]]-Продажи[[#This Row],[Дата регистрации клиента]]</f>
        <v>722</v>
      </c>
      <c r="Q302" t="str">
        <f>VLOOKUP(H302,Таблица3[],7,FALSE)</f>
        <v>Россия</v>
      </c>
    </row>
    <row r="303" spans="1:17" x14ac:dyDescent="0.3">
      <c r="A303">
        <v>302</v>
      </c>
      <c r="B303">
        <v>483</v>
      </c>
      <c r="C303">
        <v>124</v>
      </c>
      <c r="D303">
        <v>4</v>
      </c>
      <c r="E303">
        <v>496</v>
      </c>
      <c r="F303" s="32">
        <v>45299</v>
      </c>
      <c r="G303" t="s">
        <v>14</v>
      </c>
      <c r="H303">
        <v>381</v>
      </c>
      <c r="I303" t="str">
        <f>VLOOKUP(B303,товар!$A$1:$C$433,2,FALSE)</f>
        <v>Колбаса</v>
      </c>
      <c r="J303" s="22">
        <f t="shared" si="16"/>
        <v>286.92307692307691</v>
      </c>
      <c r="K303" s="24">
        <f t="shared" si="17"/>
        <v>-0.56782841823056296</v>
      </c>
      <c r="L303" t="str">
        <f>VLOOKUP(B303,товар!$A$1:$C$433,3,FALSE)</f>
        <v>Дымов</v>
      </c>
      <c r="M303" s="24">
        <f t="shared" si="18"/>
        <v>-0.60341151385927505</v>
      </c>
      <c r="N303" s="29">
        <f t="shared" si="19"/>
        <v>312.66666666666669</v>
      </c>
      <c r="O303" s="32">
        <f>VLOOKUP(H303,клиенты!$A$2:$G$435,5,FALSE)</f>
        <v>44714</v>
      </c>
      <c r="P303">
        <f>Продажи[[#This Row],[дата создания чека]]-Продажи[[#This Row],[Дата регистрации клиента]]</f>
        <v>585</v>
      </c>
      <c r="Q303" t="str">
        <f>VLOOKUP(H303,Таблица3[],7,FALSE)</f>
        <v>Узбекистан</v>
      </c>
    </row>
    <row r="304" spans="1:17" x14ac:dyDescent="0.3">
      <c r="A304">
        <v>303</v>
      </c>
      <c r="B304">
        <v>414</v>
      </c>
      <c r="C304">
        <v>406</v>
      </c>
      <c r="D304">
        <v>3</v>
      </c>
      <c r="E304">
        <v>1218</v>
      </c>
      <c r="F304" s="32">
        <v>45246</v>
      </c>
      <c r="G304" t="s">
        <v>11</v>
      </c>
      <c r="H304">
        <v>287</v>
      </c>
      <c r="I304" t="str">
        <f>VLOOKUP(B304,товар!$A$1:$C$433,2,FALSE)</f>
        <v>Фрукты</v>
      </c>
      <c r="J304" s="22">
        <f t="shared" si="16"/>
        <v>274.16279069767444</v>
      </c>
      <c r="K304" s="24">
        <f t="shared" si="17"/>
        <v>0.48087199932140123</v>
      </c>
      <c r="L304" t="str">
        <f>VLOOKUP(B304,товар!$A$1:$C$433,3,FALSE)</f>
        <v>Экзотик</v>
      </c>
      <c r="M304" s="24">
        <f t="shared" si="18"/>
        <v>0.60039418576003944</v>
      </c>
      <c r="N304" s="29">
        <f t="shared" si="19"/>
        <v>253.6875</v>
      </c>
      <c r="O304" s="32">
        <f>VLOOKUP(H304,клиенты!$A$2:$G$435,5,FALSE)</f>
        <v>44608</v>
      </c>
      <c r="P304">
        <f>Продажи[[#This Row],[дата создания чека]]-Продажи[[#This Row],[Дата регистрации клиента]]</f>
        <v>638</v>
      </c>
      <c r="Q304" t="str">
        <f>VLOOKUP(H304,Таблица3[],7,FALSE)</f>
        <v>Россия</v>
      </c>
    </row>
    <row r="305" spans="1:17" x14ac:dyDescent="0.3">
      <c r="A305">
        <v>304</v>
      </c>
      <c r="B305">
        <v>389</v>
      </c>
      <c r="C305">
        <v>76</v>
      </c>
      <c r="D305">
        <v>4</v>
      </c>
      <c r="E305">
        <v>304</v>
      </c>
      <c r="F305" s="32">
        <v>45067</v>
      </c>
      <c r="G305" t="s">
        <v>18</v>
      </c>
      <c r="H305">
        <v>415</v>
      </c>
      <c r="I305" t="str">
        <f>VLOOKUP(B305,товар!$A$1:$C$433,2,FALSE)</f>
        <v>Чай</v>
      </c>
      <c r="J305" s="22">
        <f t="shared" si="16"/>
        <v>271.18181818181819</v>
      </c>
      <c r="K305" s="24">
        <f t="shared" si="17"/>
        <v>-0.71974522292993637</v>
      </c>
      <c r="L305" t="str">
        <f>VLOOKUP(B305,товар!$A$1:$C$433,3,FALSE)</f>
        <v>Ахмад</v>
      </c>
      <c r="M305" s="24">
        <f t="shared" si="18"/>
        <v>-0.6876284422523633</v>
      </c>
      <c r="N305" s="29">
        <f t="shared" si="19"/>
        <v>243.3</v>
      </c>
      <c r="O305" s="32">
        <f>VLOOKUP(H305,клиенты!$A$2:$G$435,5,FALSE)</f>
        <v>44661</v>
      </c>
      <c r="P305">
        <f>Продажи[[#This Row],[дата создания чека]]-Продажи[[#This Row],[Дата регистрации клиента]]</f>
        <v>406</v>
      </c>
      <c r="Q305" t="str">
        <f>VLOOKUP(H305,Таблица3[],7,FALSE)</f>
        <v>Украина</v>
      </c>
    </row>
    <row r="306" spans="1:17" x14ac:dyDescent="0.3">
      <c r="A306">
        <v>305</v>
      </c>
      <c r="B306">
        <v>367</v>
      </c>
      <c r="C306">
        <v>79</v>
      </c>
      <c r="D306">
        <v>5</v>
      </c>
      <c r="E306">
        <v>395</v>
      </c>
      <c r="F306" s="32">
        <v>45107</v>
      </c>
      <c r="G306" t="s">
        <v>26</v>
      </c>
      <c r="H306">
        <v>292</v>
      </c>
      <c r="I306" t="str">
        <f>VLOOKUP(B306,товар!$A$1:$C$433,2,FALSE)</f>
        <v>Колбаса</v>
      </c>
      <c r="J306" s="22">
        <f t="shared" si="16"/>
        <v>286.92307692307691</v>
      </c>
      <c r="K306" s="24">
        <f t="shared" si="17"/>
        <v>-0.72466487935656843</v>
      </c>
      <c r="L306" t="str">
        <f>VLOOKUP(B306,товар!$A$1:$C$433,3,FALSE)</f>
        <v>Окраина</v>
      </c>
      <c r="M306" s="24">
        <f t="shared" si="18"/>
        <v>-0.71123971976850442</v>
      </c>
      <c r="N306" s="29">
        <f t="shared" si="19"/>
        <v>273.58333333333331</v>
      </c>
      <c r="O306" s="32">
        <f>VLOOKUP(H306,клиенты!$A$2:$G$435,5,FALSE)</f>
        <v>44608</v>
      </c>
      <c r="P306">
        <f>Продажи[[#This Row],[дата создания чека]]-Продажи[[#This Row],[Дата регистрации клиента]]</f>
        <v>499</v>
      </c>
      <c r="Q306" t="str">
        <f>VLOOKUP(H306,Таблица3[],7,FALSE)</f>
        <v>Россия</v>
      </c>
    </row>
    <row r="307" spans="1:17" x14ac:dyDescent="0.3">
      <c r="A307">
        <v>306</v>
      </c>
      <c r="B307">
        <v>128</v>
      </c>
      <c r="C307">
        <v>466</v>
      </c>
      <c r="D307">
        <v>1</v>
      </c>
      <c r="E307">
        <v>466</v>
      </c>
      <c r="F307" s="32">
        <v>44984</v>
      </c>
      <c r="G307" t="s">
        <v>27</v>
      </c>
      <c r="H307">
        <v>389</v>
      </c>
      <c r="I307" t="str">
        <f>VLOOKUP(B307,товар!$A$1:$C$433,2,FALSE)</f>
        <v>Мясо</v>
      </c>
      <c r="J307" s="22">
        <f t="shared" si="16"/>
        <v>271.74545454545455</v>
      </c>
      <c r="K307" s="24">
        <f t="shared" si="17"/>
        <v>0.71484009099424584</v>
      </c>
      <c r="L307" t="str">
        <f>VLOOKUP(B307,товар!$A$1:$C$433,3,FALSE)</f>
        <v>Мираторг</v>
      </c>
      <c r="M307" s="24">
        <f t="shared" si="18"/>
        <v>0.47196630692287456</v>
      </c>
      <c r="N307" s="29">
        <f t="shared" si="19"/>
        <v>316.58333333333331</v>
      </c>
      <c r="O307" s="32">
        <f>VLOOKUP(H307,клиенты!$A$2:$G$435,5,FALSE)</f>
        <v>44876</v>
      </c>
      <c r="P307">
        <f>Продажи[[#This Row],[дата создания чека]]-Продажи[[#This Row],[Дата регистрации клиента]]</f>
        <v>108</v>
      </c>
      <c r="Q307" t="str">
        <f>VLOOKUP(H307,Таблица3[],7,FALSE)</f>
        <v>Россия</v>
      </c>
    </row>
    <row r="308" spans="1:17" x14ac:dyDescent="0.3">
      <c r="A308">
        <v>307</v>
      </c>
      <c r="B308">
        <v>368</v>
      </c>
      <c r="C308">
        <v>265</v>
      </c>
      <c r="D308">
        <v>5</v>
      </c>
      <c r="E308">
        <v>1325</v>
      </c>
      <c r="F308" s="32">
        <v>45192</v>
      </c>
      <c r="G308" t="s">
        <v>15</v>
      </c>
      <c r="H308">
        <v>106</v>
      </c>
      <c r="I308" t="str">
        <f>VLOOKUP(B308,товар!$A$1:$C$433,2,FALSE)</f>
        <v>Сыр</v>
      </c>
      <c r="J308" s="22">
        <f t="shared" si="16"/>
        <v>262.63492063492066</v>
      </c>
      <c r="K308" s="24">
        <f t="shared" si="17"/>
        <v>9.0051976308471726E-3</v>
      </c>
      <c r="L308" t="str">
        <f>VLOOKUP(B308,товар!$A$1:$C$433,3,FALSE)</f>
        <v>Сырная долина</v>
      </c>
      <c r="M308" s="24">
        <f t="shared" si="18"/>
        <v>-2.2140221402214055E-2</v>
      </c>
      <c r="N308" s="29">
        <f t="shared" si="19"/>
        <v>271</v>
      </c>
      <c r="O308" s="32">
        <f>VLOOKUP(H308,клиенты!$A$2:$G$435,5,FALSE)</f>
        <v>44858</v>
      </c>
      <c r="P308">
        <f>Продажи[[#This Row],[дата создания чека]]-Продажи[[#This Row],[Дата регистрации клиента]]</f>
        <v>334</v>
      </c>
      <c r="Q308" t="str">
        <f>VLOOKUP(H308,Таблица3[],7,FALSE)</f>
        <v>Украина</v>
      </c>
    </row>
    <row r="309" spans="1:17" x14ac:dyDescent="0.3">
      <c r="A309">
        <v>308</v>
      </c>
      <c r="B309">
        <v>74</v>
      </c>
      <c r="C309">
        <v>397</v>
      </c>
      <c r="D309">
        <v>2</v>
      </c>
      <c r="E309">
        <v>794</v>
      </c>
      <c r="F309" s="32">
        <v>45178</v>
      </c>
      <c r="G309" t="s">
        <v>19</v>
      </c>
      <c r="H309">
        <v>458</v>
      </c>
      <c r="I309" t="str">
        <f>VLOOKUP(B309,товар!$A$1:$C$433,2,FALSE)</f>
        <v>Колбаса</v>
      </c>
      <c r="J309" s="22">
        <f t="shared" si="16"/>
        <v>286.92307692307691</v>
      </c>
      <c r="K309" s="24">
        <f t="shared" si="17"/>
        <v>0.38364611260053638</v>
      </c>
      <c r="L309" t="str">
        <f>VLOOKUP(B309,товар!$A$1:$C$433,3,FALSE)</f>
        <v>Черкизово</v>
      </c>
      <c r="M309" s="24">
        <f t="shared" si="18"/>
        <v>0.23965651834504298</v>
      </c>
      <c r="N309" s="29">
        <f t="shared" si="19"/>
        <v>320.25</v>
      </c>
      <c r="O309" s="32">
        <f>VLOOKUP(H309,клиенты!$A$2:$G$435,5,FALSE)</f>
        <v>44694</v>
      </c>
      <c r="P309">
        <f>Продажи[[#This Row],[дата создания чека]]-Продажи[[#This Row],[Дата регистрации клиента]]</f>
        <v>484</v>
      </c>
      <c r="Q309" t="str">
        <f>VLOOKUP(H309,Таблица3[],7,FALSE)</f>
        <v>Россия</v>
      </c>
    </row>
    <row r="310" spans="1:17" x14ac:dyDescent="0.3">
      <c r="A310">
        <v>309</v>
      </c>
      <c r="B310">
        <v>276</v>
      </c>
      <c r="C310">
        <v>359</v>
      </c>
      <c r="D310">
        <v>2</v>
      </c>
      <c r="E310">
        <v>718</v>
      </c>
      <c r="F310" s="32">
        <v>45147</v>
      </c>
      <c r="G310" t="s">
        <v>13</v>
      </c>
      <c r="H310">
        <v>203</v>
      </c>
      <c r="I310" t="str">
        <f>VLOOKUP(B310,товар!$A$1:$C$433,2,FALSE)</f>
        <v>Колбаса</v>
      </c>
      <c r="J310" s="22">
        <f t="shared" si="16"/>
        <v>286.92307692307691</v>
      </c>
      <c r="K310" s="24">
        <f t="shared" si="17"/>
        <v>0.25120643431635403</v>
      </c>
      <c r="L310" t="str">
        <f>VLOOKUP(B310,товар!$A$1:$C$433,3,FALSE)</f>
        <v>Дымов</v>
      </c>
      <c r="M310" s="24">
        <f t="shared" si="18"/>
        <v>0.14818763326226003</v>
      </c>
      <c r="N310" s="29">
        <f t="shared" si="19"/>
        <v>312.66666666666669</v>
      </c>
      <c r="O310" s="32">
        <f>VLOOKUP(H310,клиенты!$A$2:$G$435,5,FALSE)</f>
        <v>44685</v>
      </c>
      <c r="P310">
        <f>Продажи[[#This Row],[дата создания чека]]-Продажи[[#This Row],[Дата регистрации клиента]]</f>
        <v>462</v>
      </c>
      <c r="Q310" t="str">
        <f>VLOOKUP(H310,Таблица3[],7,FALSE)</f>
        <v>Россия</v>
      </c>
    </row>
    <row r="311" spans="1:17" x14ac:dyDescent="0.3">
      <c r="A311">
        <v>310</v>
      </c>
      <c r="B311">
        <v>149</v>
      </c>
      <c r="C311">
        <v>168</v>
      </c>
      <c r="D311">
        <v>4</v>
      </c>
      <c r="E311">
        <v>672</v>
      </c>
      <c r="F311" s="32">
        <v>44936</v>
      </c>
      <c r="G311" t="s">
        <v>9</v>
      </c>
      <c r="H311">
        <v>1</v>
      </c>
      <c r="I311" t="str">
        <f>VLOOKUP(B311,товар!$A$1:$C$433,2,FALSE)</f>
        <v>Конфеты</v>
      </c>
      <c r="J311" s="22">
        <f t="shared" si="16"/>
        <v>267.85483870967744</v>
      </c>
      <c r="K311" s="24">
        <f t="shared" si="17"/>
        <v>-0.37279460468477155</v>
      </c>
      <c r="L311" t="str">
        <f>VLOOKUP(B311,товар!$A$1:$C$433,3,FALSE)</f>
        <v>Бабаевский</v>
      </c>
      <c r="M311" s="24">
        <f t="shared" si="18"/>
        <v>-0.3286961669379902</v>
      </c>
      <c r="N311" s="29">
        <f t="shared" si="19"/>
        <v>250.25925925925927</v>
      </c>
      <c r="O311" s="32">
        <f>VLOOKUP(H311,клиенты!$A$2:$G$435,5,FALSE)</f>
        <v>44585</v>
      </c>
      <c r="P311">
        <f>Продажи[[#This Row],[дата создания чека]]-Продажи[[#This Row],[Дата регистрации клиента]]</f>
        <v>351</v>
      </c>
      <c r="Q311" t="str">
        <f>VLOOKUP(H311,Таблица3[],7,FALSE)</f>
        <v>Россия</v>
      </c>
    </row>
    <row r="312" spans="1:17" x14ac:dyDescent="0.3">
      <c r="A312">
        <v>311</v>
      </c>
      <c r="B312">
        <v>229</v>
      </c>
      <c r="C312">
        <v>156</v>
      </c>
      <c r="D312">
        <v>4</v>
      </c>
      <c r="E312">
        <v>624</v>
      </c>
      <c r="F312" s="32">
        <v>45168</v>
      </c>
      <c r="G312" t="s">
        <v>22</v>
      </c>
      <c r="H312">
        <v>204</v>
      </c>
      <c r="I312" t="str">
        <f>VLOOKUP(B312,товар!$A$1:$C$433,2,FALSE)</f>
        <v>Мясо</v>
      </c>
      <c r="J312" s="22">
        <f t="shared" si="16"/>
        <v>271.74545454545455</v>
      </c>
      <c r="K312" s="24">
        <f t="shared" si="17"/>
        <v>-0.42593336009634686</v>
      </c>
      <c r="L312" t="str">
        <f>VLOOKUP(B312,товар!$A$1:$C$433,3,FALSE)</f>
        <v>Сава</v>
      </c>
      <c r="M312" s="24">
        <f t="shared" si="18"/>
        <v>-0.2669603524229075</v>
      </c>
      <c r="N312" s="29">
        <f t="shared" si="19"/>
        <v>212.8125</v>
      </c>
      <c r="O312" s="32">
        <f>VLOOKUP(H312,клиенты!$A$2:$G$435,5,FALSE)</f>
        <v>44867</v>
      </c>
      <c r="P312">
        <f>Продажи[[#This Row],[дата создания чека]]-Продажи[[#This Row],[Дата регистрации клиента]]</f>
        <v>301</v>
      </c>
      <c r="Q312" t="str">
        <f>VLOOKUP(H312,Таблица3[],7,FALSE)</f>
        <v>Россия</v>
      </c>
    </row>
    <row r="313" spans="1:17" x14ac:dyDescent="0.3">
      <c r="A313">
        <v>312</v>
      </c>
      <c r="B313">
        <v>28</v>
      </c>
      <c r="C313">
        <v>78</v>
      </c>
      <c r="D313">
        <v>4</v>
      </c>
      <c r="E313">
        <v>312</v>
      </c>
      <c r="F313" s="32">
        <v>44955</v>
      </c>
      <c r="G313" t="s">
        <v>22</v>
      </c>
      <c r="H313">
        <v>490</v>
      </c>
      <c r="I313" t="str">
        <f>VLOOKUP(B313,товар!$A$1:$C$433,2,FALSE)</f>
        <v>Крупа</v>
      </c>
      <c r="J313" s="22">
        <f t="shared" si="16"/>
        <v>255.11627906976744</v>
      </c>
      <c r="K313" s="24">
        <f t="shared" si="17"/>
        <v>-0.69425706472196902</v>
      </c>
      <c r="L313" t="str">
        <f>VLOOKUP(B313,товар!$A$1:$C$433,3,FALSE)</f>
        <v>Националь</v>
      </c>
      <c r="M313" s="24">
        <f t="shared" si="18"/>
        <v>-0.71562499999999996</v>
      </c>
      <c r="N313" s="29">
        <f t="shared" si="19"/>
        <v>274.28571428571428</v>
      </c>
      <c r="O313" s="32">
        <f>VLOOKUP(H313,клиенты!$A$2:$G$435,5,FALSE)</f>
        <v>44603</v>
      </c>
      <c r="P313">
        <f>Продажи[[#This Row],[дата создания чека]]-Продажи[[#This Row],[Дата регистрации клиента]]</f>
        <v>352</v>
      </c>
      <c r="Q313" t="str">
        <f>VLOOKUP(H313,Таблица3[],7,FALSE)</f>
        <v>Россия</v>
      </c>
    </row>
    <row r="314" spans="1:17" x14ac:dyDescent="0.3">
      <c r="A314">
        <v>313</v>
      </c>
      <c r="B314">
        <v>260</v>
      </c>
      <c r="C314">
        <v>489</v>
      </c>
      <c r="D314">
        <v>3</v>
      </c>
      <c r="E314">
        <v>1467</v>
      </c>
      <c r="F314" s="32">
        <v>45297</v>
      </c>
      <c r="G314" t="s">
        <v>25</v>
      </c>
      <c r="H314">
        <v>98</v>
      </c>
      <c r="I314" t="str">
        <f>VLOOKUP(B314,товар!$A$1:$C$433,2,FALSE)</f>
        <v>Соль</v>
      </c>
      <c r="J314" s="22">
        <f t="shared" si="16"/>
        <v>264.8679245283019</v>
      </c>
      <c r="K314" s="24">
        <f t="shared" si="17"/>
        <v>0.84620316284370989</v>
      </c>
      <c r="L314" t="str">
        <f>VLOOKUP(B314,товар!$A$1:$C$433,3,FALSE)</f>
        <v>Экстра</v>
      </c>
      <c r="M314" s="24">
        <f t="shared" si="18"/>
        <v>0.52409494126108847</v>
      </c>
      <c r="N314" s="29">
        <f t="shared" si="19"/>
        <v>320.84615384615387</v>
      </c>
      <c r="O314" s="32">
        <f>VLOOKUP(H314,клиенты!$A$2:$G$435,5,FALSE)</f>
        <v>44637</v>
      </c>
      <c r="P314">
        <f>Продажи[[#This Row],[дата создания чека]]-Продажи[[#This Row],[Дата регистрации клиента]]</f>
        <v>660</v>
      </c>
      <c r="Q314" t="str">
        <f>VLOOKUP(H314,Таблица3[],7,FALSE)</f>
        <v>Россия</v>
      </c>
    </row>
    <row r="315" spans="1:17" x14ac:dyDescent="0.3">
      <c r="A315">
        <v>314</v>
      </c>
      <c r="B315">
        <v>140</v>
      </c>
      <c r="C315">
        <v>106</v>
      </c>
      <c r="D315">
        <v>3</v>
      </c>
      <c r="E315">
        <v>318</v>
      </c>
      <c r="F315" s="32">
        <v>44949</v>
      </c>
      <c r="G315" t="s">
        <v>11</v>
      </c>
      <c r="H315">
        <v>181</v>
      </c>
      <c r="I315" t="str">
        <f>VLOOKUP(B315,товар!$A$1:$C$433,2,FALSE)</f>
        <v>Рис</v>
      </c>
      <c r="J315" s="22">
        <f t="shared" si="16"/>
        <v>258.375</v>
      </c>
      <c r="K315" s="24">
        <f t="shared" si="17"/>
        <v>-0.58974358974358976</v>
      </c>
      <c r="L315" t="str">
        <f>VLOOKUP(B315,товар!$A$1:$C$433,3,FALSE)</f>
        <v>Белый Злат</v>
      </c>
      <c r="M315" s="24">
        <f t="shared" si="18"/>
        <v>-0.60697928026172299</v>
      </c>
      <c r="N315" s="29">
        <f t="shared" si="19"/>
        <v>269.70588235294116</v>
      </c>
      <c r="O315" s="32">
        <f>VLOOKUP(H315,клиенты!$A$2:$G$435,5,FALSE)</f>
        <v>44568</v>
      </c>
      <c r="P315">
        <f>Продажи[[#This Row],[дата создания чека]]-Продажи[[#This Row],[Дата регистрации клиента]]</f>
        <v>381</v>
      </c>
      <c r="Q315" t="str">
        <f>VLOOKUP(H315,Таблица3[],7,FALSE)</f>
        <v>Украина</v>
      </c>
    </row>
    <row r="316" spans="1:17" x14ac:dyDescent="0.3">
      <c r="A316">
        <v>315</v>
      </c>
      <c r="B316">
        <v>270</v>
      </c>
      <c r="C316">
        <v>204</v>
      </c>
      <c r="D316">
        <v>3</v>
      </c>
      <c r="E316">
        <v>612</v>
      </c>
      <c r="F316" s="32">
        <v>45009</v>
      </c>
      <c r="G316" t="s">
        <v>21</v>
      </c>
      <c r="H316">
        <v>226</v>
      </c>
      <c r="I316" t="str">
        <f>VLOOKUP(B316,товар!$A$1:$C$433,2,FALSE)</f>
        <v>Соль</v>
      </c>
      <c r="J316" s="22">
        <f t="shared" si="16"/>
        <v>264.8679245283019</v>
      </c>
      <c r="K316" s="24">
        <f t="shared" si="17"/>
        <v>-0.22980481550078358</v>
      </c>
      <c r="L316" t="str">
        <f>VLOOKUP(B316,товар!$A$1:$C$433,3,FALSE)</f>
        <v>Славянская</v>
      </c>
      <c r="M316" s="24">
        <f t="shared" si="18"/>
        <v>-0.13893774182201901</v>
      </c>
      <c r="N316" s="29">
        <f t="shared" si="19"/>
        <v>236.91666666666666</v>
      </c>
      <c r="O316" s="32">
        <f>VLOOKUP(H316,клиенты!$A$2:$G$435,5,FALSE)</f>
        <v>44702</v>
      </c>
      <c r="P316">
        <f>Продажи[[#This Row],[дата создания чека]]-Продажи[[#This Row],[Дата регистрации клиента]]</f>
        <v>307</v>
      </c>
      <c r="Q316" t="str">
        <f>VLOOKUP(H316,Таблица3[],7,FALSE)</f>
        <v>Россия</v>
      </c>
    </row>
    <row r="317" spans="1:17" x14ac:dyDescent="0.3">
      <c r="A317">
        <v>316</v>
      </c>
      <c r="B317">
        <v>67</v>
      </c>
      <c r="C317">
        <v>317</v>
      </c>
      <c r="D317">
        <v>4</v>
      </c>
      <c r="E317">
        <v>1268</v>
      </c>
      <c r="F317" s="32">
        <v>45222</v>
      </c>
      <c r="G317" t="s">
        <v>12</v>
      </c>
      <c r="H317">
        <v>322</v>
      </c>
      <c r="I317" t="str">
        <f>VLOOKUP(B317,товар!$A$1:$C$433,2,FALSE)</f>
        <v>Йогурт</v>
      </c>
      <c r="J317" s="22">
        <f t="shared" si="16"/>
        <v>263.25423728813558</v>
      </c>
      <c r="K317" s="24">
        <f t="shared" si="17"/>
        <v>0.20415915529229989</v>
      </c>
      <c r="L317" t="str">
        <f>VLOOKUP(B317,товар!$A$1:$C$433,3,FALSE)</f>
        <v>Чудо</v>
      </c>
      <c r="M317" s="24">
        <f t="shared" si="18"/>
        <v>0.10414489724834541</v>
      </c>
      <c r="N317" s="29">
        <f t="shared" si="19"/>
        <v>287.10000000000002</v>
      </c>
      <c r="O317" s="32">
        <f>VLOOKUP(H317,клиенты!$A$2:$G$435,5,FALSE)</f>
        <v>44886</v>
      </c>
      <c r="P317">
        <f>Продажи[[#This Row],[дата создания чека]]-Продажи[[#This Row],[Дата регистрации клиента]]</f>
        <v>336</v>
      </c>
      <c r="Q317" t="str">
        <f>VLOOKUP(H317,Таблица3[],7,FALSE)</f>
        <v>Украина</v>
      </c>
    </row>
    <row r="318" spans="1:17" x14ac:dyDescent="0.3">
      <c r="A318">
        <v>317</v>
      </c>
      <c r="B318">
        <v>448</v>
      </c>
      <c r="C318">
        <v>442</v>
      </c>
      <c r="D318">
        <v>1</v>
      </c>
      <c r="E318">
        <v>442</v>
      </c>
      <c r="F318" s="32">
        <v>45040</v>
      </c>
      <c r="G318" t="s">
        <v>23</v>
      </c>
      <c r="H318">
        <v>296</v>
      </c>
      <c r="I318" t="str">
        <f>VLOOKUP(B318,товар!$A$1:$C$433,2,FALSE)</f>
        <v>Йогурт</v>
      </c>
      <c r="J318" s="22">
        <f t="shared" si="16"/>
        <v>263.25423728813558</v>
      </c>
      <c r="K318" s="24">
        <f t="shared" si="17"/>
        <v>0.67898532062838024</v>
      </c>
      <c r="L318" t="str">
        <f>VLOOKUP(B318,товар!$A$1:$C$433,3,FALSE)</f>
        <v>Ростагроэкспорт</v>
      </c>
      <c r="M318" s="24">
        <f t="shared" si="18"/>
        <v>0.7146230392983639</v>
      </c>
      <c r="N318" s="29">
        <f t="shared" si="19"/>
        <v>257.78260869565219</v>
      </c>
      <c r="O318" s="32">
        <f>VLOOKUP(H318,клиенты!$A$2:$G$435,5,FALSE)</f>
        <v>44758</v>
      </c>
      <c r="P318">
        <f>Продажи[[#This Row],[дата создания чека]]-Продажи[[#This Row],[Дата регистрации клиента]]</f>
        <v>282</v>
      </c>
      <c r="Q318" t="str">
        <f>VLOOKUP(H318,Таблица3[],7,FALSE)</f>
        <v>Узбекистан</v>
      </c>
    </row>
    <row r="319" spans="1:17" x14ac:dyDescent="0.3">
      <c r="A319">
        <v>318</v>
      </c>
      <c r="B319">
        <v>331</v>
      </c>
      <c r="C319">
        <v>88</v>
      </c>
      <c r="D319">
        <v>3</v>
      </c>
      <c r="E319">
        <v>264</v>
      </c>
      <c r="F319" s="32">
        <v>45211</v>
      </c>
      <c r="G319" t="s">
        <v>8</v>
      </c>
      <c r="H319">
        <v>458</v>
      </c>
      <c r="I319" t="str">
        <f>VLOOKUP(B319,товар!$A$1:$C$433,2,FALSE)</f>
        <v>Соль</v>
      </c>
      <c r="J319" s="22">
        <f t="shared" si="16"/>
        <v>264.8679245283019</v>
      </c>
      <c r="K319" s="24">
        <f t="shared" si="17"/>
        <v>-0.66775894001994596</v>
      </c>
      <c r="L319" t="str">
        <f>VLOOKUP(B319,товар!$A$1:$C$433,3,FALSE)</f>
        <v>Салта</v>
      </c>
      <c r="M319" s="24">
        <f t="shared" si="18"/>
        <v>-0.67848008768724877</v>
      </c>
      <c r="N319" s="29">
        <f t="shared" si="19"/>
        <v>273.7</v>
      </c>
      <c r="O319" s="32">
        <f>VLOOKUP(H319,клиенты!$A$2:$G$435,5,FALSE)</f>
        <v>44694</v>
      </c>
      <c r="P319">
        <f>Продажи[[#This Row],[дата создания чека]]-Продажи[[#This Row],[Дата регистрации клиента]]</f>
        <v>517</v>
      </c>
      <c r="Q319" t="str">
        <f>VLOOKUP(H319,Таблица3[],7,FALSE)</f>
        <v>Россия</v>
      </c>
    </row>
    <row r="320" spans="1:17" x14ac:dyDescent="0.3">
      <c r="A320">
        <v>319</v>
      </c>
      <c r="B320">
        <v>325</v>
      </c>
      <c r="C320">
        <v>99</v>
      </c>
      <c r="D320">
        <v>2</v>
      </c>
      <c r="E320">
        <v>198</v>
      </c>
      <c r="F320" s="32">
        <v>45184</v>
      </c>
      <c r="G320" t="s">
        <v>16</v>
      </c>
      <c r="H320">
        <v>11</v>
      </c>
      <c r="I320" t="str">
        <f>VLOOKUP(B320,товар!$A$1:$C$433,2,FALSE)</f>
        <v>Сок</v>
      </c>
      <c r="J320" s="22">
        <f t="shared" si="16"/>
        <v>268.60344827586209</v>
      </c>
      <c r="K320" s="24">
        <f t="shared" si="17"/>
        <v>-0.63142692085499719</v>
      </c>
      <c r="L320" t="str">
        <f>VLOOKUP(B320,товар!$A$1:$C$433,3,FALSE)</f>
        <v>Добрый</v>
      </c>
      <c r="M320" s="24">
        <f t="shared" si="18"/>
        <v>-0.59228753275926627</v>
      </c>
      <c r="N320" s="29">
        <f t="shared" si="19"/>
        <v>242.81818181818181</v>
      </c>
      <c r="O320" s="32">
        <f>VLOOKUP(H320,клиенты!$A$2:$G$435,5,FALSE)</f>
        <v>44690</v>
      </c>
      <c r="P320">
        <f>Продажи[[#This Row],[дата создания чека]]-Продажи[[#This Row],[Дата регистрации клиента]]</f>
        <v>494</v>
      </c>
      <c r="Q320" t="str">
        <f>VLOOKUP(H320,Таблица3[],7,FALSE)</f>
        <v>Таджикистан</v>
      </c>
    </row>
    <row r="321" spans="1:17" x14ac:dyDescent="0.3">
      <c r="A321">
        <v>320</v>
      </c>
      <c r="B321">
        <v>346</v>
      </c>
      <c r="C321">
        <v>178</v>
      </c>
      <c r="D321">
        <v>5</v>
      </c>
      <c r="E321">
        <v>890</v>
      </c>
      <c r="F321" s="32">
        <v>45297</v>
      </c>
      <c r="G321" t="s">
        <v>22</v>
      </c>
      <c r="H321">
        <v>75</v>
      </c>
      <c r="I321" t="str">
        <f>VLOOKUP(B321,товар!$A$1:$C$433,2,FALSE)</f>
        <v>Чай</v>
      </c>
      <c r="J321" s="22">
        <f t="shared" si="16"/>
        <v>271.18181818181819</v>
      </c>
      <c r="K321" s="24">
        <f t="shared" si="17"/>
        <v>-0.34361381159906135</v>
      </c>
      <c r="L321" t="str">
        <f>VLOOKUP(B321,товар!$A$1:$C$433,3,FALSE)</f>
        <v>Greenfield</v>
      </c>
      <c r="M321" s="24">
        <f t="shared" si="18"/>
        <v>-0.38927011852776039</v>
      </c>
      <c r="N321" s="29">
        <f t="shared" si="19"/>
        <v>291.45454545454544</v>
      </c>
      <c r="O321" s="32">
        <f>VLOOKUP(H321,клиенты!$A$2:$G$435,5,FALSE)</f>
        <v>44796</v>
      </c>
      <c r="P321">
        <f>Продажи[[#This Row],[дата создания чека]]-Продажи[[#This Row],[Дата регистрации клиента]]</f>
        <v>501</v>
      </c>
      <c r="Q321" t="str">
        <f>VLOOKUP(H321,Таблица3[],7,FALSE)</f>
        <v>Украина</v>
      </c>
    </row>
    <row r="322" spans="1:17" x14ac:dyDescent="0.3">
      <c r="A322">
        <v>321</v>
      </c>
      <c r="B322">
        <v>397</v>
      </c>
      <c r="C322">
        <v>299</v>
      </c>
      <c r="D322">
        <v>3</v>
      </c>
      <c r="E322">
        <v>897</v>
      </c>
      <c r="F322" s="32">
        <v>45064</v>
      </c>
      <c r="G322" t="s">
        <v>15</v>
      </c>
      <c r="H322">
        <v>29</v>
      </c>
      <c r="I322" t="str">
        <f>VLOOKUP(B322,товар!$A$1:$C$433,2,FALSE)</f>
        <v>Йогурт</v>
      </c>
      <c r="J322" s="22">
        <f t="shared" ref="J322:J385" si="20">AVERAGEIF($I$2:$I$1001,I322,$C$2:$C$1001)</f>
        <v>263.25423728813558</v>
      </c>
      <c r="K322" s="24">
        <f t="shared" ref="K322:K385" si="21">C322/J322-1</f>
        <v>0.13578418748390431</v>
      </c>
      <c r="L322" t="str">
        <f>VLOOKUP(B322,товар!$A$1:$C$433,3,FALSE)</f>
        <v>Ростагроэкспорт</v>
      </c>
      <c r="M322" s="24">
        <f t="shared" ref="M322:M385" si="22">C322/N322-1</f>
        <v>0.15989205599595202</v>
      </c>
      <c r="N322" s="29">
        <f t="shared" ref="N322:N385" si="23">AVERAGEIFS($C$2:$C$1001,$I$2:$I$1001,I322,$L$2:$L$1001,L322)</f>
        <v>257.78260869565219</v>
      </c>
      <c r="O322" s="32">
        <f>VLOOKUP(H322,клиенты!$A$2:$G$435,5,FALSE)</f>
        <v>44704</v>
      </c>
      <c r="P322">
        <f>Продажи[[#This Row],[дата создания чека]]-Продажи[[#This Row],[Дата регистрации клиента]]</f>
        <v>360</v>
      </c>
      <c r="Q322" t="str">
        <f>VLOOKUP(H322,Таблица3[],7,FALSE)</f>
        <v>Россия</v>
      </c>
    </row>
    <row r="323" spans="1:17" x14ac:dyDescent="0.3">
      <c r="A323">
        <v>322</v>
      </c>
      <c r="B323">
        <v>115</v>
      </c>
      <c r="C323">
        <v>479</v>
      </c>
      <c r="D323">
        <v>1</v>
      </c>
      <c r="E323">
        <v>479</v>
      </c>
      <c r="F323" s="32">
        <v>45283</v>
      </c>
      <c r="G323" t="s">
        <v>20</v>
      </c>
      <c r="H323">
        <v>297</v>
      </c>
      <c r="I323" t="str">
        <f>VLOOKUP(B323,товар!$A$1:$C$433,2,FALSE)</f>
        <v>Сыр</v>
      </c>
      <c r="J323" s="22">
        <f t="shared" si="20"/>
        <v>262.63492063492066</v>
      </c>
      <c r="K323" s="24">
        <f t="shared" si="21"/>
        <v>0.82382448930255037</v>
      </c>
      <c r="L323" t="str">
        <f>VLOOKUP(B323,товар!$A$1:$C$433,3,FALSE)</f>
        <v>President</v>
      </c>
      <c r="M323" s="24">
        <f t="shared" si="22"/>
        <v>1.0065161740749358</v>
      </c>
      <c r="N323" s="29">
        <f t="shared" si="23"/>
        <v>238.72222222222223</v>
      </c>
      <c r="O323" s="32">
        <f>VLOOKUP(H323,клиенты!$A$2:$G$435,5,FALSE)</f>
        <v>44666</v>
      </c>
      <c r="P323">
        <f>Продажи[[#This Row],[дата создания чека]]-Продажи[[#This Row],[Дата регистрации клиента]]</f>
        <v>617</v>
      </c>
      <c r="Q323" t="str">
        <f>VLOOKUP(H323,Таблица3[],7,FALSE)</f>
        <v>Украина</v>
      </c>
    </row>
    <row r="324" spans="1:17" x14ac:dyDescent="0.3">
      <c r="A324">
        <v>323</v>
      </c>
      <c r="B324">
        <v>360</v>
      </c>
      <c r="C324">
        <v>463</v>
      </c>
      <c r="D324">
        <v>3</v>
      </c>
      <c r="E324">
        <v>1389</v>
      </c>
      <c r="F324" s="32">
        <v>45258</v>
      </c>
      <c r="G324" t="s">
        <v>27</v>
      </c>
      <c r="H324">
        <v>497</v>
      </c>
      <c r="I324" t="str">
        <f>VLOOKUP(B324,товар!$A$1:$C$433,2,FALSE)</f>
        <v>Соль</v>
      </c>
      <c r="J324" s="22">
        <f t="shared" si="20"/>
        <v>264.8679245283019</v>
      </c>
      <c r="K324" s="24">
        <f t="shared" si="21"/>
        <v>0.74804103148596668</v>
      </c>
      <c r="L324" t="str">
        <f>VLOOKUP(B324,товар!$A$1:$C$433,3,FALSE)</f>
        <v>Славянская</v>
      </c>
      <c r="M324" s="24">
        <f t="shared" si="22"/>
        <v>0.95427365459022173</v>
      </c>
      <c r="N324" s="29">
        <f t="shared" si="23"/>
        <v>236.91666666666666</v>
      </c>
      <c r="O324" s="32">
        <f>VLOOKUP(H324,клиенты!$A$2:$G$435,5,FALSE)</f>
        <v>44826</v>
      </c>
      <c r="P324">
        <f>Продажи[[#This Row],[дата создания чека]]-Продажи[[#This Row],[Дата регистрации клиента]]</f>
        <v>432</v>
      </c>
      <c r="Q324" t="str">
        <f>VLOOKUP(H324,Таблица3[],7,FALSE)</f>
        <v>Узбекистан</v>
      </c>
    </row>
    <row r="325" spans="1:17" x14ac:dyDescent="0.3">
      <c r="A325">
        <v>324</v>
      </c>
      <c r="B325">
        <v>230</v>
      </c>
      <c r="C325">
        <v>431</v>
      </c>
      <c r="D325">
        <v>3</v>
      </c>
      <c r="E325">
        <v>1293</v>
      </c>
      <c r="F325" s="32">
        <v>45282</v>
      </c>
      <c r="G325" t="s">
        <v>26</v>
      </c>
      <c r="H325">
        <v>191</v>
      </c>
      <c r="I325" t="str">
        <f>VLOOKUP(B325,товар!$A$1:$C$433,2,FALSE)</f>
        <v>Сок</v>
      </c>
      <c r="J325" s="22">
        <f t="shared" si="20"/>
        <v>268.60344827586209</v>
      </c>
      <c r="K325" s="24">
        <f t="shared" si="21"/>
        <v>0.60459593041915394</v>
      </c>
      <c r="L325" t="str">
        <f>VLOOKUP(B325,товар!$A$1:$C$433,3,FALSE)</f>
        <v>Фруктовый сад</v>
      </c>
      <c r="M325" s="24">
        <f t="shared" si="22"/>
        <v>0.52853818020613996</v>
      </c>
      <c r="N325" s="29">
        <f t="shared" si="23"/>
        <v>281.96875</v>
      </c>
      <c r="O325" s="32">
        <f>VLOOKUP(H325,клиенты!$A$2:$G$435,5,FALSE)</f>
        <v>44866</v>
      </c>
      <c r="P325">
        <f>Продажи[[#This Row],[дата создания чека]]-Продажи[[#This Row],[Дата регистрации клиента]]</f>
        <v>416</v>
      </c>
      <c r="Q325" t="str">
        <f>VLOOKUP(H325,Таблица3[],7,FALSE)</f>
        <v>Украина</v>
      </c>
    </row>
    <row r="326" spans="1:17" x14ac:dyDescent="0.3">
      <c r="A326">
        <v>325</v>
      </c>
      <c r="B326">
        <v>229</v>
      </c>
      <c r="C326">
        <v>173</v>
      </c>
      <c r="D326">
        <v>4</v>
      </c>
      <c r="E326">
        <v>692</v>
      </c>
      <c r="F326" s="32">
        <v>45038</v>
      </c>
      <c r="G326" t="s">
        <v>24</v>
      </c>
      <c r="H326">
        <v>327</v>
      </c>
      <c r="I326" t="str">
        <f>VLOOKUP(B326,товар!$A$1:$C$433,2,FALSE)</f>
        <v>Мясо</v>
      </c>
      <c r="J326" s="22">
        <f t="shared" si="20"/>
        <v>271.74545454545455</v>
      </c>
      <c r="K326" s="24">
        <f t="shared" si="21"/>
        <v>-0.36337481600428212</v>
      </c>
      <c r="L326" t="str">
        <f>VLOOKUP(B326,товар!$A$1:$C$433,3,FALSE)</f>
        <v>Сава</v>
      </c>
      <c r="M326" s="24">
        <f t="shared" si="22"/>
        <v>-0.18707782672540385</v>
      </c>
      <c r="N326" s="29">
        <f t="shared" si="23"/>
        <v>212.8125</v>
      </c>
      <c r="O326" s="32">
        <f>VLOOKUP(H326,клиенты!$A$2:$G$435,5,FALSE)</f>
        <v>44565</v>
      </c>
      <c r="P326">
        <f>Продажи[[#This Row],[дата создания чека]]-Продажи[[#This Row],[Дата регистрации клиента]]</f>
        <v>473</v>
      </c>
      <c r="Q326" t="str">
        <f>VLOOKUP(H326,Таблица3[],7,FALSE)</f>
        <v>Таджикистан</v>
      </c>
    </row>
    <row r="327" spans="1:17" x14ac:dyDescent="0.3">
      <c r="A327">
        <v>326</v>
      </c>
      <c r="B327">
        <v>486</v>
      </c>
      <c r="C327">
        <v>213</v>
      </c>
      <c r="D327">
        <v>1</v>
      </c>
      <c r="E327">
        <v>213</v>
      </c>
      <c r="F327" s="32">
        <v>45279</v>
      </c>
      <c r="G327" t="s">
        <v>26</v>
      </c>
      <c r="H327">
        <v>58</v>
      </c>
      <c r="I327" t="str">
        <f>VLOOKUP(B327,товар!$A$1:$C$433,2,FALSE)</f>
        <v>Соль</v>
      </c>
      <c r="J327" s="22">
        <f t="shared" si="20"/>
        <v>264.8679245283019</v>
      </c>
      <c r="K327" s="24">
        <f t="shared" si="21"/>
        <v>-0.19582561618464167</v>
      </c>
      <c r="L327" t="str">
        <f>VLOOKUP(B327,товар!$A$1:$C$433,3,FALSE)</f>
        <v>Илецкая</v>
      </c>
      <c r="M327" s="24">
        <f t="shared" si="22"/>
        <v>-0.10566829951014689</v>
      </c>
      <c r="N327" s="29">
        <f t="shared" si="23"/>
        <v>238.16666666666666</v>
      </c>
      <c r="O327" s="32">
        <f>VLOOKUP(H327,клиенты!$A$2:$G$435,5,FALSE)</f>
        <v>44628</v>
      </c>
      <c r="P327">
        <f>Продажи[[#This Row],[дата создания чека]]-Продажи[[#This Row],[Дата регистрации клиента]]</f>
        <v>651</v>
      </c>
      <c r="Q327" t="str">
        <f>VLOOKUP(H327,Таблица3[],7,FALSE)</f>
        <v>Беларусь</v>
      </c>
    </row>
    <row r="328" spans="1:17" x14ac:dyDescent="0.3">
      <c r="A328">
        <v>327</v>
      </c>
      <c r="B328">
        <v>353</v>
      </c>
      <c r="C328">
        <v>115</v>
      </c>
      <c r="D328">
        <v>2</v>
      </c>
      <c r="E328">
        <v>230</v>
      </c>
      <c r="F328" s="32">
        <v>45087</v>
      </c>
      <c r="G328" t="s">
        <v>21</v>
      </c>
      <c r="H328">
        <v>446</v>
      </c>
      <c r="I328" t="str">
        <f>VLOOKUP(B328,товар!$A$1:$C$433,2,FALSE)</f>
        <v>Макароны</v>
      </c>
      <c r="J328" s="22">
        <f t="shared" si="20"/>
        <v>265.47674418604652</v>
      </c>
      <c r="K328" s="24">
        <f t="shared" si="21"/>
        <v>-0.56681704699750335</v>
      </c>
      <c r="L328" t="str">
        <f>VLOOKUP(B328,товар!$A$1:$C$433,3,FALSE)</f>
        <v>Паста Зара</v>
      </c>
      <c r="M328" s="24">
        <f t="shared" si="22"/>
        <v>-0.5843508840480609</v>
      </c>
      <c r="N328" s="29">
        <f t="shared" si="23"/>
        <v>276.67567567567568</v>
      </c>
      <c r="O328" s="32">
        <f>VLOOKUP(H328,клиенты!$A$2:$G$435,5,FALSE)</f>
        <v>44671</v>
      </c>
      <c r="P328">
        <f>Продажи[[#This Row],[дата создания чека]]-Продажи[[#This Row],[Дата регистрации клиента]]</f>
        <v>416</v>
      </c>
      <c r="Q328" t="str">
        <f>VLOOKUP(H328,Таблица3[],7,FALSE)</f>
        <v>Таджикистан</v>
      </c>
    </row>
    <row r="329" spans="1:17" x14ac:dyDescent="0.3">
      <c r="A329">
        <v>328</v>
      </c>
      <c r="B329">
        <v>65</v>
      </c>
      <c r="C329">
        <v>455</v>
      </c>
      <c r="D329">
        <v>5</v>
      </c>
      <c r="E329">
        <v>2275</v>
      </c>
      <c r="F329" s="32">
        <v>45370</v>
      </c>
      <c r="G329" t="s">
        <v>17</v>
      </c>
      <c r="H329">
        <v>117</v>
      </c>
      <c r="I329" t="str">
        <f>VLOOKUP(B329,товар!$A$1:$C$433,2,FALSE)</f>
        <v>Хлеб</v>
      </c>
      <c r="J329" s="22">
        <f t="shared" si="20"/>
        <v>300.31818181818181</v>
      </c>
      <c r="K329" s="24">
        <f t="shared" si="21"/>
        <v>0.51505978507643402</v>
      </c>
      <c r="L329" t="str">
        <f>VLOOKUP(B329,товар!$A$1:$C$433,3,FALSE)</f>
        <v>Хлебный Дом</v>
      </c>
      <c r="M329" s="24">
        <f t="shared" si="22"/>
        <v>0.61500236630383331</v>
      </c>
      <c r="N329" s="29">
        <f t="shared" si="23"/>
        <v>281.73333333333335</v>
      </c>
      <c r="O329" s="32">
        <f>VLOOKUP(H329,клиенты!$A$2:$G$435,5,FALSE)</f>
        <v>44706</v>
      </c>
      <c r="P329">
        <f>Продажи[[#This Row],[дата создания чека]]-Продажи[[#This Row],[Дата регистрации клиента]]</f>
        <v>664</v>
      </c>
      <c r="Q329" t="str">
        <f>VLOOKUP(H329,Таблица3[],7,FALSE)</f>
        <v>Украина</v>
      </c>
    </row>
    <row r="330" spans="1:17" x14ac:dyDescent="0.3">
      <c r="A330">
        <v>329</v>
      </c>
      <c r="B330">
        <v>490</v>
      </c>
      <c r="C330">
        <v>176</v>
      </c>
      <c r="D330">
        <v>3</v>
      </c>
      <c r="E330">
        <v>528</v>
      </c>
      <c r="F330" s="32">
        <v>45183</v>
      </c>
      <c r="G330" t="s">
        <v>23</v>
      </c>
      <c r="H330">
        <v>32</v>
      </c>
      <c r="I330" t="str">
        <f>VLOOKUP(B330,товар!$A$1:$C$433,2,FALSE)</f>
        <v>Сыр</v>
      </c>
      <c r="J330" s="22">
        <f t="shared" si="20"/>
        <v>262.63492063492066</v>
      </c>
      <c r="K330" s="24">
        <f t="shared" si="21"/>
        <v>-0.3298682461017769</v>
      </c>
      <c r="L330" t="str">
        <f>VLOOKUP(B330,товар!$A$1:$C$433,3,FALSE)</f>
        <v>Сырная долина</v>
      </c>
      <c r="M330" s="24">
        <f t="shared" si="22"/>
        <v>-0.35055350553505538</v>
      </c>
      <c r="N330" s="29">
        <f t="shared" si="23"/>
        <v>271</v>
      </c>
      <c r="O330" s="32">
        <f>VLOOKUP(H330,клиенты!$A$2:$G$435,5,FALSE)</f>
        <v>44922</v>
      </c>
      <c r="P330">
        <f>Продажи[[#This Row],[дата создания чека]]-Продажи[[#This Row],[Дата регистрации клиента]]</f>
        <v>261</v>
      </c>
      <c r="Q330" t="str">
        <f>VLOOKUP(H330,Таблица3[],7,FALSE)</f>
        <v>Узбекистан</v>
      </c>
    </row>
    <row r="331" spans="1:17" x14ac:dyDescent="0.3">
      <c r="A331">
        <v>330</v>
      </c>
      <c r="B331">
        <v>188</v>
      </c>
      <c r="C331">
        <v>154</v>
      </c>
      <c r="D331">
        <v>4</v>
      </c>
      <c r="E331">
        <v>616</v>
      </c>
      <c r="F331" s="32">
        <v>45243</v>
      </c>
      <c r="G331" t="s">
        <v>26</v>
      </c>
      <c r="H331">
        <v>187</v>
      </c>
      <c r="I331" t="str">
        <f>VLOOKUP(B331,товар!$A$1:$C$433,2,FALSE)</f>
        <v>Молоко</v>
      </c>
      <c r="J331" s="22">
        <f t="shared" si="20"/>
        <v>294.95238095238096</v>
      </c>
      <c r="K331" s="24">
        <f t="shared" si="21"/>
        <v>-0.47788182111721023</v>
      </c>
      <c r="L331" t="str">
        <f>VLOOKUP(B331,товар!$A$1:$C$433,3,FALSE)</f>
        <v>Вимм-Билль-Данн</v>
      </c>
      <c r="M331" s="24">
        <f t="shared" si="22"/>
        <v>-0.20413436692506459</v>
      </c>
      <c r="N331" s="29">
        <f t="shared" si="23"/>
        <v>193.5</v>
      </c>
      <c r="O331" s="32">
        <f>VLOOKUP(H331,клиенты!$A$2:$G$435,5,FALSE)</f>
        <v>44848</v>
      </c>
      <c r="P331">
        <f>Продажи[[#This Row],[дата создания чека]]-Продажи[[#This Row],[Дата регистрации клиента]]</f>
        <v>395</v>
      </c>
      <c r="Q331" t="str">
        <f>VLOOKUP(H331,Таблица3[],7,FALSE)</f>
        <v>Россия</v>
      </c>
    </row>
    <row r="332" spans="1:17" x14ac:dyDescent="0.3">
      <c r="A332">
        <v>331</v>
      </c>
      <c r="B332">
        <v>17</v>
      </c>
      <c r="C332">
        <v>212</v>
      </c>
      <c r="D332">
        <v>3</v>
      </c>
      <c r="E332">
        <v>636</v>
      </c>
      <c r="F332" s="32">
        <v>45366</v>
      </c>
      <c r="G332" t="s">
        <v>24</v>
      </c>
      <c r="H332">
        <v>111</v>
      </c>
      <c r="I332" t="str">
        <f>VLOOKUP(B332,товар!$A$1:$C$433,2,FALSE)</f>
        <v>Кофе</v>
      </c>
      <c r="J332" s="22">
        <f t="shared" si="20"/>
        <v>249.02380952380952</v>
      </c>
      <c r="K332" s="24">
        <f t="shared" si="21"/>
        <v>-0.14867578162348216</v>
      </c>
      <c r="L332" t="str">
        <f>VLOOKUP(B332,товар!$A$1:$C$433,3,FALSE)</f>
        <v>Jacobs</v>
      </c>
      <c r="M332" s="24">
        <f t="shared" si="22"/>
        <v>-0.23246951219512202</v>
      </c>
      <c r="N332" s="29">
        <f t="shared" si="23"/>
        <v>276.21052631578948</v>
      </c>
      <c r="O332" s="32">
        <f>VLOOKUP(H332,клиенты!$A$2:$G$435,5,FALSE)</f>
        <v>44804</v>
      </c>
      <c r="P332">
        <f>Продажи[[#This Row],[дата создания чека]]-Продажи[[#This Row],[Дата регистрации клиента]]</f>
        <v>562</v>
      </c>
      <c r="Q332" t="str">
        <f>VLOOKUP(H332,Таблица3[],7,FALSE)</f>
        <v>Узбекистан</v>
      </c>
    </row>
    <row r="333" spans="1:17" x14ac:dyDescent="0.3">
      <c r="A333">
        <v>332</v>
      </c>
      <c r="B333">
        <v>405</v>
      </c>
      <c r="C333">
        <v>389</v>
      </c>
      <c r="D333">
        <v>5</v>
      </c>
      <c r="E333">
        <v>1945</v>
      </c>
      <c r="F333" s="32">
        <v>45009</v>
      </c>
      <c r="G333" t="s">
        <v>14</v>
      </c>
      <c r="H333">
        <v>231</v>
      </c>
      <c r="I333" t="str">
        <f>VLOOKUP(B333,товар!$A$1:$C$433,2,FALSE)</f>
        <v>Хлеб</v>
      </c>
      <c r="J333" s="22">
        <f t="shared" si="20"/>
        <v>300.31818181818181</v>
      </c>
      <c r="K333" s="24">
        <f t="shared" si="21"/>
        <v>0.29529287119721515</v>
      </c>
      <c r="L333" t="str">
        <f>VLOOKUP(B333,товар!$A$1:$C$433,3,FALSE)</f>
        <v>Каравай</v>
      </c>
      <c r="M333" s="24">
        <f t="shared" si="22"/>
        <v>0.17463512833417205</v>
      </c>
      <c r="N333" s="29">
        <f t="shared" si="23"/>
        <v>331.16666666666669</v>
      </c>
      <c r="O333" s="32">
        <f>VLOOKUP(H333,клиенты!$A$2:$G$435,5,FALSE)</f>
        <v>44752</v>
      </c>
      <c r="P333">
        <f>Продажи[[#This Row],[дата создания чека]]-Продажи[[#This Row],[Дата регистрации клиента]]</f>
        <v>257</v>
      </c>
      <c r="Q333" t="str">
        <f>VLOOKUP(H333,Таблица3[],7,FALSE)</f>
        <v>Россия</v>
      </c>
    </row>
    <row r="334" spans="1:17" x14ac:dyDescent="0.3">
      <c r="A334">
        <v>333</v>
      </c>
      <c r="B334">
        <v>23</v>
      </c>
      <c r="C334">
        <v>476</v>
      </c>
      <c r="D334">
        <v>3</v>
      </c>
      <c r="E334">
        <v>1428</v>
      </c>
      <c r="F334" s="32">
        <v>45102</v>
      </c>
      <c r="G334" t="s">
        <v>10</v>
      </c>
      <c r="H334">
        <v>283</v>
      </c>
      <c r="I334" t="str">
        <f>VLOOKUP(B334,товар!$A$1:$C$433,2,FALSE)</f>
        <v>Рыба</v>
      </c>
      <c r="J334" s="22">
        <f t="shared" si="20"/>
        <v>258.5128205128205</v>
      </c>
      <c r="K334" s="24">
        <f t="shared" si="21"/>
        <v>0.8413013291013689</v>
      </c>
      <c r="L334" t="str">
        <f>VLOOKUP(B334,товар!$A$1:$C$433,3,FALSE)</f>
        <v>Санта Бремор</v>
      </c>
      <c r="M334" s="24">
        <f t="shared" si="22"/>
        <v>1.1996303142329019</v>
      </c>
      <c r="N334" s="29">
        <f t="shared" si="23"/>
        <v>216.4</v>
      </c>
      <c r="O334" s="32">
        <f>VLOOKUP(H334,клиенты!$A$2:$G$435,5,FALSE)</f>
        <v>44889</v>
      </c>
      <c r="P334">
        <f>Продажи[[#This Row],[дата создания чека]]-Продажи[[#This Row],[Дата регистрации клиента]]</f>
        <v>213</v>
      </c>
      <c r="Q334" t="str">
        <f>VLOOKUP(H334,Таблица3[],7,FALSE)</f>
        <v>Таджикистан</v>
      </c>
    </row>
    <row r="335" spans="1:17" x14ac:dyDescent="0.3">
      <c r="A335">
        <v>334</v>
      </c>
      <c r="B335">
        <v>99</v>
      </c>
      <c r="C335">
        <v>51</v>
      </c>
      <c r="D335">
        <v>5</v>
      </c>
      <c r="E335">
        <v>255</v>
      </c>
      <c r="F335" s="32">
        <v>45423</v>
      </c>
      <c r="G335" t="s">
        <v>16</v>
      </c>
      <c r="H335">
        <v>265</v>
      </c>
      <c r="I335" t="str">
        <f>VLOOKUP(B335,товар!$A$1:$C$433,2,FALSE)</f>
        <v>Овощи</v>
      </c>
      <c r="J335" s="22">
        <f t="shared" si="20"/>
        <v>250.48780487804879</v>
      </c>
      <c r="K335" s="24">
        <f t="shared" si="21"/>
        <v>-0.79639727361246349</v>
      </c>
      <c r="L335" t="str">
        <f>VLOOKUP(B335,товар!$A$1:$C$433,3,FALSE)</f>
        <v>Семко</v>
      </c>
      <c r="M335" s="24">
        <f t="shared" si="22"/>
        <v>-0.75480769230769229</v>
      </c>
      <c r="N335" s="29">
        <f t="shared" si="23"/>
        <v>208</v>
      </c>
      <c r="O335" s="32">
        <f>VLOOKUP(H335,клиенты!$A$2:$G$435,5,FALSE)</f>
        <v>44756</v>
      </c>
      <c r="P335">
        <f>Продажи[[#This Row],[дата создания чека]]-Продажи[[#This Row],[Дата регистрации клиента]]</f>
        <v>667</v>
      </c>
      <c r="Q335" t="str">
        <f>VLOOKUP(H335,Таблица3[],7,FALSE)</f>
        <v>Узбекистан</v>
      </c>
    </row>
    <row r="336" spans="1:17" x14ac:dyDescent="0.3">
      <c r="A336">
        <v>335</v>
      </c>
      <c r="B336">
        <v>196</v>
      </c>
      <c r="C336">
        <v>452</v>
      </c>
      <c r="D336">
        <v>2</v>
      </c>
      <c r="E336">
        <v>904</v>
      </c>
      <c r="F336" s="32">
        <v>45337</v>
      </c>
      <c r="G336" t="s">
        <v>8</v>
      </c>
      <c r="H336">
        <v>136</v>
      </c>
      <c r="I336" t="str">
        <f>VLOOKUP(B336,товар!$A$1:$C$433,2,FALSE)</f>
        <v>Конфеты</v>
      </c>
      <c r="J336" s="22">
        <f t="shared" si="20"/>
        <v>267.85483870967744</v>
      </c>
      <c r="K336" s="24">
        <f t="shared" si="21"/>
        <v>0.68748118263382896</v>
      </c>
      <c r="L336" t="str">
        <f>VLOOKUP(B336,товар!$A$1:$C$433,3,FALSE)</f>
        <v>Рот Фронт</v>
      </c>
      <c r="M336" s="24">
        <f t="shared" si="22"/>
        <v>0.56814802577234436</v>
      </c>
      <c r="N336" s="29">
        <f t="shared" si="23"/>
        <v>288.23809523809524</v>
      </c>
      <c r="O336" s="32">
        <f>VLOOKUP(H336,клиенты!$A$2:$G$435,5,FALSE)</f>
        <v>44860</v>
      </c>
      <c r="P336">
        <f>Продажи[[#This Row],[дата создания чека]]-Продажи[[#This Row],[Дата регистрации клиента]]</f>
        <v>477</v>
      </c>
      <c r="Q336" t="str">
        <f>VLOOKUP(H336,Таблица3[],7,FALSE)</f>
        <v>Украина</v>
      </c>
    </row>
    <row r="337" spans="1:17" x14ac:dyDescent="0.3">
      <c r="A337">
        <v>336</v>
      </c>
      <c r="B337">
        <v>415</v>
      </c>
      <c r="C337">
        <v>222</v>
      </c>
      <c r="D337">
        <v>3</v>
      </c>
      <c r="E337">
        <v>666</v>
      </c>
      <c r="F337" s="32">
        <v>45161</v>
      </c>
      <c r="G337" t="s">
        <v>25</v>
      </c>
      <c r="H337">
        <v>395</v>
      </c>
      <c r="I337" t="str">
        <f>VLOOKUP(B337,товар!$A$1:$C$433,2,FALSE)</f>
        <v>Чипсы</v>
      </c>
      <c r="J337" s="22">
        <f t="shared" si="20"/>
        <v>273.72549019607845</v>
      </c>
      <c r="K337" s="24">
        <f t="shared" si="21"/>
        <v>-0.18896848137535827</v>
      </c>
      <c r="L337" t="str">
        <f>VLOOKUP(B337,товар!$A$1:$C$433,3,FALSE)</f>
        <v>Pringles</v>
      </c>
      <c r="M337" s="24">
        <f t="shared" si="22"/>
        <v>-0.20781648258283769</v>
      </c>
      <c r="N337" s="29">
        <f t="shared" si="23"/>
        <v>280.23809523809524</v>
      </c>
      <c r="O337" s="32">
        <f>VLOOKUP(H337,клиенты!$A$2:$G$435,5,FALSE)</f>
        <v>44890</v>
      </c>
      <c r="P337">
        <f>Продажи[[#This Row],[дата создания чека]]-Продажи[[#This Row],[Дата регистрации клиента]]</f>
        <v>271</v>
      </c>
      <c r="Q337" t="str">
        <f>VLOOKUP(H337,Таблица3[],7,FALSE)</f>
        <v>Узбекистан</v>
      </c>
    </row>
    <row r="338" spans="1:17" x14ac:dyDescent="0.3">
      <c r="A338">
        <v>337</v>
      </c>
      <c r="B338">
        <v>328</v>
      </c>
      <c r="C338">
        <v>100</v>
      </c>
      <c r="D338">
        <v>1</v>
      </c>
      <c r="E338">
        <v>100</v>
      </c>
      <c r="F338" s="32">
        <v>45077</v>
      </c>
      <c r="G338" t="s">
        <v>13</v>
      </c>
      <c r="H338">
        <v>391</v>
      </c>
      <c r="I338" t="str">
        <f>VLOOKUP(B338,товар!$A$1:$C$433,2,FALSE)</f>
        <v>Чипсы</v>
      </c>
      <c r="J338" s="22">
        <f t="shared" si="20"/>
        <v>273.72549019607845</v>
      </c>
      <c r="K338" s="24">
        <f t="shared" si="21"/>
        <v>-0.63467048710601714</v>
      </c>
      <c r="L338" t="str">
        <f>VLOOKUP(B338,товар!$A$1:$C$433,3,FALSE)</f>
        <v>Русская картошка</v>
      </c>
      <c r="M338" s="24">
        <f t="shared" si="22"/>
        <v>-0.58649207443142659</v>
      </c>
      <c r="N338" s="29">
        <f t="shared" si="23"/>
        <v>241.83333333333334</v>
      </c>
      <c r="O338" s="32">
        <f>VLOOKUP(H338,клиенты!$A$2:$G$435,5,FALSE)</f>
        <v>44675</v>
      </c>
      <c r="P338">
        <f>Продажи[[#This Row],[дата создания чека]]-Продажи[[#This Row],[Дата регистрации клиента]]</f>
        <v>402</v>
      </c>
      <c r="Q338" t="str">
        <f>VLOOKUP(H338,Таблица3[],7,FALSE)</f>
        <v>Таджикистан</v>
      </c>
    </row>
    <row r="339" spans="1:17" x14ac:dyDescent="0.3">
      <c r="A339">
        <v>338</v>
      </c>
      <c r="B339">
        <v>271</v>
      </c>
      <c r="C339">
        <v>382</v>
      </c>
      <c r="D339">
        <v>1</v>
      </c>
      <c r="E339">
        <v>382</v>
      </c>
      <c r="F339" s="32">
        <v>45182</v>
      </c>
      <c r="G339" t="s">
        <v>9</v>
      </c>
      <c r="H339">
        <v>355</v>
      </c>
      <c r="I339" t="str">
        <f>VLOOKUP(B339,товар!$A$1:$C$433,2,FALSE)</f>
        <v>Сыр</v>
      </c>
      <c r="J339" s="22">
        <f t="shared" si="20"/>
        <v>262.63492063492066</v>
      </c>
      <c r="K339" s="24">
        <f t="shared" si="21"/>
        <v>0.45449051130182516</v>
      </c>
      <c r="L339" t="str">
        <f>VLOOKUP(B339,товар!$A$1:$C$433,3,FALSE)</f>
        <v>Сырная долина</v>
      </c>
      <c r="M339" s="24">
        <f t="shared" si="22"/>
        <v>0.40959409594095941</v>
      </c>
      <c r="N339" s="29">
        <f t="shared" si="23"/>
        <v>271</v>
      </c>
      <c r="O339" s="32">
        <f>VLOOKUP(H339,клиенты!$A$2:$G$435,5,FALSE)</f>
        <v>44631</v>
      </c>
      <c r="P339">
        <f>Продажи[[#This Row],[дата создания чека]]-Продажи[[#This Row],[Дата регистрации клиента]]</f>
        <v>551</v>
      </c>
      <c r="Q339" t="str">
        <f>VLOOKUP(H339,Таблица3[],7,FALSE)</f>
        <v>Россия</v>
      </c>
    </row>
    <row r="340" spans="1:17" x14ac:dyDescent="0.3">
      <c r="A340">
        <v>339</v>
      </c>
      <c r="B340">
        <v>204</v>
      </c>
      <c r="C340">
        <v>279</v>
      </c>
      <c r="D340">
        <v>4</v>
      </c>
      <c r="E340">
        <v>1116</v>
      </c>
      <c r="F340" s="32">
        <v>45227</v>
      </c>
      <c r="G340" t="s">
        <v>12</v>
      </c>
      <c r="H340">
        <v>277</v>
      </c>
      <c r="I340" t="str">
        <f>VLOOKUP(B340,товар!$A$1:$C$433,2,FALSE)</f>
        <v>Печенье</v>
      </c>
      <c r="J340" s="22">
        <f t="shared" si="20"/>
        <v>283.468085106383</v>
      </c>
      <c r="K340" s="24">
        <f t="shared" si="21"/>
        <v>-1.5762215717180839E-2</v>
      </c>
      <c r="L340" t="str">
        <f>VLOOKUP(B340,товар!$A$1:$C$433,3,FALSE)</f>
        <v>Юбилейное</v>
      </c>
      <c r="M340" s="24">
        <f t="shared" si="22"/>
        <v>0.2002868068833652</v>
      </c>
      <c r="N340" s="29">
        <f t="shared" si="23"/>
        <v>232.44444444444446</v>
      </c>
      <c r="O340" s="32">
        <f>VLOOKUP(H340,клиенты!$A$2:$G$435,5,FALSE)</f>
        <v>44750</v>
      </c>
      <c r="P340">
        <f>Продажи[[#This Row],[дата создания чека]]-Продажи[[#This Row],[Дата регистрации клиента]]</f>
        <v>477</v>
      </c>
      <c r="Q340" t="str">
        <f>VLOOKUP(H340,Таблица3[],7,FALSE)</f>
        <v>Россия</v>
      </c>
    </row>
    <row r="341" spans="1:17" x14ac:dyDescent="0.3">
      <c r="A341">
        <v>340</v>
      </c>
      <c r="B341">
        <v>60</v>
      </c>
      <c r="C341">
        <v>500</v>
      </c>
      <c r="D341">
        <v>2</v>
      </c>
      <c r="E341">
        <v>1000</v>
      </c>
      <c r="F341" s="32">
        <v>45125</v>
      </c>
      <c r="G341" t="s">
        <v>27</v>
      </c>
      <c r="H341">
        <v>145</v>
      </c>
      <c r="I341" t="str">
        <f>VLOOKUP(B341,товар!$A$1:$C$433,2,FALSE)</f>
        <v>Кофе</v>
      </c>
      <c r="J341" s="22">
        <f t="shared" si="20"/>
        <v>249.02380952380952</v>
      </c>
      <c r="K341" s="24">
        <f t="shared" si="21"/>
        <v>1.0078401376804664</v>
      </c>
      <c r="L341" t="str">
        <f>VLOOKUP(B341,товар!$A$1:$C$433,3,FALSE)</f>
        <v>Jacobs</v>
      </c>
      <c r="M341" s="24">
        <f t="shared" si="22"/>
        <v>0.8102134146341462</v>
      </c>
      <c r="N341" s="29">
        <f t="shared" si="23"/>
        <v>276.21052631578948</v>
      </c>
      <c r="O341" s="32">
        <f>VLOOKUP(H341,клиенты!$A$2:$G$435,5,FALSE)</f>
        <v>44653</v>
      </c>
      <c r="P341">
        <f>Продажи[[#This Row],[дата создания чека]]-Продажи[[#This Row],[Дата регистрации клиента]]</f>
        <v>472</v>
      </c>
      <c r="Q341" t="str">
        <f>VLOOKUP(H341,Таблица3[],7,FALSE)</f>
        <v>Украина</v>
      </c>
    </row>
    <row r="342" spans="1:17" x14ac:dyDescent="0.3">
      <c r="A342">
        <v>341</v>
      </c>
      <c r="B342">
        <v>76</v>
      </c>
      <c r="C342">
        <v>92</v>
      </c>
      <c r="D342">
        <v>2</v>
      </c>
      <c r="E342">
        <v>184</v>
      </c>
      <c r="F342" s="32">
        <v>45232</v>
      </c>
      <c r="G342" t="s">
        <v>8</v>
      </c>
      <c r="H342">
        <v>104</v>
      </c>
      <c r="I342" t="str">
        <f>VLOOKUP(B342,товар!$A$1:$C$433,2,FALSE)</f>
        <v>Печенье</v>
      </c>
      <c r="J342" s="22">
        <f t="shared" si="20"/>
        <v>283.468085106383</v>
      </c>
      <c r="K342" s="24">
        <f t="shared" si="21"/>
        <v>-0.67544847256623886</v>
      </c>
      <c r="L342" t="str">
        <f>VLOOKUP(B342,товар!$A$1:$C$433,3,FALSE)</f>
        <v>Юбилейное</v>
      </c>
      <c r="M342" s="24">
        <f t="shared" si="22"/>
        <v>-0.60420650095602291</v>
      </c>
      <c r="N342" s="29">
        <f t="shared" si="23"/>
        <v>232.44444444444446</v>
      </c>
      <c r="O342" s="32">
        <f>VLOOKUP(H342,клиенты!$A$2:$G$435,5,FALSE)</f>
        <v>44772</v>
      </c>
      <c r="P342">
        <f>Продажи[[#This Row],[дата создания чека]]-Продажи[[#This Row],[Дата регистрации клиента]]</f>
        <v>460</v>
      </c>
      <c r="Q342" t="str">
        <f>VLOOKUP(H342,Таблица3[],7,FALSE)</f>
        <v>Узбекистан</v>
      </c>
    </row>
    <row r="343" spans="1:17" x14ac:dyDescent="0.3">
      <c r="A343">
        <v>342</v>
      </c>
      <c r="B343">
        <v>201</v>
      </c>
      <c r="C343">
        <v>179</v>
      </c>
      <c r="D343">
        <v>5</v>
      </c>
      <c r="E343">
        <v>895</v>
      </c>
      <c r="F343" s="32">
        <v>45091</v>
      </c>
      <c r="G343" t="s">
        <v>14</v>
      </c>
      <c r="H343">
        <v>109</v>
      </c>
      <c r="I343" t="str">
        <f>VLOOKUP(B343,товар!$A$1:$C$433,2,FALSE)</f>
        <v>Печенье</v>
      </c>
      <c r="J343" s="22">
        <f t="shared" si="20"/>
        <v>283.468085106383</v>
      </c>
      <c r="K343" s="24">
        <f t="shared" si="21"/>
        <v>-0.36853561510170385</v>
      </c>
      <c r="L343" t="str">
        <f>VLOOKUP(B343,товар!$A$1:$C$433,3,FALSE)</f>
        <v>Белогорье</v>
      </c>
      <c r="M343" s="24">
        <f t="shared" si="22"/>
        <v>-0.28256513026052099</v>
      </c>
      <c r="N343" s="29">
        <f t="shared" si="23"/>
        <v>249.5</v>
      </c>
      <c r="O343" s="32">
        <f>VLOOKUP(H343,клиенты!$A$2:$G$435,5,FALSE)</f>
        <v>44732</v>
      </c>
      <c r="P343">
        <f>Продажи[[#This Row],[дата создания чека]]-Продажи[[#This Row],[Дата регистрации клиента]]</f>
        <v>359</v>
      </c>
      <c r="Q343" t="str">
        <f>VLOOKUP(H343,Таблица3[],7,FALSE)</f>
        <v>Украина</v>
      </c>
    </row>
    <row r="344" spans="1:17" x14ac:dyDescent="0.3">
      <c r="A344">
        <v>343</v>
      </c>
      <c r="B344">
        <v>462</v>
      </c>
      <c r="C344">
        <v>209</v>
      </c>
      <c r="D344">
        <v>4</v>
      </c>
      <c r="E344">
        <v>836</v>
      </c>
      <c r="F344" s="32">
        <v>45116</v>
      </c>
      <c r="G344" t="s">
        <v>22</v>
      </c>
      <c r="H344">
        <v>369</v>
      </c>
      <c r="I344" t="str">
        <f>VLOOKUP(B344,товар!$A$1:$C$433,2,FALSE)</f>
        <v>Рис</v>
      </c>
      <c r="J344" s="22">
        <f t="shared" si="20"/>
        <v>258.375</v>
      </c>
      <c r="K344" s="24">
        <f t="shared" si="21"/>
        <v>-0.19109820996613447</v>
      </c>
      <c r="L344" t="str">
        <f>VLOOKUP(B344,товар!$A$1:$C$433,3,FALSE)</f>
        <v>Белый Злат</v>
      </c>
      <c r="M344" s="24">
        <f t="shared" si="22"/>
        <v>-0.22508178844056703</v>
      </c>
      <c r="N344" s="29">
        <f t="shared" si="23"/>
        <v>269.70588235294116</v>
      </c>
      <c r="O344" s="32">
        <f>VLOOKUP(H344,клиенты!$A$2:$G$435,5,FALSE)</f>
        <v>44678</v>
      </c>
      <c r="P344">
        <f>Продажи[[#This Row],[дата создания чека]]-Продажи[[#This Row],[Дата регистрации клиента]]</f>
        <v>438</v>
      </c>
      <c r="Q344" t="str">
        <f>VLOOKUP(H344,Таблица3[],7,FALSE)</f>
        <v>Россия</v>
      </c>
    </row>
    <row r="345" spans="1:17" x14ac:dyDescent="0.3">
      <c r="A345">
        <v>344</v>
      </c>
      <c r="B345">
        <v>210</v>
      </c>
      <c r="C345">
        <v>486</v>
      </c>
      <c r="D345">
        <v>5</v>
      </c>
      <c r="E345">
        <v>2430</v>
      </c>
      <c r="F345" s="32">
        <v>45350</v>
      </c>
      <c r="G345" t="s">
        <v>11</v>
      </c>
      <c r="H345">
        <v>78</v>
      </c>
      <c r="I345" t="str">
        <f>VLOOKUP(B345,товар!$A$1:$C$433,2,FALSE)</f>
        <v>Колбаса</v>
      </c>
      <c r="J345" s="22">
        <f t="shared" si="20"/>
        <v>286.92307692307691</v>
      </c>
      <c r="K345" s="24">
        <f t="shared" si="21"/>
        <v>0.69383378016085806</v>
      </c>
      <c r="L345" t="str">
        <f>VLOOKUP(B345,товар!$A$1:$C$433,3,FALSE)</f>
        <v>Окраина</v>
      </c>
      <c r="M345" s="24">
        <f t="shared" si="22"/>
        <v>0.77642400243679566</v>
      </c>
      <c r="N345" s="29">
        <f t="shared" si="23"/>
        <v>273.58333333333331</v>
      </c>
      <c r="O345" s="32">
        <f>VLOOKUP(H345,клиенты!$A$2:$G$435,5,FALSE)</f>
        <v>44658</v>
      </c>
      <c r="P345">
        <f>Продажи[[#This Row],[дата создания чека]]-Продажи[[#This Row],[Дата регистрации клиента]]</f>
        <v>692</v>
      </c>
      <c r="Q345" t="str">
        <f>VLOOKUP(H345,Таблица3[],7,FALSE)</f>
        <v>Украина</v>
      </c>
    </row>
    <row r="346" spans="1:17" x14ac:dyDescent="0.3">
      <c r="A346">
        <v>345</v>
      </c>
      <c r="B346">
        <v>404</v>
      </c>
      <c r="C346">
        <v>123</v>
      </c>
      <c r="D346">
        <v>1</v>
      </c>
      <c r="E346">
        <v>123</v>
      </c>
      <c r="F346" s="32">
        <v>45346</v>
      </c>
      <c r="G346" t="s">
        <v>20</v>
      </c>
      <c r="H346">
        <v>298</v>
      </c>
      <c r="I346" t="str">
        <f>VLOOKUP(B346,товар!$A$1:$C$433,2,FALSE)</f>
        <v>Йогурт</v>
      </c>
      <c r="J346" s="22">
        <f t="shared" si="20"/>
        <v>263.25423728813558</v>
      </c>
      <c r="K346" s="24">
        <f t="shared" si="21"/>
        <v>-0.53277105330929686</v>
      </c>
      <c r="L346" t="str">
        <f>VLOOKUP(B346,товар!$A$1:$C$433,3,FALSE)</f>
        <v>Ростагроэкспорт</v>
      </c>
      <c r="M346" s="24">
        <f t="shared" si="22"/>
        <v>-0.52285376960701635</v>
      </c>
      <c r="N346" s="29">
        <f t="shared" si="23"/>
        <v>257.78260869565219</v>
      </c>
      <c r="O346" s="32">
        <f>VLOOKUP(H346,клиенты!$A$2:$G$435,5,FALSE)</f>
        <v>44821</v>
      </c>
      <c r="P346">
        <f>Продажи[[#This Row],[дата создания чека]]-Продажи[[#This Row],[Дата регистрации клиента]]</f>
        <v>525</v>
      </c>
      <c r="Q346" t="str">
        <f>VLOOKUP(H346,Таблица3[],7,FALSE)</f>
        <v>Украина</v>
      </c>
    </row>
    <row r="347" spans="1:17" x14ac:dyDescent="0.3">
      <c r="A347">
        <v>346</v>
      </c>
      <c r="B347">
        <v>178</v>
      </c>
      <c r="C347">
        <v>179</v>
      </c>
      <c r="D347">
        <v>1</v>
      </c>
      <c r="E347">
        <v>179</v>
      </c>
      <c r="F347" s="32">
        <v>44938</v>
      </c>
      <c r="G347" t="s">
        <v>21</v>
      </c>
      <c r="H347">
        <v>130</v>
      </c>
      <c r="I347" t="str">
        <f>VLOOKUP(B347,товар!$A$1:$C$433,2,FALSE)</f>
        <v>Йогурт</v>
      </c>
      <c r="J347" s="22">
        <f t="shared" si="20"/>
        <v>263.25423728813558</v>
      </c>
      <c r="K347" s="24">
        <f t="shared" si="21"/>
        <v>-0.3200489312387329</v>
      </c>
      <c r="L347" t="str">
        <f>VLOOKUP(B347,товар!$A$1:$C$433,3,FALSE)</f>
        <v>Ростагроэкспорт</v>
      </c>
      <c r="M347" s="24">
        <f t="shared" si="22"/>
        <v>-0.30561646146061738</v>
      </c>
      <c r="N347" s="29">
        <f t="shared" si="23"/>
        <v>257.78260869565219</v>
      </c>
      <c r="O347" s="32">
        <f>VLOOKUP(H347,клиенты!$A$2:$G$435,5,FALSE)</f>
        <v>44863</v>
      </c>
      <c r="P347">
        <f>Продажи[[#This Row],[дата создания чека]]-Продажи[[#This Row],[Дата регистрации клиента]]</f>
        <v>75</v>
      </c>
      <c r="Q347" t="str">
        <f>VLOOKUP(H347,Таблица3[],7,FALSE)</f>
        <v>Таджикистан</v>
      </c>
    </row>
    <row r="348" spans="1:17" x14ac:dyDescent="0.3">
      <c r="A348">
        <v>347</v>
      </c>
      <c r="B348">
        <v>423</v>
      </c>
      <c r="C348">
        <v>218</v>
      </c>
      <c r="D348">
        <v>3</v>
      </c>
      <c r="E348">
        <v>654</v>
      </c>
      <c r="F348" s="32">
        <v>45036</v>
      </c>
      <c r="G348" t="s">
        <v>16</v>
      </c>
      <c r="H348">
        <v>66</v>
      </c>
      <c r="I348" t="str">
        <f>VLOOKUP(B348,товар!$A$1:$C$433,2,FALSE)</f>
        <v>Чипсы</v>
      </c>
      <c r="J348" s="22">
        <f t="shared" si="20"/>
        <v>273.72549019607845</v>
      </c>
      <c r="K348" s="24">
        <f t="shared" si="21"/>
        <v>-0.20358166189111759</v>
      </c>
      <c r="L348" t="str">
        <f>VLOOKUP(B348,товар!$A$1:$C$433,3,FALSE)</f>
        <v>Pringles</v>
      </c>
      <c r="M348" s="24">
        <f t="shared" si="22"/>
        <v>-0.22209005947323701</v>
      </c>
      <c r="N348" s="29">
        <f t="shared" si="23"/>
        <v>280.23809523809524</v>
      </c>
      <c r="O348" s="32">
        <f>VLOOKUP(H348,клиенты!$A$2:$G$435,5,FALSE)</f>
        <v>44777</v>
      </c>
      <c r="P348">
        <f>Продажи[[#This Row],[дата создания чека]]-Продажи[[#This Row],[Дата регистрации клиента]]</f>
        <v>259</v>
      </c>
      <c r="Q348" t="str">
        <f>VLOOKUP(H348,Таблица3[],7,FALSE)</f>
        <v>Россия</v>
      </c>
    </row>
    <row r="349" spans="1:17" x14ac:dyDescent="0.3">
      <c r="A349">
        <v>348</v>
      </c>
      <c r="B349">
        <v>70</v>
      </c>
      <c r="C349">
        <v>51</v>
      </c>
      <c r="D349">
        <v>1</v>
      </c>
      <c r="E349">
        <v>51</v>
      </c>
      <c r="F349" s="32">
        <v>45314</v>
      </c>
      <c r="G349" t="s">
        <v>9</v>
      </c>
      <c r="H349">
        <v>261</v>
      </c>
      <c r="I349" t="str">
        <f>VLOOKUP(B349,товар!$A$1:$C$433,2,FALSE)</f>
        <v>Рис</v>
      </c>
      <c r="J349" s="22">
        <f t="shared" si="20"/>
        <v>258.375</v>
      </c>
      <c r="K349" s="24">
        <f t="shared" si="21"/>
        <v>-0.8026124818577649</v>
      </c>
      <c r="L349" t="str">
        <f>VLOOKUP(B349,товар!$A$1:$C$433,3,FALSE)</f>
        <v>Мистраль</v>
      </c>
      <c r="M349" s="24">
        <f t="shared" si="22"/>
        <v>-0.71911880409126672</v>
      </c>
      <c r="N349" s="29">
        <f t="shared" si="23"/>
        <v>181.57142857142858</v>
      </c>
      <c r="O349" s="32">
        <f>VLOOKUP(H349,клиенты!$A$2:$G$435,5,FALSE)</f>
        <v>44848</v>
      </c>
      <c r="P349">
        <f>Продажи[[#This Row],[дата создания чека]]-Продажи[[#This Row],[Дата регистрации клиента]]</f>
        <v>466</v>
      </c>
      <c r="Q349" t="str">
        <f>VLOOKUP(H349,Таблица3[],7,FALSE)</f>
        <v>Россия</v>
      </c>
    </row>
    <row r="350" spans="1:17" x14ac:dyDescent="0.3">
      <c r="A350">
        <v>349</v>
      </c>
      <c r="B350">
        <v>335</v>
      </c>
      <c r="C350">
        <v>392</v>
      </c>
      <c r="D350">
        <v>5</v>
      </c>
      <c r="E350">
        <v>1960</v>
      </c>
      <c r="F350" s="32">
        <v>45217</v>
      </c>
      <c r="G350" t="s">
        <v>16</v>
      </c>
      <c r="H350">
        <v>307</v>
      </c>
      <c r="I350" t="str">
        <f>VLOOKUP(B350,товар!$A$1:$C$433,2,FALSE)</f>
        <v>Хлеб</v>
      </c>
      <c r="J350" s="22">
        <f t="shared" si="20"/>
        <v>300.31818181818181</v>
      </c>
      <c r="K350" s="24">
        <f t="shared" si="21"/>
        <v>0.30528227637354322</v>
      </c>
      <c r="L350" t="str">
        <f>VLOOKUP(B350,товар!$A$1:$C$433,3,FALSE)</f>
        <v>Каравай</v>
      </c>
      <c r="M350" s="24">
        <f t="shared" si="22"/>
        <v>0.18369401107196781</v>
      </c>
      <c r="N350" s="29">
        <f t="shared" si="23"/>
        <v>331.16666666666669</v>
      </c>
      <c r="O350" s="32">
        <f>VLOOKUP(H350,клиенты!$A$2:$G$435,5,FALSE)</f>
        <v>44764</v>
      </c>
      <c r="P350">
        <f>Продажи[[#This Row],[дата создания чека]]-Продажи[[#This Row],[Дата регистрации клиента]]</f>
        <v>453</v>
      </c>
      <c r="Q350" t="str">
        <f>VLOOKUP(H350,Таблица3[],7,FALSE)</f>
        <v>Беларусь</v>
      </c>
    </row>
    <row r="351" spans="1:17" x14ac:dyDescent="0.3">
      <c r="A351">
        <v>350</v>
      </c>
      <c r="B351">
        <v>427</v>
      </c>
      <c r="C351">
        <v>273</v>
      </c>
      <c r="D351">
        <v>5</v>
      </c>
      <c r="E351">
        <v>1365</v>
      </c>
      <c r="F351" s="32">
        <v>45398</v>
      </c>
      <c r="G351" t="s">
        <v>22</v>
      </c>
      <c r="H351">
        <v>190</v>
      </c>
      <c r="I351" t="str">
        <f>VLOOKUP(B351,товар!$A$1:$C$433,2,FALSE)</f>
        <v>Хлеб</v>
      </c>
      <c r="J351" s="22">
        <f t="shared" si="20"/>
        <v>300.31818181818181</v>
      </c>
      <c r="K351" s="24">
        <f t="shared" si="21"/>
        <v>-9.0964128954139523E-2</v>
      </c>
      <c r="L351" t="str">
        <f>VLOOKUP(B351,товар!$A$1:$C$433,3,FALSE)</f>
        <v>Русский Хлеб</v>
      </c>
      <c r="M351" s="24">
        <f t="shared" si="22"/>
        <v>-0.13771320277953258</v>
      </c>
      <c r="N351" s="29">
        <f t="shared" si="23"/>
        <v>316.60000000000002</v>
      </c>
      <c r="O351" s="32">
        <f>VLOOKUP(H351,клиенты!$A$2:$G$435,5,FALSE)</f>
        <v>44689</v>
      </c>
      <c r="P351">
        <f>Продажи[[#This Row],[дата создания чека]]-Продажи[[#This Row],[Дата регистрации клиента]]</f>
        <v>709</v>
      </c>
      <c r="Q351" t="str">
        <f>VLOOKUP(H351,Таблица3[],7,FALSE)</f>
        <v>Беларусь</v>
      </c>
    </row>
    <row r="352" spans="1:17" x14ac:dyDescent="0.3">
      <c r="A352">
        <v>351</v>
      </c>
      <c r="B352">
        <v>137</v>
      </c>
      <c r="C352">
        <v>154</v>
      </c>
      <c r="D352">
        <v>1</v>
      </c>
      <c r="E352">
        <v>154</v>
      </c>
      <c r="F352" s="32">
        <v>45193</v>
      </c>
      <c r="G352" t="s">
        <v>24</v>
      </c>
      <c r="H352">
        <v>144</v>
      </c>
      <c r="I352" t="str">
        <f>VLOOKUP(B352,товар!$A$1:$C$433,2,FALSE)</f>
        <v>Фрукты</v>
      </c>
      <c r="J352" s="22">
        <f t="shared" si="20"/>
        <v>274.16279069767444</v>
      </c>
      <c r="K352" s="24">
        <f t="shared" si="21"/>
        <v>-0.43828993129188232</v>
      </c>
      <c r="L352" t="str">
        <f>VLOOKUP(B352,товар!$A$1:$C$433,3,FALSE)</f>
        <v>Экзотик</v>
      </c>
      <c r="M352" s="24">
        <f t="shared" si="22"/>
        <v>-0.39295392953929542</v>
      </c>
      <c r="N352" s="29">
        <f t="shared" si="23"/>
        <v>253.6875</v>
      </c>
      <c r="O352" s="32">
        <f>VLOOKUP(H352,клиенты!$A$2:$G$435,5,FALSE)</f>
        <v>44705</v>
      </c>
      <c r="P352">
        <f>Продажи[[#This Row],[дата создания чека]]-Продажи[[#This Row],[Дата регистрации клиента]]</f>
        <v>488</v>
      </c>
      <c r="Q352" t="str">
        <f>VLOOKUP(H352,Таблица3[],7,FALSE)</f>
        <v>Украина</v>
      </c>
    </row>
    <row r="353" spans="1:17" x14ac:dyDescent="0.3">
      <c r="A353">
        <v>352</v>
      </c>
      <c r="B353">
        <v>303</v>
      </c>
      <c r="C353">
        <v>68</v>
      </c>
      <c r="D353">
        <v>4</v>
      </c>
      <c r="E353">
        <v>272</v>
      </c>
      <c r="F353" s="32">
        <v>44947</v>
      </c>
      <c r="G353" t="s">
        <v>24</v>
      </c>
      <c r="H353">
        <v>76</v>
      </c>
      <c r="I353" t="str">
        <f>VLOOKUP(B353,товар!$A$1:$C$433,2,FALSE)</f>
        <v>Фрукты</v>
      </c>
      <c r="J353" s="22">
        <f t="shared" si="20"/>
        <v>274.16279069767444</v>
      </c>
      <c r="K353" s="24">
        <f t="shared" si="21"/>
        <v>-0.75197217745355838</v>
      </c>
      <c r="L353" t="str">
        <f>VLOOKUP(B353,товар!$A$1:$C$433,3,FALSE)</f>
        <v>Фруктовый Рай</v>
      </c>
      <c r="M353" s="24">
        <f t="shared" si="22"/>
        <v>-0.73674806432400242</v>
      </c>
      <c r="N353" s="29">
        <f t="shared" si="23"/>
        <v>258.30769230769232</v>
      </c>
      <c r="O353" s="32">
        <f>VLOOKUP(H353,клиенты!$A$2:$G$435,5,FALSE)</f>
        <v>44575</v>
      </c>
      <c r="P353">
        <f>Продажи[[#This Row],[дата создания чека]]-Продажи[[#This Row],[Дата регистрации клиента]]</f>
        <v>372</v>
      </c>
      <c r="Q353" t="str">
        <f>VLOOKUP(H353,Таблица3[],7,FALSE)</f>
        <v>Беларусь</v>
      </c>
    </row>
    <row r="354" spans="1:17" x14ac:dyDescent="0.3">
      <c r="A354">
        <v>353</v>
      </c>
      <c r="B354">
        <v>23</v>
      </c>
      <c r="C354">
        <v>380</v>
      </c>
      <c r="D354">
        <v>1</v>
      </c>
      <c r="E354">
        <v>380</v>
      </c>
      <c r="F354" s="32">
        <v>45199</v>
      </c>
      <c r="G354" t="s">
        <v>16</v>
      </c>
      <c r="H354">
        <v>84</v>
      </c>
      <c r="I354" t="str">
        <f>VLOOKUP(B354,товар!$A$1:$C$433,2,FALSE)</f>
        <v>Рыба</v>
      </c>
      <c r="J354" s="22">
        <f t="shared" si="20"/>
        <v>258.5128205128205</v>
      </c>
      <c r="K354" s="24">
        <f t="shared" si="21"/>
        <v>0.46994643919857171</v>
      </c>
      <c r="L354" t="str">
        <f>VLOOKUP(B354,товар!$A$1:$C$433,3,FALSE)</f>
        <v>Санта Бремор</v>
      </c>
      <c r="M354" s="24">
        <f t="shared" si="22"/>
        <v>0.75600739371534198</v>
      </c>
      <c r="N354" s="29">
        <f t="shared" si="23"/>
        <v>216.4</v>
      </c>
      <c r="O354" s="32">
        <f>VLOOKUP(H354,клиенты!$A$2:$G$435,5,FALSE)</f>
        <v>44805</v>
      </c>
      <c r="P354">
        <f>Продажи[[#This Row],[дата создания чека]]-Продажи[[#This Row],[Дата регистрации клиента]]</f>
        <v>394</v>
      </c>
      <c r="Q354" t="str">
        <f>VLOOKUP(H354,Таблица3[],7,FALSE)</f>
        <v>Таджикистан</v>
      </c>
    </row>
    <row r="355" spans="1:17" x14ac:dyDescent="0.3">
      <c r="A355">
        <v>354</v>
      </c>
      <c r="B355">
        <v>398</v>
      </c>
      <c r="C355">
        <v>417</v>
      </c>
      <c r="D355">
        <v>4</v>
      </c>
      <c r="E355">
        <v>1668</v>
      </c>
      <c r="F355" s="32">
        <v>45167</v>
      </c>
      <c r="G355" t="s">
        <v>23</v>
      </c>
      <c r="H355">
        <v>81</v>
      </c>
      <c r="I355" t="str">
        <f>VLOOKUP(B355,товар!$A$1:$C$433,2,FALSE)</f>
        <v>Сок</v>
      </c>
      <c r="J355" s="22">
        <f t="shared" si="20"/>
        <v>268.60344827586209</v>
      </c>
      <c r="K355" s="24">
        <f t="shared" si="21"/>
        <v>0.55247448488349682</v>
      </c>
      <c r="L355" t="str">
        <f>VLOOKUP(B355,товар!$A$1:$C$433,3,FALSE)</f>
        <v>Фруктовый сад</v>
      </c>
      <c r="M355" s="24">
        <f t="shared" si="22"/>
        <v>0.47888728804167124</v>
      </c>
      <c r="N355" s="29">
        <f t="shared" si="23"/>
        <v>281.96875</v>
      </c>
      <c r="O355" s="32">
        <f>VLOOKUP(H355,клиенты!$A$2:$G$435,5,FALSE)</f>
        <v>44825</v>
      </c>
      <c r="P355">
        <f>Продажи[[#This Row],[дата создания чека]]-Продажи[[#This Row],[Дата регистрации клиента]]</f>
        <v>342</v>
      </c>
      <c r="Q355" t="str">
        <f>VLOOKUP(H355,Таблица3[],7,FALSE)</f>
        <v>Россия</v>
      </c>
    </row>
    <row r="356" spans="1:17" x14ac:dyDescent="0.3">
      <c r="A356">
        <v>355</v>
      </c>
      <c r="B356">
        <v>8</v>
      </c>
      <c r="C356">
        <v>404</v>
      </c>
      <c r="D356">
        <v>1</v>
      </c>
      <c r="E356">
        <v>404</v>
      </c>
      <c r="F356" s="32">
        <v>45077</v>
      </c>
      <c r="G356" t="s">
        <v>22</v>
      </c>
      <c r="H356">
        <v>157</v>
      </c>
      <c r="I356" t="str">
        <f>VLOOKUP(B356,товар!$A$1:$C$433,2,FALSE)</f>
        <v>Макароны</v>
      </c>
      <c r="J356" s="22">
        <f t="shared" si="20"/>
        <v>265.47674418604652</v>
      </c>
      <c r="K356" s="24">
        <f t="shared" si="21"/>
        <v>0.52179054793920554</v>
      </c>
      <c r="L356" t="str">
        <f>VLOOKUP(B356,товар!$A$1:$C$433,3,FALSE)</f>
        <v>Паста Зара</v>
      </c>
      <c r="M356" s="24">
        <f t="shared" si="22"/>
        <v>0.46019341603985531</v>
      </c>
      <c r="N356" s="29">
        <f t="shared" si="23"/>
        <v>276.67567567567568</v>
      </c>
      <c r="O356" s="32">
        <f>VLOOKUP(H356,клиенты!$A$2:$G$435,5,FALSE)</f>
        <v>44783</v>
      </c>
      <c r="P356">
        <f>Продажи[[#This Row],[дата создания чека]]-Продажи[[#This Row],[Дата регистрации клиента]]</f>
        <v>294</v>
      </c>
      <c r="Q356" t="str">
        <f>VLOOKUP(H356,Таблица3[],7,FALSE)</f>
        <v>Россия</v>
      </c>
    </row>
    <row r="357" spans="1:17" x14ac:dyDescent="0.3">
      <c r="A357">
        <v>356</v>
      </c>
      <c r="B357">
        <v>485</v>
      </c>
      <c r="C357">
        <v>193</v>
      </c>
      <c r="D357">
        <v>1</v>
      </c>
      <c r="E357">
        <v>193</v>
      </c>
      <c r="F357" s="32">
        <v>45105</v>
      </c>
      <c r="G357" t="s">
        <v>20</v>
      </c>
      <c r="H357">
        <v>57</v>
      </c>
      <c r="I357" t="str">
        <f>VLOOKUP(B357,товар!$A$1:$C$433,2,FALSE)</f>
        <v>Макароны</v>
      </c>
      <c r="J357" s="22">
        <f t="shared" si="20"/>
        <v>265.47674418604652</v>
      </c>
      <c r="K357" s="24">
        <f t="shared" si="21"/>
        <v>-0.27300600061320135</v>
      </c>
      <c r="L357" t="str">
        <f>VLOOKUP(B357,товар!$A$1:$C$433,3,FALSE)</f>
        <v>Борилла</v>
      </c>
      <c r="M357" s="24">
        <f t="shared" si="22"/>
        <v>-0.18315820198482202</v>
      </c>
      <c r="N357" s="29">
        <f t="shared" si="23"/>
        <v>236.27586206896552</v>
      </c>
      <c r="O357" s="32">
        <f>VLOOKUP(H357,клиенты!$A$2:$G$435,5,FALSE)</f>
        <v>44669</v>
      </c>
      <c r="P357">
        <f>Продажи[[#This Row],[дата создания чека]]-Продажи[[#This Row],[Дата регистрации клиента]]</f>
        <v>436</v>
      </c>
      <c r="Q357" t="str">
        <f>VLOOKUP(H357,Таблица3[],7,FALSE)</f>
        <v>Россия</v>
      </c>
    </row>
    <row r="358" spans="1:17" x14ac:dyDescent="0.3">
      <c r="A358">
        <v>357</v>
      </c>
      <c r="B358">
        <v>60</v>
      </c>
      <c r="C358">
        <v>320</v>
      </c>
      <c r="D358">
        <v>4</v>
      </c>
      <c r="E358">
        <v>1280</v>
      </c>
      <c r="F358" s="32">
        <v>45292</v>
      </c>
      <c r="G358" t="s">
        <v>18</v>
      </c>
      <c r="H358">
        <v>273</v>
      </c>
      <c r="I358" t="str">
        <f>VLOOKUP(B358,товар!$A$1:$C$433,2,FALSE)</f>
        <v>Кофе</v>
      </c>
      <c r="J358" s="22">
        <f t="shared" si="20"/>
        <v>249.02380952380952</v>
      </c>
      <c r="K358" s="24">
        <f t="shared" si="21"/>
        <v>0.28501768811549866</v>
      </c>
      <c r="L358" t="str">
        <f>VLOOKUP(B358,товар!$A$1:$C$433,3,FALSE)</f>
        <v>Jacobs</v>
      </c>
      <c r="M358" s="24">
        <f t="shared" si="22"/>
        <v>0.15853658536585358</v>
      </c>
      <c r="N358" s="29">
        <f t="shared" si="23"/>
        <v>276.21052631578948</v>
      </c>
      <c r="O358" s="32">
        <f>VLOOKUP(H358,клиенты!$A$2:$G$435,5,FALSE)</f>
        <v>44599</v>
      </c>
      <c r="P358">
        <f>Продажи[[#This Row],[дата создания чека]]-Продажи[[#This Row],[Дата регистрации клиента]]</f>
        <v>693</v>
      </c>
      <c r="Q358" t="str">
        <f>VLOOKUP(H358,Таблица3[],7,FALSE)</f>
        <v>Узбекистан</v>
      </c>
    </row>
    <row r="359" spans="1:17" x14ac:dyDescent="0.3">
      <c r="A359">
        <v>358</v>
      </c>
      <c r="B359">
        <v>290</v>
      </c>
      <c r="C359">
        <v>470</v>
      </c>
      <c r="D359">
        <v>5</v>
      </c>
      <c r="E359">
        <v>2350</v>
      </c>
      <c r="F359" s="32">
        <v>45039</v>
      </c>
      <c r="G359" t="s">
        <v>20</v>
      </c>
      <c r="H359">
        <v>479</v>
      </c>
      <c r="I359" t="str">
        <f>VLOOKUP(B359,товар!$A$1:$C$433,2,FALSE)</f>
        <v>Сахар</v>
      </c>
      <c r="J359" s="22">
        <f t="shared" si="20"/>
        <v>252.76271186440678</v>
      </c>
      <c r="K359" s="24">
        <f t="shared" si="21"/>
        <v>0.85945148528129822</v>
      </c>
      <c r="L359" t="str">
        <f>VLOOKUP(B359,товар!$A$1:$C$433,3,FALSE)</f>
        <v>Продимекс</v>
      </c>
      <c r="M359" s="24">
        <f t="shared" si="22"/>
        <v>0.95426195426195437</v>
      </c>
      <c r="N359" s="29">
        <f t="shared" si="23"/>
        <v>240.5</v>
      </c>
      <c r="O359" s="32">
        <f>VLOOKUP(H359,клиенты!$A$2:$G$435,5,FALSE)</f>
        <v>44793</v>
      </c>
      <c r="P359">
        <f>Продажи[[#This Row],[дата создания чека]]-Продажи[[#This Row],[Дата регистрации клиента]]</f>
        <v>246</v>
      </c>
      <c r="Q359" t="str">
        <f>VLOOKUP(H359,Таблица3[],7,FALSE)</f>
        <v>Россия</v>
      </c>
    </row>
    <row r="360" spans="1:17" x14ac:dyDescent="0.3">
      <c r="A360">
        <v>359</v>
      </c>
      <c r="B360">
        <v>386</v>
      </c>
      <c r="C360">
        <v>424</v>
      </c>
      <c r="D360">
        <v>3</v>
      </c>
      <c r="E360">
        <v>1272</v>
      </c>
      <c r="F360" s="32">
        <v>45166</v>
      </c>
      <c r="G360" t="s">
        <v>27</v>
      </c>
      <c r="H360">
        <v>406</v>
      </c>
      <c r="I360" t="str">
        <f>VLOOKUP(B360,товар!$A$1:$C$433,2,FALSE)</f>
        <v>Крупа</v>
      </c>
      <c r="J360" s="22">
        <f t="shared" si="20"/>
        <v>255.11627906976744</v>
      </c>
      <c r="K360" s="24">
        <f t="shared" si="21"/>
        <v>0.6619872379216043</v>
      </c>
      <c r="L360" t="str">
        <f>VLOOKUP(B360,товар!$A$1:$C$433,3,FALSE)</f>
        <v>Увелка</v>
      </c>
      <c r="M360" s="24">
        <f t="shared" si="22"/>
        <v>0.68309626199139939</v>
      </c>
      <c r="N360" s="29">
        <f t="shared" si="23"/>
        <v>251.91666666666666</v>
      </c>
      <c r="O360" s="32">
        <f>VLOOKUP(H360,клиенты!$A$2:$G$435,5,FALSE)</f>
        <v>44895</v>
      </c>
      <c r="P360">
        <f>Продажи[[#This Row],[дата создания чека]]-Продажи[[#This Row],[Дата регистрации клиента]]</f>
        <v>271</v>
      </c>
      <c r="Q360" t="str">
        <f>VLOOKUP(H360,Таблица3[],7,FALSE)</f>
        <v>Украина</v>
      </c>
    </row>
    <row r="361" spans="1:17" x14ac:dyDescent="0.3">
      <c r="A361">
        <v>360</v>
      </c>
      <c r="B361">
        <v>348</v>
      </c>
      <c r="C361">
        <v>147</v>
      </c>
      <c r="D361">
        <v>4</v>
      </c>
      <c r="E361">
        <v>588</v>
      </c>
      <c r="F361" s="32">
        <v>45006</v>
      </c>
      <c r="G361" t="s">
        <v>22</v>
      </c>
      <c r="H361">
        <v>157</v>
      </c>
      <c r="I361" t="str">
        <f>VLOOKUP(B361,товар!$A$1:$C$433,2,FALSE)</f>
        <v>Чипсы</v>
      </c>
      <c r="J361" s="22">
        <f t="shared" si="20"/>
        <v>273.72549019607845</v>
      </c>
      <c r="K361" s="24">
        <f t="shared" si="21"/>
        <v>-0.4629656160458453</v>
      </c>
      <c r="L361" t="str">
        <f>VLOOKUP(B361,товар!$A$1:$C$433,3,FALSE)</f>
        <v>Estrella</v>
      </c>
      <c r="M361" s="24">
        <f t="shared" si="22"/>
        <v>-0.44793444861727549</v>
      </c>
      <c r="N361" s="29">
        <f t="shared" si="23"/>
        <v>266.27272727272725</v>
      </c>
      <c r="O361" s="32">
        <f>VLOOKUP(H361,клиенты!$A$2:$G$435,5,FALSE)</f>
        <v>44783</v>
      </c>
      <c r="P361">
        <f>Продажи[[#This Row],[дата создания чека]]-Продажи[[#This Row],[Дата регистрации клиента]]</f>
        <v>223</v>
      </c>
      <c r="Q361" t="str">
        <f>VLOOKUP(H361,Таблица3[],7,FALSE)</f>
        <v>Россия</v>
      </c>
    </row>
    <row r="362" spans="1:17" x14ac:dyDescent="0.3">
      <c r="A362">
        <v>361</v>
      </c>
      <c r="B362">
        <v>350</v>
      </c>
      <c r="C362">
        <v>319</v>
      </c>
      <c r="D362">
        <v>3</v>
      </c>
      <c r="E362">
        <v>957</v>
      </c>
      <c r="F362" s="32">
        <v>45385</v>
      </c>
      <c r="G362" t="s">
        <v>8</v>
      </c>
      <c r="H362">
        <v>56</v>
      </c>
      <c r="I362" t="str">
        <f>VLOOKUP(B362,товар!$A$1:$C$433,2,FALSE)</f>
        <v>Фрукты</v>
      </c>
      <c r="J362" s="22">
        <f t="shared" si="20"/>
        <v>274.16279069767444</v>
      </c>
      <c r="K362" s="24">
        <f t="shared" si="21"/>
        <v>0.16354228518110103</v>
      </c>
      <c r="L362" t="str">
        <f>VLOOKUP(B362,товар!$A$1:$C$433,3,FALSE)</f>
        <v>Фрукты-Ягоды</v>
      </c>
      <c r="M362" s="24">
        <f t="shared" si="22"/>
        <v>0.13657957244655572</v>
      </c>
      <c r="N362" s="29">
        <f t="shared" si="23"/>
        <v>280.66666666666669</v>
      </c>
      <c r="O362" s="32">
        <f>VLOOKUP(H362,клиенты!$A$2:$G$435,5,FALSE)</f>
        <v>44662</v>
      </c>
      <c r="P362">
        <f>Продажи[[#This Row],[дата создания чека]]-Продажи[[#This Row],[Дата регистрации клиента]]</f>
        <v>723</v>
      </c>
      <c r="Q362" t="str">
        <f>VLOOKUP(H362,Таблица3[],7,FALSE)</f>
        <v>Таджикистан</v>
      </c>
    </row>
    <row r="363" spans="1:17" x14ac:dyDescent="0.3">
      <c r="A363">
        <v>362</v>
      </c>
      <c r="B363">
        <v>126</v>
      </c>
      <c r="C363">
        <v>479</v>
      </c>
      <c r="D363">
        <v>2</v>
      </c>
      <c r="E363">
        <v>958</v>
      </c>
      <c r="F363" s="32">
        <v>45045</v>
      </c>
      <c r="G363" t="s">
        <v>24</v>
      </c>
      <c r="H363">
        <v>10</v>
      </c>
      <c r="I363" t="str">
        <f>VLOOKUP(B363,товар!$A$1:$C$433,2,FALSE)</f>
        <v>Сахар</v>
      </c>
      <c r="J363" s="22">
        <f t="shared" si="20"/>
        <v>252.76271186440678</v>
      </c>
      <c r="K363" s="24">
        <f t="shared" si="21"/>
        <v>0.89505800308455719</v>
      </c>
      <c r="L363" t="str">
        <f>VLOOKUP(B363,товар!$A$1:$C$433,3,FALSE)</f>
        <v>Русский сахар</v>
      </c>
      <c r="M363" s="24">
        <f t="shared" si="22"/>
        <v>0.63251804330392924</v>
      </c>
      <c r="N363" s="29">
        <f t="shared" si="23"/>
        <v>293.41176470588238</v>
      </c>
      <c r="O363" s="32">
        <f>VLOOKUP(H363,клиенты!$A$2:$G$435,5,FALSE)</f>
        <v>44881</v>
      </c>
      <c r="P363">
        <f>Продажи[[#This Row],[дата создания чека]]-Продажи[[#This Row],[Дата регистрации клиента]]</f>
        <v>164</v>
      </c>
      <c r="Q363" t="str">
        <f>VLOOKUP(H363,Таблица3[],7,FALSE)</f>
        <v>Украина</v>
      </c>
    </row>
    <row r="364" spans="1:17" x14ac:dyDescent="0.3">
      <c r="A364">
        <v>363</v>
      </c>
      <c r="B364">
        <v>258</v>
      </c>
      <c r="C364">
        <v>181</v>
      </c>
      <c r="D364">
        <v>5</v>
      </c>
      <c r="E364">
        <v>905</v>
      </c>
      <c r="F364" s="32">
        <v>45054</v>
      </c>
      <c r="G364" t="s">
        <v>27</v>
      </c>
      <c r="H364">
        <v>174</v>
      </c>
      <c r="I364" t="str">
        <f>VLOOKUP(B364,товар!$A$1:$C$433,2,FALSE)</f>
        <v>Рыба</v>
      </c>
      <c r="J364" s="22">
        <f t="shared" si="20"/>
        <v>258.5128205128205</v>
      </c>
      <c r="K364" s="24">
        <f t="shared" si="21"/>
        <v>-0.29984130132910136</v>
      </c>
      <c r="L364" t="str">
        <f>VLOOKUP(B364,товар!$A$1:$C$433,3,FALSE)</f>
        <v>Санта Бремор</v>
      </c>
      <c r="M364" s="24">
        <f t="shared" si="22"/>
        <v>-0.16358595194085035</v>
      </c>
      <c r="N364" s="29">
        <f t="shared" si="23"/>
        <v>216.4</v>
      </c>
      <c r="O364" s="32">
        <f>VLOOKUP(H364,клиенты!$A$2:$G$435,5,FALSE)</f>
        <v>44779</v>
      </c>
      <c r="P364">
        <f>Продажи[[#This Row],[дата создания чека]]-Продажи[[#This Row],[Дата регистрации клиента]]</f>
        <v>275</v>
      </c>
      <c r="Q364" t="str">
        <f>VLOOKUP(H364,Таблица3[],7,FALSE)</f>
        <v>Таджикистан</v>
      </c>
    </row>
    <row r="365" spans="1:17" x14ac:dyDescent="0.3">
      <c r="A365">
        <v>364</v>
      </c>
      <c r="B365">
        <v>325</v>
      </c>
      <c r="C365">
        <v>361</v>
      </c>
      <c r="D365">
        <v>5</v>
      </c>
      <c r="E365">
        <v>1805</v>
      </c>
      <c r="F365" s="32">
        <v>45243</v>
      </c>
      <c r="G365" t="s">
        <v>11</v>
      </c>
      <c r="H365">
        <v>110</v>
      </c>
      <c r="I365" t="str">
        <f>VLOOKUP(B365,товар!$A$1:$C$433,2,FALSE)</f>
        <v>Сок</v>
      </c>
      <c r="J365" s="22">
        <f t="shared" si="20"/>
        <v>268.60344827586209</v>
      </c>
      <c r="K365" s="24">
        <f t="shared" si="21"/>
        <v>0.34398870274086901</v>
      </c>
      <c r="L365" t="str">
        <f>VLOOKUP(B365,товар!$A$1:$C$433,3,FALSE)</f>
        <v>Добрый</v>
      </c>
      <c r="M365" s="24">
        <f t="shared" si="22"/>
        <v>0.48670909771621118</v>
      </c>
      <c r="N365" s="29">
        <f t="shared" si="23"/>
        <v>242.81818181818181</v>
      </c>
      <c r="O365" s="32">
        <f>VLOOKUP(H365,клиенты!$A$2:$G$435,5,FALSE)</f>
        <v>44580</v>
      </c>
      <c r="P365">
        <f>Продажи[[#This Row],[дата создания чека]]-Продажи[[#This Row],[Дата регистрации клиента]]</f>
        <v>663</v>
      </c>
      <c r="Q365" t="str">
        <f>VLOOKUP(H365,Таблица3[],7,FALSE)</f>
        <v>Узбекистан</v>
      </c>
    </row>
    <row r="366" spans="1:17" x14ac:dyDescent="0.3">
      <c r="A366">
        <v>365</v>
      </c>
      <c r="B366">
        <v>320</v>
      </c>
      <c r="C366">
        <v>254</v>
      </c>
      <c r="D366">
        <v>1</v>
      </c>
      <c r="E366">
        <v>254</v>
      </c>
      <c r="F366" s="32">
        <v>45316</v>
      </c>
      <c r="G366" t="s">
        <v>19</v>
      </c>
      <c r="H366">
        <v>72</v>
      </c>
      <c r="I366" t="str">
        <f>VLOOKUP(B366,товар!$A$1:$C$433,2,FALSE)</f>
        <v>Конфеты</v>
      </c>
      <c r="J366" s="22">
        <f t="shared" si="20"/>
        <v>267.85483870967744</v>
      </c>
      <c r="K366" s="24">
        <f t="shared" si="21"/>
        <v>-5.172517613054739E-2</v>
      </c>
      <c r="L366" t="str">
        <f>VLOOKUP(B366,товар!$A$1:$C$433,3,FALSE)</f>
        <v>Бабаевский</v>
      </c>
      <c r="M366" s="24">
        <f t="shared" si="22"/>
        <v>1.494746189137186E-2</v>
      </c>
      <c r="N366" s="29">
        <f t="shared" si="23"/>
        <v>250.25925925925927</v>
      </c>
      <c r="O366" s="32">
        <f>VLOOKUP(H366,клиенты!$A$2:$G$435,5,FALSE)</f>
        <v>44906</v>
      </c>
      <c r="P366">
        <f>Продажи[[#This Row],[дата создания чека]]-Продажи[[#This Row],[Дата регистрации клиента]]</f>
        <v>410</v>
      </c>
      <c r="Q366" t="str">
        <f>VLOOKUP(H366,Таблица3[],7,FALSE)</f>
        <v>Таджикистан</v>
      </c>
    </row>
    <row r="367" spans="1:17" x14ac:dyDescent="0.3">
      <c r="A367">
        <v>366</v>
      </c>
      <c r="B367">
        <v>329</v>
      </c>
      <c r="C367">
        <v>187</v>
      </c>
      <c r="D367">
        <v>4</v>
      </c>
      <c r="E367">
        <v>748</v>
      </c>
      <c r="F367" s="32">
        <v>45274</v>
      </c>
      <c r="G367" t="s">
        <v>20</v>
      </c>
      <c r="H367">
        <v>307</v>
      </c>
      <c r="I367" t="str">
        <f>VLOOKUP(B367,товар!$A$1:$C$433,2,FALSE)</f>
        <v>Соль</v>
      </c>
      <c r="J367" s="22">
        <f t="shared" si="20"/>
        <v>264.8679245283019</v>
      </c>
      <c r="K367" s="24">
        <f t="shared" si="21"/>
        <v>-0.29398774754238499</v>
      </c>
      <c r="L367" t="str">
        <f>VLOOKUP(B367,товар!$A$1:$C$433,3,FALSE)</f>
        <v>Славянская</v>
      </c>
      <c r="M367" s="24">
        <f t="shared" si="22"/>
        <v>-0.21069293000351741</v>
      </c>
      <c r="N367" s="29">
        <f t="shared" si="23"/>
        <v>236.91666666666666</v>
      </c>
      <c r="O367" s="32">
        <f>VLOOKUP(H367,клиенты!$A$2:$G$435,5,FALSE)</f>
        <v>44764</v>
      </c>
      <c r="P367">
        <f>Продажи[[#This Row],[дата создания чека]]-Продажи[[#This Row],[Дата регистрации клиента]]</f>
        <v>510</v>
      </c>
      <c r="Q367" t="str">
        <f>VLOOKUP(H367,Таблица3[],7,FALSE)</f>
        <v>Беларусь</v>
      </c>
    </row>
    <row r="368" spans="1:17" x14ac:dyDescent="0.3">
      <c r="A368">
        <v>367</v>
      </c>
      <c r="B368">
        <v>226</v>
      </c>
      <c r="C368">
        <v>155</v>
      </c>
      <c r="D368">
        <v>4</v>
      </c>
      <c r="E368">
        <v>620</v>
      </c>
      <c r="F368" s="32">
        <v>44967</v>
      </c>
      <c r="G368" t="s">
        <v>21</v>
      </c>
      <c r="H368">
        <v>202</v>
      </c>
      <c r="I368" t="str">
        <f>VLOOKUP(B368,товар!$A$1:$C$433,2,FALSE)</f>
        <v>Сыр</v>
      </c>
      <c r="J368" s="22">
        <f t="shared" si="20"/>
        <v>262.63492063492066</v>
      </c>
      <c r="K368" s="24">
        <f t="shared" si="21"/>
        <v>-0.40982714855554214</v>
      </c>
      <c r="L368" t="str">
        <f>VLOOKUP(B368,товар!$A$1:$C$433,3,FALSE)</f>
        <v>Карат</v>
      </c>
      <c r="M368" s="24">
        <f t="shared" si="22"/>
        <v>-0.50214132762312635</v>
      </c>
      <c r="N368" s="29">
        <f t="shared" si="23"/>
        <v>311.33333333333331</v>
      </c>
      <c r="O368" s="32">
        <f>VLOOKUP(H368,клиенты!$A$2:$G$435,5,FALSE)</f>
        <v>44766</v>
      </c>
      <c r="P368">
        <f>Продажи[[#This Row],[дата создания чека]]-Продажи[[#This Row],[Дата регистрации клиента]]</f>
        <v>201</v>
      </c>
      <c r="Q368" t="str">
        <f>VLOOKUP(H368,Таблица3[],7,FALSE)</f>
        <v>Беларусь</v>
      </c>
    </row>
    <row r="369" spans="1:17" x14ac:dyDescent="0.3">
      <c r="A369">
        <v>368</v>
      </c>
      <c r="B369">
        <v>270</v>
      </c>
      <c r="C369">
        <v>78</v>
      </c>
      <c r="D369">
        <v>4</v>
      </c>
      <c r="E369">
        <v>312</v>
      </c>
      <c r="F369" s="32">
        <v>44932</v>
      </c>
      <c r="G369" t="s">
        <v>24</v>
      </c>
      <c r="H369">
        <v>157</v>
      </c>
      <c r="I369" t="str">
        <f>VLOOKUP(B369,товар!$A$1:$C$433,2,FALSE)</f>
        <v>Соль</v>
      </c>
      <c r="J369" s="22">
        <f t="shared" si="20"/>
        <v>264.8679245283019</v>
      </c>
      <c r="K369" s="24">
        <f t="shared" si="21"/>
        <v>-0.70551360592677015</v>
      </c>
      <c r="L369" t="str">
        <f>VLOOKUP(B369,товар!$A$1:$C$433,3,FALSE)</f>
        <v>Славянская</v>
      </c>
      <c r="M369" s="24">
        <f t="shared" si="22"/>
        <v>-0.67077031304959545</v>
      </c>
      <c r="N369" s="29">
        <f t="shared" si="23"/>
        <v>236.91666666666666</v>
      </c>
      <c r="O369" s="32">
        <f>VLOOKUP(H369,клиенты!$A$2:$G$435,5,FALSE)</f>
        <v>44783</v>
      </c>
      <c r="P369">
        <f>Продажи[[#This Row],[дата создания чека]]-Продажи[[#This Row],[Дата регистрации клиента]]</f>
        <v>149</v>
      </c>
      <c r="Q369" t="str">
        <f>VLOOKUP(H369,Таблица3[],7,FALSE)</f>
        <v>Россия</v>
      </c>
    </row>
    <row r="370" spans="1:17" x14ac:dyDescent="0.3">
      <c r="A370">
        <v>369</v>
      </c>
      <c r="B370">
        <v>233</v>
      </c>
      <c r="C370">
        <v>478</v>
      </c>
      <c r="D370">
        <v>2</v>
      </c>
      <c r="E370">
        <v>956</v>
      </c>
      <c r="F370" s="32">
        <v>45129</v>
      </c>
      <c r="G370" t="s">
        <v>22</v>
      </c>
      <c r="H370">
        <v>270</v>
      </c>
      <c r="I370" t="str">
        <f>VLOOKUP(B370,товар!$A$1:$C$433,2,FALSE)</f>
        <v>Йогурт</v>
      </c>
      <c r="J370" s="22">
        <f t="shared" si="20"/>
        <v>263.25423728813558</v>
      </c>
      <c r="K370" s="24">
        <f t="shared" si="21"/>
        <v>0.8157352562451714</v>
      </c>
      <c r="L370" t="str">
        <f>VLOOKUP(B370,товар!$A$1:$C$433,3,FALSE)</f>
        <v>Ростагроэкспорт</v>
      </c>
      <c r="M370" s="24">
        <f t="shared" si="22"/>
        <v>0.85427559453533464</v>
      </c>
      <c r="N370" s="29">
        <f t="shared" si="23"/>
        <v>257.78260869565219</v>
      </c>
      <c r="O370" s="32">
        <f>VLOOKUP(H370,клиенты!$A$2:$G$435,5,FALSE)</f>
        <v>44827</v>
      </c>
      <c r="P370">
        <f>Продажи[[#This Row],[дата создания чека]]-Продажи[[#This Row],[Дата регистрации клиента]]</f>
        <v>302</v>
      </c>
      <c r="Q370" t="str">
        <f>VLOOKUP(H370,Таблица3[],7,FALSE)</f>
        <v>Таджикистан</v>
      </c>
    </row>
    <row r="371" spans="1:17" x14ac:dyDescent="0.3">
      <c r="A371">
        <v>370</v>
      </c>
      <c r="B371">
        <v>178</v>
      </c>
      <c r="C371">
        <v>176</v>
      </c>
      <c r="D371">
        <v>5</v>
      </c>
      <c r="E371">
        <v>880</v>
      </c>
      <c r="F371" s="32">
        <v>45183</v>
      </c>
      <c r="G371" t="s">
        <v>17</v>
      </c>
      <c r="H371">
        <v>65</v>
      </c>
      <c r="I371" t="str">
        <f>VLOOKUP(B371,товар!$A$1:$C$433,2,FALSE)</f>
        <v>Йогурт</v>
      </c>
      <c r="J371" s="22">
        <f t="shared" si="20"/>
        <v>263.25423728813558</v>
      </c>
      <c r="K371" s="24">
        <f t="shared" si="21"/>
        <v>-0.33144475920679883</v>
      </c>
      <c r="L371" t="str">
        <f>VLOOKUP(B371,товар!$A$1:$C$433,3,FALSE)</f>
        <v>Ростагроэкспорт</v>
      </c>
      <c r="M371" s="24">
        <f t="shared" si="22"/>
        <v>-0.31725417439703152</v>
      </c>
      <c r="N371" s="29">
        <f t="shared" si="23"/>
        <v>257.78260869565219</v>
      </c>
      <c r="O371" s="32">
        <f>VLOOKUP(H371,клиенты!$A$2:$G$435,5,FALSE)</f>
        <v>44623</v>
      </c>
      <c r="P371">
        <f>Продажи[[#This Row],[дата создания чека]]-Продажи[[#This Row],[Дата регистрации клиента]]</f>
        <v>560</v>
      </c>
      <c r="Q371" t="str">
        <f>VLOOKUP(H371,Таблица3[],7,FALSE)</f>
        <v>Украина</v>
      </c>
    </row>
    <row r="372" spans="1:17" x14ac:dyDescent="0.3">
      <c r="A372">
        <v>371</v>
      </c>
      <c r="B372">
        <v>293</v>
      </c>
      <c r="C372">
        <v>179</v>
      </c>
      <c r="D372">
        <v>4</v>
      </c>
      <c r="E372">
        <v>716</v>
      </c>
      <c r="F372" s="32">
        <v>45258</v>
      </c>
      <c r="G372" t="s">
        <v>11</v>
      </c>
      <c r="H372">
        <v>38</v>
      </c>
      <c r="I372" t="str">
        <f>VLOOKUP(B372,товар!$A$1:$C$433,2,FALSE)</f>
        <v>Конфеты</v>
      </c>
      <c r="J372" s="22">
        <f t="shared" si="20"/>
        <v>267.85483870967744</v>
      </c>
      <c r="K372" s="24">
        <f t="shared" si="21"/>
        <v>-0.33172758475341724</v>
      </c>
      <c r="L372" t="str">
        <f>VLOOKUP(B372,товар!$A$1:$C$433,3,FALSE)</f>
        <v>Бабаевский</v>
      </c>
      <c r="M372" s="24">
        <f t="shared" si="22"/>
        <v>-0.28474174929702534</v>
      </c>
      <c r="N372" s="29">
        <f t="shared" si="23"/>
        <v>250.25925925925927</v>
      </c>
      <c r="O372" s="32">
        <f>VLOOKUP(H372,клиенты!$A$2:$G$435,5,FALSE)</f>
        <v>44819</v>
      </c>
      <c r="P372">
        <f>Продажи[[#This Row],[дата создания чека]]-Продажи[[#This Row],[Дата регистрации клиента]]</f>
        <v>439</v>
      </c>
      <c r="Q372" t="str">
        <f>VLOOKUP(H372,Таблица3[],7,FALSE)</f>
        <v>Таджикистан</v>
      </c>
    </row>
    <row r="373" spans="1:17" x14ac:dyDescent="0.3">
      <c r="A373">
        <v>372</v>
      </c>
      <c r="B373">
        <v>286</v>
      </c>
      <c r="C373">
        <v>122</v>
      </c>
      <c r="D373">
        <v>5</v>
      </c>
      <c r="E373">
        <v>610</v>
      </c>
      <c r="F373" s="32">
        <v>45147</v>
      </c>
      <c r="G373" t="s">
        <v>13</v>
      </c>
      <c r="H373">
        <v>356</v>
      </c>
      <c r="I373" t="str">
        <f>VLOOKUP(B373,товар!$A$1:$C$433,2,FALSE)</f>
        <v>Йогурт</v>
      </c>
      <c r="J373" s="22">
        <f t="shared" si="20"/>
        <v>263.25423728813558</v>
      </c>
      <c r="K373" s="24">
        <f t="shared" si="21"/>
        <v>-0.53656966263198558</v>
      </c>
      <c r="L373" t="str">
        <f>VLOOKUP(B373,товар!$A$1:$C$433,3,FALSE)</f>
        <v>Ростагроэкспорт</v>
      </c>
      <c r="M373" s="24">
        <f t="shared" si="22"/>
        <v>-0.52673300725248784</v>
      </c>
      <c r="N373" s="29">
        <f t="shared" si="23"/>
        <v>257.78260869565219</v>
      </c>
      <c r="O373" s="32">
        <f>VLOOKUP(H373,клиенты!$A$2:$G$435,5,FALSE)</f>
        <v>44570</v>
      </c>
      <c r="P373">
        <f>Продажи[[#This Row],[дата создания чека]]-Продажи[[#This Row],[Дата регистрации клиента]]</f>
        <v>577</v>
      </c>
      <c r="Q373" t="str">
        <f>VLOOKUP(H373,Таблица3[],7,FALSE)</f>
        <v>Таджикистан</v>
      </c>
    </row>
    <row r="374" spans="1:17" x14ac:dyDescent="0.3">
      <c r="A374">
        <v>373</v>
      </c>
      <c r="B374">
        <v>11</v>
      </c>
      <c r="C374">
        <v>199</v>
      </c>
      <c r="D374">
        <v>4</v>
      </c>
      <c r="E374">
        <v>796</v>
      </c>
      <c r="F374" s="32">
        <v>45374</v>
      </c>
      <c r="G374" t="s">
        <v>17</v>
      </c>
      <c r="H374">
        <v>296</v>
      </c>
      <c r="I374" t="str">
        <f>VLOOKUP(B374,товар!$A$1:$C$433,2,FALSE)</f>
        <v>Хлеб</v>
      </c>
      <c r="J374" s="22">
        <f t="shared" si="20"/>
        <v>300.31818181818181</v>
      </c>
      <c r="K374" s="24">
        <f t="shared" si="21"/>
        <v>-0.33736945663690021</v>
      </c>
      <c r="L374" t="str">
        <f>VLOOKUP(B374,товар!$A$1:$C$433,3,FALSE)</f>
        <v>Русский Хлеб</v>
      </c>
      <c r="M374" s="24">
        <f t="shared" si="22"/>
        <v>-0.37144662034112452</v>
      </c>
      <c r="N374" s="29">
        <f t="shared" si="23"/>
        <v>316.60000000000002</v>
      </c>
      <c r="O374" s="32">
        <f>VLOOKUP(H374,клиенты!$A$2:$G$435,5,FALSE)</f>
        <v>44758</v>
      </c>
      <c r="P374">
        <f>Продажи[[#This Row],[дата создания чека]]-Продажи[[#This Row],[Дата регистрации клиента]]</f>
        <v>616</v>
      </c>
      <c r="Q374" t="str">
        <f>VLOOKUP(H374,Таблица3[],7,FALSE)</f>
        <v>Узбекистан</v>
      </c>
    </row>
    <row r="375" spans="1:17" x14ac:dyDescent="0.3">
      <c r="A375">
        <v>374</v>
      </c>
      <c r="B375">
        <v>441</v>
      </c>
      <c r="C375">
        <v>173</v>
      </c>
      <c r="D375">
        <v>3</v>
      </c>
      <c r="E375">
        <v>519</v>
      </c>
      <c r="F375" s="32">
        <v>45349</v>
      </c>
      <c r="G375" t="s">
        <v>14</v>
      </c>
      <c r="H375">
        <v>62</v>
      </c>
      <c r="I375" t="str">
        <f>VLOOKUP(B375,товар!$A$1:$C$433,2,FALSE)</f>
        <v>Чай</v>
      </c>
      <c r="J375" s="22">
        <f t="shared" si="20"/>
        <v>271.18181818181819</v>
      </c>
      <c r="K375" s="24">
        <f t="shared" si="21"/>
        <v>-0.36205162587998663</v>
      </c>
      <c r="L375" t="str">
        <f>VLOOKUP(B375,товар!$A$1:$C$433,3,FALSE)</f>
        <v>Lipton</v>
      </c>
      <c r="M375" s="24">
        <f t="shared" si="22"/>
        <v>-0.33501921909771393</v>
      </c>
      <c r="N375" s="29">
        <f t="shared" si="23"/>
        <v>260.15789473684208</v>
      </c>
      <c r="O375" s="32">
        <f>VLOOKUP(H375,клиенты!$A$2:$G$435,5,FALSE)</f>
        <v>44671</v>
      </c>
      <c r="P375">
        <f>Продажи[[#This Row],[дата создания чека]]-Продажи[[#This Row],[Дата регистрации клиента]]</f>
        <v>678</v>
      </c>
      <c r="Q375" t="str">
        <f>VLOOKUP(H375,Таблица3[],7,FALSE)</f>
        <v>Россия</v>
      </c>
    </row>
    <row r="376" spans="1:17" x14ac:dyDescent="0.3">
      <c r="A376">
        <v>375</v>
      </c>
      <c r="B376">
        <v>19</v>
      </c>
      <c r="C376">
        <v>142</v>
      </c>
      <c r="D376">
        <v>3</v>
      </c>
      <c r="E376">
        <v>426</v>
      </c>
      <c r="F376" s="32">
        <v>45157</v>
      </c>
      <c r="G376" t="s">
        <v>10</v>
      </c>
      <c r="H376">
        <v>18</v>
      </c>
      <c r="I376" t="str">
        <f>VLOOKUP(B376,товар!$A$1:$C$433,2,FALSE)</f>
        <v>Мясо</v>
      </c>
      <c r="J376" s="22">
        <f t="shared" si="20"/>
        <v>271.74545454545455</v>
      </c>
      <c r="K376" s="24">
        <f t="shared" si="21"/>
        <v>-0.47745216111334132</v>
      </c>
      <c r="L376" t="str">
        <f>VLOOKUP(B376,товар!$A$1:$C$433,3,FALSE)</f>
        <v>Снежана</v>
      </c>
      <c r="M376" s="24">
        <f t="shared" si="22"/>
        <v>-0.47861771058315339</v>
      </c>
      <c r="N376" s="29">
        <f t="shared" si="23"/>
        <v>272.35294117647061</v>
      </c>
      <c r="O376" s="32">
        <f>VLOOKUP(H376,клиенты!$A$2:$G$435,5,FALSE)</f>
        <v>44578</v>
      </c>
      <c r="P376">
        <f>Продажи[[#This Row],[дата создания чека]]-Продажи[[#This Row],[Дата регистрации клиента]]</f>
        <v>579</v>
      </c>
      <c r="Q376" t="str">
        <f>VLOOKUP(H376,Таблица3[],7,FALSE)</f>
        <v>Украина</v>
      </c>
    </row>
    <row r="377" spans="1:17" x14ac:dyDescent="0.3">
      <c r="A377">
        <v>376</v>
      </c>
      <c r="B377">
        <v>340</v>
      </c>
      <c r="C377">
        <v>157</v>
      </c>
      <c r="D377">
        <v>2</v>
      </c>
      <c r="E377">
        <v>314</v>
      </c>
      <c r="F377" s="32">
        <v>45075</v>
      </c>
      <c r="G377" t="s">
        <v>18</v>
      </c>
      <c r="H377">
        <v>376</v>
      </c>
      <c r="I377" t="str">
        <f>VLOOKUP(B377,товар!$A$1:$C$433,2,FALSE)</f>
        <v>Сыр</v>
      </c>
      <c r="J377" s="22">
        <f t="shared" si="20"/>
        <v>262.63492063492066</v>
      </c>
      <c r="K377" s="24">
        <f t="shared" si="21"/>
        <v>-0.40221201498851689</v>
      </c>
      <c r="L377" t="str">
        <f>VLOOKUP(B377,товар!$A$1:$C$433,3,FALSE)</f>
        <v>Карат</v>
      </c>
      <c r="M377" s="24">
        <f t="shared" si="22"/>
        <v>-0.49571734475374729</v>
      </c>
      <c r="N377" s="29">
        <f t="shared" si="23"/>
        <v>311.33333333333331</v>
      </c>
      <c r="O377" s="32">
        <f>VLOOKUP(H377,клиенты!$A$2:$G$435,5,FALSE)</f>
        <v>44730</v>
      </c>
      <c r="P377">
        <f>Продажи[[#This Row],[дата создания чека]]-Продажи[[#This Row],[Дата регистрации клиента]]</f>
        <v>345</v>
      </c>
      <c r="Q377" t="str">
        <f>VLOOKUP(H377,Таблица3[],7,FALSE)</f>
        <v>Беларусь</v>
      </c>
    </row>
    <row r="378" spans="1:17" x14ac:dyDescent="0.3">
      <c r="A378">
        <v>377</v>
      </c>
      <c r="B378">
        <v>142</v>
      </c>
      <c r="C378">
        <v>160</v>
      </c>
      <c r="D378">
        <v>4</v>
      </c>
      <c r="E378">
        <v>640</v>
      </c>
      <c r="F378" s="32">
        <v>45414</v>
      </c>
      <c r="G378" t="s">
        <v>10</v>
      </c>
      <c r="H378">
        <v>459</v>
      </c>
      <c r="I378" t="str">
        <f>VLOOKUP(B378,товар!$A$1:$C$433,2,FALSE)</f>
        <v>Фрукты</v>
      </c>
      <c r="J378" s="22">
        <f t="shared" si="20"/>
        <v>274.16279069767444</v>
      </c>
      <c r="K378" s="24">
        <f t="shared" si="21"/>
        <v>-0.41640512342013747</v>
      </c>
      <c r="L378" t="str">
        <f>VLOOKUP(B378,товар!$A$1:$C$433,3,FALSE)</f>
        <v>Фруктовый Рай</v>
      </c>
      <c r="M378" s="24">
        <f t="shared" si="22"/>
        <v>-0.3805836807623586</v>
      </c>
      <c r="N378" s="29">
        <f t="shared" si="23"/>
        <v>258.30769230769232</v>
      </c>
      <c r="O378" s="32">
        <f>VLOOKUP(H378,клиенты!$A$2:$G$435,5,FALSE)</f>
        <v>44743</v>
      </c>
      <c r="P378">
        <f>Продажи[[#This Row],[дата создания чека]]-Продажи[[#This Row],[Дата регистрации клиента]]</f>
        <v>671</v>
      </c>
      <c r="Q378" t="str">
        <f>VLOOKUP(H378,Таблица3[],7,FALSE)</f>
        <v>Россия</v>
      </c>
    </row>
    <row r="379" spans="1:17" x14ac:dyDescent="0.3">
      <c r="A379">
        <v>378</v>
      </c>
      <c r="B379">
        <v>452</v>
      </c>
      <c r="C379">
        <v>325</v>
      </c>
      <c r="D379">
        <v>2</v>
      </c>
      <c r="E379">
        <v>650</v>
      </c>
      <c r="F379" s="32">
        <v>45160</v>
      </c>
      <c r="G379" t="s">
        <v>15</v>
      </c>
      <c r="H379">
        <v>88</v>
      </c>
      <c r="I379" t="str">
        <f>VLOOKUP(B379,товар!$A$1:$C$433,2,FALSE)</f>
        <v>Фрукты</v>
      </c>
      <c r="J379" s="22">
        <f t="shared" si="20"/>
        <v>274.16279069767444</v>
      </c>
      <c r="K379" s="24">
        <f t="shared" si="21"/>
        <v>0.18542709305284588</v>
      </c>
      <c r="L379" t="str">
        <f>VLOOKUP(B379,товар!$A$1:$C$433,3,FALSE)</f>
        <v>Экзотик</v>
      </c>
      <c r="M379" s="24">
        <f t="shared" si="22"/>
        <v>0.28110372012811036</v>
      </c>
      <c r="N379" s="29">
        <f t="shared" si="23"/>
        <v>253.6875</v>
      </c>
      <c r="O379" s="32">
        <f>VLOOKUP(H379,клиенты!$A$2:$G$435,5,FALSE)</f>
        <v>44630</v>
      </c>
      <c r="P379">
        <f>Продажи[[#This Row],[дата создания чека]]-Продажи[[#This Row],[Дата регистрации клиента]]</f>
        <v>530</v>
      </c>
      <c r="Q379" t="str">
        <f>VLOOKUP(H379,Таблица3[],7,FALSE)</f>
        <v>Украина</v>
      </c>
    </row>
    <row r="380" spans="1:17" x14ac:dyDescent="0.3">
      <c r="A380">
        <v>379</v>
      </c>
      <c r="B380">
        <v>340</v>
      </c>
      <c r="C380">
        <v>457</v>
      </c>
      <c r="D380">
        <v>1</v>
      </c>
      <c r="E380">
        <v>457</v>
      </c>
      <c r="F380" s="32">
        <v>44945</v>
      </c>
      <c r="G380" t="s">
        <v>13</v>
      </c>
      <c r="H380">
        <v>325</v>
      </c>
      <c r="I380" t="str">
        <f>VLOOKUP(B380,товар!$A$1:$C$433,2,FALSE)</f>
        <v>Сыр</v>
      </c>
      <c r="J380" s="22">
        <f t="shared" si="20"/>
        <v>262.63492063492066</v>
      </c>
      <c r="K380" s="24">
        <f t="shared" si="21"/>
        <v>0.74005802006527244</v>
      </c>
      <c r="L380" t="str">
        <f>VLOOKUP(B380,товар!$A$1:$C$433,3,FALSE)</f>
        <v>Карат</v>
      </c>
      <c r="M380" s="24">
        <f t="shared" si="22"/>
        <v>0.4678800856531049</v>
      </c>
      <c r="N380" s="29">
        <f t="shared" si="23"/>
        <v>311.33333333333331</v>
      </c>
      <c r="O380" s="32">
        <f>VLOOKUP(H380,клиенты!$A$2:$G$435,5,FALSE)</f>
        <v>44875</v>
      </c>
      <c r="P380">
        <f>Продажи[[#This Row],[дата создания чека]]-Продажи[[#This Row],[Дата регистрации клиента]]</f>
        <v>70</v>
      </c>
      <c r="Q380" t="str">
        <f>VLOOKUP(H380,Таблица3[],7,FALSE)</f>
        <v>Таджикистан</v>
      </c>
    </row>
    <row r="381" spans="1:17" x14ac:dyDescent="0.3">
      <c r="A381">
        <v>380</v>
      </c>
      <c r="B381">
        <v>466</v>
      </c>
      <c r="C381">
        <v>425</v>
      </c>
      <c r="D381">
        <v>5</v>
      </c>
      <c r="E381">
        <v>2125</v>
      </c>
      <c r="F381" s="32">
        <v>45132</v>
      </c>
      <c r="G381" t="s">
        <v>21</v>
      </c>
      <c r="H381">
        <v>129</v>
      </c>
      <c r="I381" t="str">
        <f>VLOOKUP(B381,товар!$A$1:$C$433,2,FALSE)</f>
        <v>Фрукты</v>
      </c>
      <c r="J381" s="22">
        <f t="shared" si="20"/>
        <v>274.16279069767444</v>
      </c>
      <c r="K381" s="24">
        <f t="shared" si="21"/>
        <v>0.55017389091525981</v>
      </c>
      <c r="L381" t="str">
        <f>VLOOKUP(B381,товар!$A$1:$C$433,3,FALSE)</f>
        <v>Green Garden</v>
      </c>
      <c r="M381" s="24">
        <f t="shared" si="22"/>
        <v>0.15113759479956657</v>
      </c>
      <c r="N381" s="29">
        <f t="shared" si="23"/>
        <v>369.2</v>
      </c>
      <c r="O381" s="32">
        <f>VLOOKUP(H381,клиенты!$A$2:$G$435,5,FALSE)</f>
        <v>44868</v>
      </c>
      <c r="P381">
        <f>Продажи[[#This Row],[дата создания чека]]-Продажи[[#This Row],[Дата регистрации клиента]]</f>
        <v>264</v>
      </c>
      <c r="Q381" t="str">
        <f>VLOOKUP(H381,Таблица3[],7,FALSE)</f>
        <v>Беларусь</v>
      </c>
    </row>
    <row r="382" spans="1:17" x14ac:dyDescent="0.3">
      <c r="A382">
        <v>381</v>
      </c>
      <c r="B382">
        <v>71</v>
      </c>
      <c r="C382">
        <v>125</v>
      </c>
      <c r="D382">
        <v>4</v>
      </c>
      <c r="E382">
        <v>500</v>
      </c>
      <c r="F382" s="32">
        <v>45182</v>
      </c>
      <c r="G382" t="s">
        <v>17</v>
      </c>
      <c r="H382">
        <v>19</v>
      </c>
      <c r="I382" t="str">
        <f>VLOOKUP(B382,товар!$A$1:$C$433,2,FALSE)</f>
        <v>Печенье</v>
      </c>
      <c r="J382" s="22">
        <f t="shared" si="20"/>
        <v>283.468085106383</v>
      </c>
      <c r="K382" s="24">
        <f t="shared" si="21"/>
        <v>-0.55903325076934629</v>
      </c>
      <c r="L382" t="str">
        <f>VLOOKUP(B382,товар!$A$1:$C$433,3,FALSE)</f>
        <v>Белогорье</v>
      </c>
      <c r="M382" s="24">
        <f t="shared" si="22"/>
        <v>-0.49899799599198402</v>
      </c>
      <c r="N382" s="29">
        <f t="shared" si="23"/>
        <v>249.5</v>
      </c>
      <c r="O382" s="32">
        <f>VLOOKUP(H382,клиенты!$A$2:$G$435,5,FALSE)</f>
        <v>44902</v>
      </c>
      <c r="P382">
        <f>Продажи[[#This Row],[дата создания чека]]-Продажи[[#This Row],[Дата регистрации клиента]]</f>
        <v>280</v>
      </c>
      <c r="Q382" t="str">
        <f>VLOOKUP(H382,Таблица3[],7,FALSE)</f>
        <v>Россия</v>
      </c>
    </row>
    <row r="383" spans="1:17" x14ac:dyDescent="0.3">
      <c r="A383">
        <v>382</v>
      </c>
      <c r="B383">
        <v>451</v>
      </c>
      <c r="C383">
        <v>227</v>
      </c>
      <c r="D383">
        <v>3</v>
      </c>
      <c r="E383">
        <v>681</v>
      </c>
      <c r="F383" s="32">
        <v>45098</v>
      </c>
      <c r="G383" t="s">
        <v>18</v>
      </c>
      <c r="H383">
        <v>304</v>
      </c>
      <c r="I383" t="str">
        <f>VLOOKUP(B383,товар!$A$1:$C$433,2,FALSE)</f>
        <v>Рис</v>
      </c>
      <c r="J383" s="22">
        <f t="shared" si="20"/>
        <v>258.375</v>
      </c>
      <c r="K383" s="24">
        <f t="shared" si="21"/>
        <v>-0.12143202709240442</v>
      </c>
      <c r="L383" t="str">
        <f>VLOOKUP(B383,товар!$A$1:$C$433,3,FALSE)</f>
        <v>Белый Злат</v>
      </c>
      <c r="M383" s="24">
        <f t="shared" si="22"/>
        <v>-0.15834242093784068</v>
      </c>
      <c r="N383" s="29">
        <f t="shared" si="23"/>
        <v>269.70588235294116</v>
      </c>
      <c r="O383" s="32">
        <f>VLOOKUP(H383,клиенты!$A$2:$G$435,5,FALSE)</f>
        <v>44886</v>
      </c>
      <c r="P383">
        <f>Продажи[[#This Row],[дата создания чека]]-Продажи[[#This Row],[Дата регистрации клиента]]</f>
        <v>212</v>
      </c>
      <c r="Q383" t="str">
        <f>VLOOKUP(H383,Таблица3[],7,FALSE)</f>
        <v>Россия</v>
      </c>
    </row>
    <row r="384" spans="1:17" x14ac:dyDescent="0.3">
      <c r="A384">
        <v>383</v>
      </c>
      <c r="B384">
        <v>116</v>
      </c>
      <c r="C384">
        <v>426</v>
      </c>
      <c r="D384">
        <v>5</v>
      </c>
      <c r="E384">
        <v>2130</v>
      </c>
      <c r="F384" s="32">
        <v>44993</v>
      </c>
      <c r="G384" t="s">
        <v>25</v>
      </c>
      <c r="H384">
        <v>285</v>
      </c>
      <c r="I384" t="str">
        <f>VLOOKUP(B384,товар!$A$1:$C$433,2,FALSE)</f>
        <v>Соль</v>
      </c>
      <c r="J384" s="22">
        <f t="shared" si="20"/>
        <v>264.8679245283019</v>
      </c>
      <c r="K384" s="24">
        <f t="shared" si="21"/>
        <v>0.60834876763071666</v>
      </c>
      <c r="L384" t="str">
        <f>VLOOKUP(B384,товар!$A$1:$C$433,3,FALSE)</f>
        <v>Экстра</v>
      </c>
      <c r="M384" s="24">
        <f t="shared" si="22"/>
        <v>0.32773915128266595</v>
      </c>
      <c r="N384" s="29">
        <f t="shared" si="23"/>
        <v>320.84615384615387</v>
      </c>
      <c r="O384" s="32">
        <f>VLOOKUP(H384,клиенты!$A$2:$G$435,5,FALSE)</f>
        <v>44922</v>
      </c>
      <c r="P384">
        <f>Продажи[[#This Row],[дата создания чека]]-Продажи[[#This Row],[Дата регистрации клиента]]</f>
        <v>71</v>
      </c>
      <c r="Q384" t="str">
        <f>VLOOKUP(H384,Таблица3[],7,FALSE)</f>
        <v>Таджикистан</v>
      </c>
    </row>
    <row r="385" spans="1:17" x14ac:dyDescent="0.3">
      <c r="A385">
        <v>384</v>
      </c>
      <c r="B385">
        <v>480</v>
      </c>
      <c r="C385">
        <v>70</v>
      </c>
      <c r="D385">
        <v>1</v>
      </c>
      <c r="E385">
        <v>70</v>
      </c>
      <c r="F385" s="32">
        <v>44945</v>
      </c>
      <c r="G385" t="s">
        <v>10</v>
      </c>
      <c r="H385">
        <v>464</v>
      </c>
      <c r="I385" t="str">
        <f>VLOOKUP(B385,товар!$A$1:$C$433,2,FALSE)</f>
        <v>Молоко</v>
      </c>
      <c r="J385" s="22">
        <f t="shared" si="20"/>
        <v>294.95238095238096</v>
      </c>
      <c r="K385" s="24">
        <f t="shared" si="21"/>
        <v>-0.76267355505327739</v>
      </c>
      <c r="L385" t="str">
        <f>VLOOKUP(B385,товар!$A$1:$C$433,3,FALSE)</f>
        <v>Беллакт</v>
      </c>
      <c r="M385" s="24">
        <f t="shared" si="22"/>
        <v>-0.78297632468996614</v>
      </c>
      <c r="N385" s="29">
        <f t="shared" si="23"/>
        <v>322.54545454545456</v>
      </c>
      <c r="O385" s="32">
        <f>VLOOKUP(H385,клиенты!$A$2:$G$435,5,FALSE)</f>
        <v>44827</v>
      </c>
      <c r="P385">
        <f>Продажи[[#This Row],[дата создания чека]]-Продажи[[#This Row],[Дата регистрации клиента]]</f>
        <v>118</v>
      </c>
      <c r="Q385" t="str">
        <f>VLOOKUP(H385,Таблица3[],7,FALSE)</f>
        <v>Россия</v>
      </c>
    </row>
    <row r="386" spans="1:17" x14ac:dyDescent="0.3">
      <c r="A386">
        <v>385</v>
      </c>
      <c r="B386">
        <v>409</v>
      </c>
      <c r="C386">
        <v>386</v>
      </c>
      <c r="D386">
        <v>1</v>
      </c>
      <c r="E386">
        <v>386</v>
      </c>
      <c r="F386" s="32">
        <v>45192</v>
      </c>
      <c r="G386" t="s">
        <v>13</v>
      </c>
      <c r="H386">
        <v>461</v>
      </c>
      <c r="I386" t="str">
        <f>VLOOKUP(B386,товар!$A$1:$C$433,2,FALSE)</f>
        <v>Фрукты</v>
      </c>
      <c r="J386" s="22">
        <f t="shared" ref="J386:J449" si="24">AVERAGEIF($I$2:$I$1001,I386,$C$2:$C$1001)</f>
        <v>274.16279069767444</v>
      </c>
      <c r="K386" s="24">
        <f t="shared" ref="K386:K449" si="25">C386/J386-1</f>
        <v>0.4079226397489184</v>
      </c>
      <c r="L386" t="str">
        <f>VLOOKUP(B386,товар!$A$1:$C$433,3,FALSE)</f>
        <v>Фруктовый Рай</v>
      </c>
      <c r="M386" s="24">
        <f t="shared" ref="M386:M449" si="26">C386/N386-1</f>
        <v>0.49434187016080999</v>
      </c>
      <c r="N386" s="29">
        <f t="shared" ref="N386:N449" si="27">AVERAGEIFS($C$2:$C$1001,$I$2:$I$1001,I386,$L$2:$L$1001,L386)</f>
        <v>258.30769230769232</v>
      </c>
      <c r="O386" s="32">
        <f>VLOOKUP(H386,клиенты!$A$2:$G$435,5,FALSE)</f>
        <v>44667</v>
      </c>
      <c r="P386">
        <f>Продажи[[#This Row],[дата создания чека]]-Продажи[[#This Row],[Дата регистрации клиента]]</f>
        <v>525</v>
      </c>
      <c r="Q386" t="str">
        <f>VLOOKUP(H386,Таблица3[],7,FALSE)</f>
        <v>Узбекистан</v>
      </c>
    </row>
    <row r="387" spans="1:17" x14ac:dyDescent="0.3">
      <c r="A387">
        <v>386</v>
      </c>
      <c r="B387">
        <v>129</v>
      </c>
      <c r="C387">
        <v>235</v>
      </c>
      <c r="D387">
        <v>2</v>
      </c>
      <c r="E387">
        <v>470</v>
      </c>
      <c r="F387" s="32">
        <v>45207</v>
      </c>
      <c r="G387" t="s">
        <v>10</v>
      </c>
      <c r="H387">
        <v>149</v>
      </c>
      <c r="I387" t="str">
        <f>VLOOKUP(B387,товар!$A$1:$C$433,2,FALSE)</f>
        <v>Мясо</v>
      </c>
      <c r="J387" s="22">
        <f t="shared" si="24"/>
        <v>271.74545454545455</v>
      </c>
      <c r="K387" s="24">
        <f t="shared" si="25"/>
        <v>-0.13522012578616349</v>
      </c>
      <c r="L387" t="str">
        <f>VLOOKUP(B387,товар!$A$1:$C$433,3,FALSE)</f>
        <v>Агрокомплекс</v>
      </c>
      <c r="M387" s="24">
        <f t="shared" si="26"/>
        <v>-0.24485861182519275</v>
      </c>
      <c r="N387" s="29">
        <f t="shared" si="27"/>
        <v>311.2</v>
      </c>
      <c r="O387" s="32">
        <f>VLOOKUP(H387,клиенты!$A$2:$G$435,5,FALSE)</f>
        <v>44882</v>
      </c>
      <c r="P387">
        <f>Продажи[[#This Row],[дата создания чека]]-Продажи[[#This Row],[Дата регистрации клиента]]</f>
        <v>325</v>
      </c>
      <c r="Q387" t="str">
        <f>VLOOKUP(H387,Таблица3[],7,FALSE)</f>
        <v>Таджикистан</v>
      </c>
    </row>
    <row r="388" spans="1:17" x14ac:dyDescent="0.3">
      <c r="A388">
        <v>387</v>
      </c>
      <c r="B388">
        <v>283</v>
      </c>
      <c r="C388">
        <v>107</v>
      </c>
      <c r="D388">
        <v>3</v>
      </c>
      <c r="E388">
        <v>321</v>
      </c>
      <c r="F388" s="32">
        <v>45413</v>
      </c>
      <c r="G388" t="s">
        <v>18</v>
      </c>
      <c r="H388">
        <v>222</v>
      </c>
      <c r="I388" t="str">
        <f>VLOOKUP(B388,товар!$A$1:$C$433,2,FALSE)</f>
        <v>Конфеты</v>
      </c>
      <c r="J388" s="22">
        <f t="shared" si="24"/>
        <v>267.85483870967744</v>
      </c>
      <c r="K388" s="24">
        <f t="shared" si="25"/>
        <v>-0.60052989703137238</v>
      </c>
      <c r="L388" t="str">
        <f>VLOOKUP(B388,товар!$A$1:$C$433,3,FALSE)</f>
        <v>Рот Фронт</v>
      </c>
      <c r="M388" s="24">
        <f t="shared" si="26"/>
        <v>-0.62877911779283002</v>
      </c>
      <c r="N388" s="29">
        <f t="shared" si="27"/>
        <v>288.23809523809524</v>
      </c>
      <c r="O388" s="32">
        <f>VLOOKUP(H388,клиенты!$A$2:$G$435,5,FALSE)</f>
        <v>44694</v>
      </c>
      <c r="P388">
        <f>Продажи[[#This Row],[дата создания чека]]-Продажи[[#This Row],[Дата регистрации клиента]]</f>
        <v>719</v>
      </c>
      <c r="Q388" t="str">
        <f>VLOOKUP(H388,Таблица3[],7,FALSE)</f>
        <v>Украина</v>
      </c>
    </row>
    <row r="389" spans="1:17" x14ac:dyDescent="0.3">
      <c r="A389">
        <v>388</v>
      </c>
      <c r="B389">
        <v>36</v>
      </c>
      <c r="C389">
        <v>83</v>
      </c>
      <c r="D389">
        <v>4</v>
      </c>
      <c r="E389">
        <v>332</v>
      </c>
      <c r="F389" s="32">
        <v>45265</v>
      </c>
      <c r="G389" t="s">
        <v>13</v>
      </c>
      <c r="H389">
        <v>333</v>
      </c>
      <c r="I389" t="str">
        <f>VLOOKUP(B389,товар!$A$1:$C$433,2,FALSE)</f>
        <v>Макароны</v>
      </c>
      <c r="J389" s="22">
        <f t="shared" si="24"/>
        <v>265.47674418604652</v>
      </c>
      <c r="K389" s="24">
        <f t="shared" si="25"/>
        <v>-0.6873549121808068</v>
      </c>
      <c r="L389" t="str">
        <f>VLOOKUP(B389,товар!$A$1:$C$433,3,FALSE)</f>
        <v>Роллтон</v>
      </c>
      <c r="M389" s="24">
        <f t="shared" si="26"/>
        <v>-0.64764150943396226</v>
      </c>
      <c r="N389" s="29">
        <f t="shared" si="27"/>
        <v>235.55555555555554</v>
      </c>
      <c r="O389" s="32">
        <f>VLOOKUP(H389,клиенты!$A$2:$G$435,5,FALSE)</f>
        <v>44857</v>
      </c>
      <c r="P389">
        <f>Продажи[[#This Row],[дата создания чека]]-Продажи[[#This Row],[Дата регистрации клиента]]</f>
        <v>408</v>
      </c>
      <c r="Q389" t="str">
        <f>VLOOKUP(H389,Таблица3[],7,FALSE)</f>
        <v>Россия</v>
      </c>
    </row>
    <row r="390" spans="1:17" x14ac:dyDescent="0.3">
      <c r="A390">
        <v>389</v>
      </c>
      <c r="B390">
        <v>290</v>
      </c>
      <c r="C390">
        <v>50</v>
      </c>
      <c r="D390">
        <v>5</v>
      </c>
      <c r="E390">
        <v>250</v>
      </c>
      <c r="F390" s="32">
        <v>45052</v>
      </c>
      <c r="G390" t="s">
        <v>17</v>
      </c>
      <c r="H390">
        <v>495</v>
      </c>
      <c r="I390" t="str">
        <f>VLOOKUP(B390,товар!$A$1:$C$433,2,FALSE)</f>
        <v>Сахар</v>
      </c>
      <c r="J390" s="22">
        <f t="shared" si="24"/>
        <v>252.76271186440678</v>
      </c>
      <c r="K390" s="24">
        <f t="shared" si="25"/>
        <v>-0.80218601220411723</v>
      </c>
      <c r="L390" t="str">
        <f>VLOOKUP(B390,товар!$A$1:$C$433,3,FALSE)</f>
        <v>Продимекс</v>
      </c>
      <c r="M390" s="24">
        <f t="shared" si="26"/>
        <v>-0.79209979209979209</v>
      </c>
      <c r="N390" s="29">
        <f t="shared" si="27"/>
        <v>240.5</v>
      </c>
      <c r="O390" s="32">
        <f>VLOOKUP(H390,клиенты!$A$2:$G$435,5,FALSE)</f>
        <v>44654</v>
      </c>
      <c r="P390">
        <f>Продажи[[#This Row],[дата создания чека]]-Продажи[[#This Row],[Дата регистрации клиента]]</f>
        <v>398</v>
      </c>
      <c r="Q390" t="str">
        <f>VLOOKUP(H390,Таблица3[],7,FALSE)</f>
        <v>Узбекистан</v>
      </c>
    </row>
    <row r="391" spans="1:17" x14ac:dyDescent="0.3">
      <c r="A391">
        <v>390</v>
      </c>
      <c r="B391">
        <v>229</v>
      </c>
      <c r="C391">
        <v>269</v>
      </c>
      <c r="D391">
        <v>5</v>
      </c>
      <c r="E391">
        <v>1345</v>
      </c>
      <c r="F391" s="32">
        <v>45011</v>
      </c>
      <c r="G391" t="s">
        <v>14</v>
      </c>
      <c r="H391">
        <v>278</v>
      </c>
      <c r="I391" t="str">
        <f>VLOOKUP(B391,товар!$A$1:$C$433,2,FALSE)</f>
        <v>Мясо</v>
      </c>
      <c r="J391" s="22">
        <f t="shared" si="24"/>
        <v>271.74545454545455</v>
      </c>
      <c r="K391" s="24">
        <f t="shared" si="25"/>
        <v>-1.0103037602034015E-2</v>
      </c>
      <c r="L391" t="str">
        <f>VLOOKUP(B391,товар!$A$1:$C$433,3,FALSE)</f>
        <v>Сава</v>
      </c>
      <c r="M391" s="24">
        <f t="shared" si="26"/>
        <v>0.26402349486049936</v>
      </c>
      <c r="N391" s="29">
        <f t="shared" si="27"/>
        <v>212.8125</v>
      </c>
      <c r="O391" s="32">
        <f>VLOOKUP(H391,клиенты!$A$2:$G$435,5,FALSE)</f>
        <v>44920</v>
      </c>
      <c r="P391">
        <f>Продажи[[#This Row],[дата создания чека]]-Продажи[[#This Row],[Дата регистрации клиента]]</f>
        <v>91</v>
      </c>
      <c r="Q391" t="str">
        <f>VLOOKUP(H391,Таблица3[],7,FALSE)</f>
        <v>Узбекистан</v>
      </c>
    </row>
    <row r="392" spans="1:17" x14ac:dyDescent="0.3">
      <c r="A392">
        <v>391</v>
      </c>
      <c r="B392">
        <v>313</v>
      </c>
      <c r="C392">
        <v>385</v>
      </c>
      <c r="D392">
        <v>4</v>
      </c>
      <c r="E392">
        <v>1540</v>
      </c>
      <c r="F392" s="32">
        <v>44982</v>
      </c>
      <c r="G392" t="s">
        <v>18</v>
      </c>
      <c r="H392">
        <v>246</v>
      </c>
      <c r="I392" t="str">
        <f>VLOOKUP(B392,товар!$A$1:$C$433,2,FALSE)</f>
        <v>Конфеты</v>
      </c>
      <c r="J392" s="22">
        <f t="shared" si="24"/>
        <v>267.85483870967744</v>
      </c>
      <c r="K392" s="24">
        <f t="shared" si="25"/>
        <v>0.43734569759739861</v>
      </c>
      <c r="L392" t="str">
        <f>VLOOKUP(B392,товар!$A$1:$C$433,3,FALSE)</f>
        <v>Бабаевский</v>
      </c>
      <c r="M392" s="24">
        <f t="shared" si="26"/>
        <v>0.53840461743377244</v>
      </c>
      <c r="N392" s="29">
        <f t="shared" si="27"/>
        <v>250.25925925925927</v>
      </c>
      <c r="O392" s="32">
        <f>VLOOKUP(H392,клиенты!$A$2:$G$435,5,FALSE)</f>
        <v>44805</v>
      </c>
      <c r="P392">
        <f>Продажи[[#This Row],[дата создания чека]]-Продажи[[#This Row],[Дата регистрации клиента]]</f>
        <v>177</v>
      </c>
      <c r="Q392" t="str">
        <f>VLOOKUP(H392,Таблица3[],7,FALSE)</f>
        <v>Узбекистан</v>
      </c>
    </row>
    <row r="393" spans="1:17" x14ac:dyDescent="0.3">
      <c r="A393">
        <v>392</v>
      </c>
      <c r="B393">
        <v>368</v>
      </c>
      <c r="C393">
        <v>64</v>
      </c>
      <c r="D393">
        <v>5</v>
      </c>
      <c r="E393">
        <v>320</v>
      </c>
      <c r="F393" s="32">
        <v>45340</v>
      </c>
      <c r="G393" t="s">
        <v>12</v>
      </c>
      <c r="H393">
        <v>480</v>
      </c>
      <c r="I393" t="str">
        <f>VLOOKUP(B393,товар!$A$1:$C$433,2,FALSE)</f>
        <v>Сыр</v>
      </c>
      <c r="J393" s="22">
        <f t="shared" si="24"/>
        <v>262.63492063492066</v>
      </c>
      <c r="K393" s="24">
        <f t="shared" si="25"/>
        <v>-0.75631572585519158</v>
      </c>
      <c r="L393" t="str">
        <f>VLOOKUP(B393,товар!$A$1:$C$433,3,FALSE)</f>
        <v>Сырная долина</v>
      </c>
      <c r="M393" s="24">
        <f t="shared" si="26"/>
        <v>-0.76383763837638374</v>
      </c>
      <c r="N393" s="29">
        <f t="shared" si="27"/>
        <v>271</v>
      </c>
      <c r="O393" s="32">
        <f>VLOOKUP(H393,клиенты!$A$2:$G$435,5,FALSE)</f>
        <v>44568</v>
      </c>
      <c r="P393">
        <f>Продажи[[#This Row],[дата создания чека]]-Продажи[[#This Row],[Дата регистрации клиента]]</f>
        <v>772</v>
      </c>
      <c r="Q393" t="str">
        <f>VLOOKUP(H393,Таблица3[],7,FALSE)</f>
        <v>Узбекистан</v>
      </c>
    </row>
    <row r="394" spans="1:17" x14ac:dyDescent="0.3">
      <c r="A394">
        <v>393</v>
      </c>
      <c r="B394">
        <v>322</v>
      </c>
      <c r="C394">
        <v>223</v>
      </c>
      <c r="D394">
        <v>2</v>
      </c>
      <c r="E394">
        <v>446</v>
      </c>
      <c r="F394" s="32">
        <v>45254</v>
      </c>
      <c r="G394" t="s">
        <v>15</v>
      </c>
      <c r="H394">
        <v>205</v>
      </c>
      <c r="I394" t="str">
        <f>VLOOKUP(B394,товар!$A$1:$C$433,2,FALSE)</f>
        <v>Крупа</v>
      </c>
      <c r="J394" s="22">
        <f t="shared" si="24"/>
        <v>255.11627906976744</v>
      </c>
      <c r="K394" s="24">
        <f t="shared" si="25"/>
        <v>-0.1258887876025524</v>
      </c>
      <c r="L394" t="str">
        <f>VLOOKUP(B394,товар!$A$1:$C$433,3,FALSE)</f>
        <v>Увелка</v>
      </c>
      <c r="M394" s="24">
        <f t="shared" si="26"/>
        <v>-0.11478663579225934</v>
      </c>
      <c r="N394" s="29">
        <f t="shared" si="27"/>
        <v>251.91666666666666</v>
      </c>
      <c r="O394" s="32">
        <f>VLOOKUP(H394,клиенты!$A$2:$G$435,5,FALSE)</f>
        <v>44918</v>
      </c>
      <c r="P394">
        <f>Продажи[[#This Row],[дата создания чека]]-Продажи[[#This Row],[Дата регистрации клиента]]</f>
        <v>336</v>
      </c>
      <c r="Q394" t="str">
        <f>VLOOKUP(H394,Таблица3[],7,FALSE)</f>
        <v>Россия</v>
      </c>
    </row>
    <row r="395" spans="1:17" x14ac:dyDescent="0.3">
      <c r="A395">
        <v>394</v>
      </c>
      <c r="B395">
        <v>206</v>
      </c>
      <c r="C395">
        <v>226</v>
      </c>
      <c r="D395">
        <v>2</v>
      </c>
      <c r="E395">
        <v>452</v>
      </c>
      <c r="F395" s="32">
        <v>45264</v>
      </c>
      <c r="G395" t="s">
        <v>15</v>
      </c>
      <c r="H395">
        <v>357</v>
      </c>
      <c r="I395" t="str">
        <f>VLOOKUP(B395,товар!$A$1:$C$433,2,FALSE)</f>
        <v>Молоко</v>
      </c>
      <c r="J395" s="22">
        <f t="shared" si="24"/>
        <v>294.95238095238096</v>
      </c>
      <c r="K395" s="24">
        <f t="shared" si="25"/>
        <v>-0.23377462060058118</v>
      </c>
      <c r="L395" t="str">
        <f>VLOOKUP(B395,товар!$A$1:$C$433,3,FALSE)</f>
        <v>Домик в деревне</v>
      </c>
      <c r="M395" s="24">
        <f t="shared" si="26"/>
        <v>-0.17751718560452889</v>
      </c>
      <c r="N395" s="29">
        <f t="shared" si="27"/>
        <v>274.77777777777777</v>
      </c>
      <c r="O395" s="32">
        <f>VLOOKUP(H395,клиенты!$A$2:$G$435,5,FALSE)</f>
        <v>44913</v>
      </c>
      <c r="P395">
        <f>Продажи[[#This Row],[дата создания чека]]-Продажи[[#This Row],[Дата регистрации клиента]]</f>
        <v>351</v>
      </c>
      <c r="Q395" t="str">
        <f>VLOOKUP(H395,Таблица3[],7,FALSE)</f>
        <v>Узбекистан</v>
      </c>
    </row>
    <row r="396" spans="1:17" x14ac:dyDescent="0.3">
      <c r="A396">
        <v>395</v>
      </c>
      <c r="B396">
        <v>18</v>
      </c>
      <c r="C396">
        <v>459</v>
      </c>
      <c r="D396">
        <v>3</v>
      </c>
      <c r="E396">
        <v>1377</v>
      </c>
      <c r="F396" s="32">
        <v>45342</v>
      </c>
      <c r="G396" t="s">
        <v>16</v>
      </c>
      <c r="H396">
        <v>152</v>
      </c>
      <c r="I396" t="str">
        <f>VLOOKUP(B396,товар!$A$1:$C$433,2,FALSE)</f>
        <v>Рыба</v>
      </c>
      <c r="J396" s="22">
        <f t="shared" si="24"/>
        <v>258.5128205128205</v>
      </c>
      <c r="K396" s="24">
        <f t="shared" si="25"/>
        <v>0.77554056734774868</v>
      </c>
      <c r="L396" t="str">
        <f>VLOOKUP(B396,товар!$A$1:$C$433,3,FALSE)</f>
        <v>Меридиан</v>
      </c>
      <c r="M396" s="24">
        <f t="shared" si="26"/>
        <v>0.76100203114421139</v>
      </c>
      <c r="N396" s="29">
        <f t="shared" si="27"/>
        <v>260.64705882352939</v>
      </c>
      <c r="O396" s="32">
        <f>VLOOKUP(H396,клиенты!$A$2:$G$435,5,FALSE)</f>
        <v>44791</v>
      </c>
      <c r="P396">
        <f>Продажи[[#This Row],[дата создания чека]]-Продажи[[#This Row],[Дата регистрации клиента]]</f>
        <v>551</v>
      </c>
      <c r="Q396" t="str">
        <f>VLOOKUP(H396,Таблица3[],7,FALSE)</f>
        <v>Беларусь</v>
      </c>
    </row>
    <row r="397" spans="1:17" x14ac:dyDescent="0.3">
      <c r="A397">
        <v>396</v>
      </c>
      <c r="B397">
        <v>145</v>
      </c>
      <c r="C397">
        <v>455</v>
      </c>
      <c r="D397">
        <v>3</v>
      </c>
      <c r="E397">
        <v>1365</v>
      </c>
      <c r="F397" s="32">
        <v>45373</v>
      </c>
      <c r="G397" t="s">
        <v>22</v>
      </c>
      <c r="H397">
        <v>323</v>
      </c>
      <c r="I397" t="str">
        <f>VLOOKUP(B397,товар!$A$1:$C$433,2,FALSE)</f>
        <v>Овощи</v>
      </c>
      <c r="J397" s="22">
        <f t="shared" si="24"/>
        <v>250.48780487804879</v>
      </c>
      <c r="K397" s="24">
        <f t="shared" si="25"/>
        <v>0.81645569620253156</v>
      </c>
      <c r="L397" t="str">
        <f>VLOOKUP(B397,товар!$A$1:$C$433,3,FALSE)</f>
        <v>Семко</v>
      </c>
      <c r="M397" s="24">
        <f t="shared" si="26"/>
        <v>1.1875</v>
      </c>
      <c r="N397" s="29">
        <f t="shared" si="27"/>
        <v>208</v>
      </c>
      <c r="O397" s="32">
        <f>VLOOKUP(H397,клиенты!$A$2:$G$435,5,FALSE)</f>
        <v>44821</v>
      </c>
      <c r="P397">
        <f>Продажи[[#This Row],[дата создания чека]]-Продажи[[#This Row],[Дата регистрации клиента]]</f>
        <v>552</v>
      </c>
      <c r="Q397" t="str">
        <f>VLOOKUP(H397,Таблица3[],7,FALSE)</f>
        <v>Таджикистан</v>
      </c>
    </row>
    <row r="398" spans="1:17" x14ac:dyDescent="0.3">
      <c r="A398">
        <v>397</v>
      </c>
      <c r="B398">
        <v>491</v>
      </c>
      <c r="C398">
        <v>193</v>
      </c>
      <c r="D398">
        <v>1</v>
      </c>
      <c r="E398">
        <v>193</v>
      </c>
      <c r="F398" s="32">
        <v>45332</v>
      </c>
      <c r="G398" t="s">
        <v>14</v>
      </c>
      <c r="H398">
        <v>185</v>
      </c>
      <c r="I398" t="str">
        <f>VLOOKUP(B398,товар!$A$1:$C$433,2,FALSE)</f>
        <v>Овощи</v>
      </c>
      <c r="J398" s="22">
        <f t="shared" si="24"/>
        <v>250.48780487804879</v>
      </c>
      <c r="K398" s="24">
        <f t="shared" si="25"/>
        <v>-0.2295034079844207</v>
      </c>
      <c r="L398" t="str">
        <f>VLOOKUP(B398,товар!$A$1:$C$433,3,FALSE)</f>
        <v>Зеленая грядка</v>
      </c>
      <c r="M398" s="24">
        <f t="shared" si="26"/>
        <v>0.21231155778894473</v>
      </c>
      <c r="N398" s="29">
        <f t="shared" si="27"/>
        <v>159.19999999999999</v>
      </c>
      <c r="O398" s="32">
        <f>VLOOKUP(H398,клиенты!$A$2:$G$435,5,FALSE)</f>
        <v>44683</v>
      </c>
      <c r="P398">
        <f>Продажи[[#This Row],[дата создания чека]]-Продажи[[#This Row],[Дата регистрации клиента]]</f>
        <v>649</v>
      </c>
      <c r="Q398" t="str">
        <f>VLOOKUP(H398,Таблица3[],7,FALSE)</f>
        <v>Узбекистан</v>
      </c>
    </row>
    <row r="399" spans="1:17" x14ac:dyDescent="0.3">
      <c r="A399">
        <v>398</v>
      </c>
      <c r="B399">
        <v>258</v>
      </c>
      <c r="C399">
        <v>113</v>
      </c>
      <c r="D399">
        <v>1</v>
      </c>
      <c r="E399">
        <v>113</v>
      </c>
      <c r="F399" s="32">
        <v>45289</v>
      </c>
      <c r="G399" t="s">
        <v>24</v>
      </c>
      <c r="H399">
        <v>314</v>
      </c>
      <c r="I399" t="str">
        <f>VLOOKUP(B399,товар!$A$1:$C$433,2,FALSE)</f>
        <v>Рыба</v>
      </c>
      <c r="J399" s="22">
        <f t="shared" si="24"/>
        <v>258.5128205128205</v>
      </c>
      <c r="K399" s="24">
        <f t="shared" si="25"/>
        <v>-0.56288434834358259</v>
      </c>
      <c r="L399" t="str">
        <f>VLOOKUP(B399,товар!$A$1:$C$433,3,FALSE)</f>
        <v>Санта Бремор</v>
      </c>
      <c r="M399" s="24">
        <f t="shared" si="26"/>
        <v>-0.47781885397412205</v>
      </c>
      <c r="N399" s="29">
        <f t="shared" si="27"/>
        <v>216.4</v>
      </c>
      <c r="O399" s="32">
        <f>VLOOKUP(H399,клиенты!$A$2:$G$435,5,FALSE)</f>
        <v>44899</v>
      </c>
      <c r="P399">
        <f>Продажи[[#This Row],[дата создания чека]]-Продажи[[#This Row],[Дата регистрации клиента]]</f>
        <v>390</v>
      </c>
      <c r="Q399" t="str">
        <f>VLOOKUP(H399,Таблица3[],7,FALSE)</f>
        <v>Россия</v>
      </c>
    </row>
    <row r="400" spans="1:17" x14ac:dyDescent="0.3">
      <c r="A400">
        <v>399</v>
      </c>
      <c r="B400">
        <v>29</v>
      </c>
      <c r="C400">
        <v>91</v>
      </c>
      <c r="D400">
        <v>5</v>
      </c>
      <c r="E400">
        <v>455</v>
      </c>
      <c r="F400" s="32">
        <v>45375</v>
      </c>
      <c r="G400" t="s">
        <v>8</v>
      </c>
      <c r="H400">
        <v>476</v>
      </c>
      <c r="I400" t="str">
        <f>VLOOKUP(B400,товар!$A$1:$C$433,2,FALSE)</f>
        <v>Соль</v>
      </c>
      <c r="J400" s="22">
        <f t="shared" si="24"/>
        <v>264.8679245283019</v>
      </c>
      <c r="K400" s="24">
        <f t="shared" si="25"/>
        <v>-0.65643254024789854</v>
      </c>
      <c r="L400" t="str">
        <f>VLOOKUP(B400,товар!$A$1:$C$433,3,FALSE)</f>
        <v>Илецкая</v>
      </c>
      <c r="M400" s="24">
        <f t="shared" si="26"/>
        <v>-0.61791462561231625</v>
      </c>
      <c r="N400" s="29">
        <f t="shared" si="27"/>
        <v>238.16666666666666</v>
      </c>
      <c r="O400" s="32">
        <f>VLOOKUP(H400,клиенты!$A$2:$G$435,5,FALSE)</f>
        <v>44703</v>
      </c>
      <c r="P400">
        <f>Продажи[[#This Row],[дата создания чека]]-Продажи[[#This Row],[Дата регистрации клиента]]</f>
        <v>672</v>
      </c>
      <c r="Q400" t="str">
        <f>VLOOKUP(H400,Таблица3[],7,FALSE)</f>
        <v>Украина</v>
      </c>
    </row>
    <row r="401" spans="1:17" x14ac:dyDescent="0.3">
      <c r="A401">
        <v>400</v>
      </c>
      <c r="B401">
        <v>321</v>
      </c>
      <c r="C401">
        <v>61</v>
      </c>
      <c r="D401">
        <v>5</v>
      </c>
      <c r="E401">
        <v>305</v>
      </c>
      <c r="F401" s="32">
        <v>45104</v>
      </c>
      <c r="G401" t="s">
        <v>20</v>
      </c>
      <c r="H401">
        <v>375</v>
      </c>
      <c r="I401" t="str">
        <f>VLOOKUP(B401,товар!$A$1:$C$433,2,FALSE)</f>
        <v>Мясо</v>
      </c>
      <c r="J401" s="22">
        <f t="shared" si="24"/>
        <v>271.74545454545455</v>
      </c>
      <c r="K401" s="24">
        <f t="shared" si="25"/>
        <v>-0.77552522414023817</v>
      </c>
      <c r="L401" t="str">
        <f>VLOOKUP(B401,товар!$A$1:$C$433,3,FALSE)</f>
        <v>Сава</v>
      </c>
      <c r="M401" s="24">
        <f t="shared" si="26"/>
        <v>-0.71336270190895745</v>
      </c>
      <c r="N401" s="29">
        <f t="shared" si="27"/>
        <v>212.8125</v>
      </c>
      <c r="O401" s="32">
        <f>VLOOKUP(H401,клиенты!$A$2:$G$435,5,FALSE)</f>
        <v>44674</v>
      </c>
      <c r="P401">
        <f>Продажи[[#This Row],[дата создания чека]]-Продажи[[#This Row],[Дата регистрации клиента]]</f>
        <v>430</v>
      </c>
      <c r="Q401" t="str">
        <f>VLOOKUP(H401,Таблица3[],7,FALSE)</f>
        <v>Россия</v>
      </c>
    </row>
    <row r="402" spans="1:17" x14ac:dyDescent="0.3">
      <c r="A402">
        <v>401</v>
      </c>
      <c r="B402">
        <v>50</v>
      </c>
      <c r="C402">
        <v>95</v>
      </c>
      <c r="D402">
        <v>4</v>
      </c>
      <c r="E402">
        <v>380</v>
      </c>
      <c r="F402" s="32">
        <v>45069</v>
      </c>
      <c r="G402" t="s">
        <v>20</v>
      </c>
      <c r="H402">
        <v>376</v>
      </c>
      <c r="I402" t="str">
        <f>VLOOKUP(B402,товар!$A$1:$C$433,2,FALSE)</f>
        <v>Сок</v>
      </c>
      <c r="J402" s="22">
        <f t="shared" si="24"/>
        <v>268.60344827586209</v>
      </c>
      <c r="K402" s="24">
        <f t="shared" si="25"/>
        <v>-0.64631876243661335</v>
      </c>
      <c r="L402" t="str">
        <f>VLOOKUP(B402,товар!$A$1:$C$433,3,FALSE)</f>
        <v>Добрый</v>
      </c>
      <c r="M402" s="24">
        <f t="shared" si="26"/>
        <v>-0.60876076375889177</v>
      </c>
      <c r="N402" s="29">
        <f t="shared" si="27"/>
        <v>242.81818181818181</v>
      </c>
      <c r="O402" s="32">
        <f>VLOOKUP(H402,клиенты!$A$2:$G$435,5,FALSE)</f>
        <v>44730</v>
      </c>
      <c r="P402">
        <f>Продажи[[#This Row],[дата создания чека]]-Продажи[[#This Row],[Дата регистрации клиента]]</f>
        <v>339</v>
      </c>
      <c r="Q402" t="str">
        <f>VLOOKUP(H402,Таблица3[],7,FALSE)</f>
        <v>Беларусь</v>
      </c>
    </row>
    <row r="403" spans="1:17" x14ac:dyDescent="0.3">
      <c r="A403">
        <v>402</v>
      </c>
      <c r="B403">
        <v>495</v>
      </c>
      <c r="C403">
        <v>469</v>
      </c>
      <c r="D403">
        <v>2</v>
      </c>
      <c r="E403">
        <v>938</v>
      </c>
      <c r="F403" s="32">
        <v>45368</v>
      </c>
      <c r="G403" t="s">
        <v>24</v>
      </c>
      <c r="H403">
        <v>233</v>
      </c>
      <c r="I403" t="str">
        <f>VLOOKUP(B403,товар!$A$1:$C$433,2,FALSE)</f>
        <v>Чай</v>
      </c>
      <c r="J403" s="22">
        <f t="shared" si="24"/>
        <v>271.18181818181819</v>
      </c>
      <c r="K403" s="24">
        <f t="shared" si="25"/>
        <v>0.72946697955078776</v>
      </c>
      <c r="L403" t="str">
        <f>VLOOKUP(B403,товар!$A$1:$C$433,3,FALSE)</f>
        <v>Greenfield</v>
      </c>
      <c r="M403" s="24">
        <f t="shared" si="26"/>
        <v>0.60917030567685604</v>
      </c>
      <c r="N403" s="29">
        <f t="shared" si="27"/>
        <v>291.45454545454544</v>
      </c>
      <c r="O403" s="32">
        <f>VLOOKUP(H403,клиенты!$A$2:$G$435,5,FALSE)</f>
        <v>44616</v>
      </c>
      <c r="P403">
        <f>Продажи[[#This Row],[дата создания чека]]-Продажи[[#This Row],[Дата регистрации клиента]]</f>
        <v>752</v>
      </c>
      <c r="Q403" t="str">
        <f>VLOOKUP(H403,Таблица3[],7,FALSE)</f>
        <v>Таджикистан</v>
      </c>
    </row>
    <row r="404" spans="1:17" x14ac:dyDescent="0.3">
      <c r="A404">
        <v>403</v>
      </c>
      <c r="B404">
        <v>207</v>
      </c>
      <c r="C404">
        <v>237</v>
      </c>
      <c r="D404">
        <v>2</v>
      </c>
      <c r="E404">
        <v>474</v>
      </c>
      <c r="F404" s="32">
        <v>45081</v>
      </c>
      <c r="G404" t="s">
        <v>11</v>
      </c>
      <c r="H404">
        <v>69</v>
      </c>
      <c r="I404" t="str">
        <f>VLOOKUP(B404,товар!$A$1:$C$433,2,FALSE)</f>
        <v>Сахар</v>
      </c>
      <c r="J404" s="22">
        <f t="shared" si="24"/>
        <v>252.76271186440678</v>
      </c>
      <c r="K404" s="24">
        <f t="shared" si="25"/>
        <v>-6.2361697847515551E-2</v>
      </c>
      <c r="L404" t="str">
        <f>VLOOKUP(B404,товар!$A$1:$C$433,3,FALSE)</f>
        <v>Агросахар</v>
      </c>
      <c r="M404" s="24">
        <f t="shared" si="26"/>
        <v>9.7948378557246807E-2</v>
      </c>
      <c r="N404" s="29">
        <f t="shared" si="27"/>
        <v>215.85714285714286</v>
      </c>
      <c r="O404" s="32">
        <f>VLOOKUP(H404,клиенты!$A$2:$G$435,5,FALSE)</f>
        <v>44587</v>
      </c>
      <c r="P404">
        <f>Продажи[[#This Row],[дата создания чека]]-Продажи[[#This Row],[Дата регистрации клиента]]</f>
        <v>494</v>
      </c>
      <c r="Q404" t="str">
        <f>VLOOKUP(H404,Таблица3[],7,FALSE)</f>
        <v>Таджикистан</v>
      </c>
    </row>
    <row r="405" spans="1:17" x14ac:dyDescent="0.3">
      <c r="A405">
        <v>404</v>
      </c>
      <c r="B405">
        <v>145</v>
      </c>
      <c r="C405">
        <v>356</v>
      </c>
      <c r="D405">
        <v>3</v>
      </c>
      <c r="E405">
        <v>1068</v>
      </c>
      <c r="F405" s="32">
        <v>44928</v>
      </c>
      <c r="G405" t="s">
        <v>8</v>
      </c>
      <c r="H405">
        <v>254</v>
      </c>
      <c r="I405" t="str">
        <f>VLOOKUP(B405,товар!$A$1:$C$433,2,FALSE)</f>
        <v>Овощи</v>
      </c>
      <c r="J405" s="22">
        <f t="shared" si="24"/>
        <v>250.48780487804879</v>
      </c>
      <c r="K405" s="24">
        <f t="shared" si="25"/>
        <v>0.42122687439143136</v>
      </c>
      <c r="L405" t="str">
        <f>VLOOKUP(B405,товар!$A$1:$C$433,3,FALSE)</f>
        <v>Семко</v>
      </c>
      <c r="M405" s="24">
        <f t="shared" si="26"/>
        <v>0.71153846153846145</v>
      </c>
      <c r="N405" s="29">
        <f t="shared" si="27"/>
        <v>208</v>
      </c>
      <c r="O405" s="32">
        <f>VLOOKUP(H405,клиенты!$A$2:$G$435,5,FALSE)</f>
        <v>44862</v>
      </c>
      <c r="P405">
        <f>Продажи[[#This Row],[дата создания чека]]-Продажи[[#This Row],[Дата регистрации клиента]]</f>
        <v>66</v>
      </c>
      <c r="Q405" t="str">
        <f>VLOOKUP(H405,Таблица3[],7,FALSE)</f>
        <v>Беларусь</v>
      </c>
    </row>
    <row r="406" spans="1:17" x14ac:dyDescent="0.3">
      <c r="A406">
        <v>405</v>
      </c>
      <c r="B406">
        <v>249</v>
      </c>
      <c r="C406">
        <v>275</v>
      </c>
      <c r="D406">
        <v>3</v>
      </c>
      <c r="E406">
        <v>825</v>
      </c>
      <c r="F406" s="32">
        <v>45039</v>
      </c>
      <c r="G406" t="s">
        <v>23</v>
      </c>
      <c r="H406">
        <v>219</v>
      </c>
      <c r="I406" t="str">
        <f>VLOOKUP(B406,товар!$A$1:$C$433,2,FALSE)</f>
        <v>Чай</v>
      </c>
      <c r="J406" s="22">
        <f t="shared" si="24"/>
        <v>271.18181818181819</v>
      </c>
      <c r="K406" s="24">
        <f t="shared" si="25"/>
        <v>1.4079785450888282E-2</v>
      </c>
      <c r="L406" t="str">
        <f>VLOOKUP(B406,товар!$A$1:$C$433,3,FALSE)</f>
        <v>Lipton</v>
      </c>
      <c r="M406" s="24">
        <f t="shared" si="26"/>
        <v>5.7050374266639725E-2</v>
      </c>
      <c r="N406" s="29">
        <f t="shared" si="27"/>
        <v>260.15789473684208</v>
      </c>
      <c r="O406" s="32">
        <f>VLOOKUP(H406,клиенты!$A$2:$G$435,5,FALSE)</f>
        <v>44585</v>
      </c>
      <c r="P406">
        <f>Продажи[[#This Row],[дата создания чека]]-Продажи[[#This Row],[Дата регистрации клиента]]</f>
        <v>454</v>
      </c>
      <c r="Q406" t="str">
        <f>VLOOKUP(H406,Таблица3[],7,FALSE)</f>
        <v>Таджикистан</v>
      </c>
    </row>
    <row r="407" spans="1:17" x14ac:dyDescent="0.3">
      <c r="A407">
        <v>406</v>
      </c>
      <c r="B407">
        <v>377</v>
      </c>
      <c r="C407">
        <v>129</v>
      </c>
      <c r="D407">
        <v>1</v>
      </c>
      <c r="E407">
        <v>129</v>
      </c>
      <c r="F407" s="32">
        <v>45231</v>
      </c>
      <c r="G407" t="s">
        <v>12</v>
      </c>
      <c r="H407">
        <v>456</v>
      </c>
      <c r="I407" t="str">
        <f>VLOOKUP(B407,товар!$A$1:$C$433,2,FALSE)</f>
        <v>Колбаса</v>
      </c>
      <c r="J407" s="22">
        <f t="shared" si="24"/>
        <v>286.92307692307691</v>
      </c>
      <c r="K407" s="24">
        <f t="shared" si="25"/>
        <v>-0.55040214477211791</v>
      </c>
      <c r="L407" t="str">
        <f>VLOOKUP(B407,товар!$A$1:$C$433,3,FALSE)</f>
        <v>Окраина</v>
      </c>
      <c r="M407" s="24">
        <f t="shared" si="26"/>
        <v>-0.52848004873591226</v>
      </c>
      <c r="N407" s="29">
        <f t="shared" si="27"/>
        <v>273.58333333333331</v>
      </c>
      <c r="O407" s="32">
        <f>VLOOKUP(H407,клиенты!$A$2:$G$435,5,FALSE)</f>
        <v>44618</v>
      </c>
      <c r="P407">
        <f>Продажи[[#This Row],[дата создания чека]]-Продажи[[#This Row],[Дата регистрации клиента]]</f>
        <v>613</v>
      </c>
      <c r="Q407" t="str">
        <f>VLOOKUP(H407,Таблица3[],7,FALSE)</f>
        <v>Россия</v>
      </c>
    </row>
    <row r="408" spans="1:17" x14ac:dyDescent="0.3">
      <c r="A408">
        <v>407</v>
      </c>
      <c r="B408">
        <v>427</v>
      </c>
      <c r="C408">
        <v>499</v>
      </c>
      <c r="D408">
        <v>4</v>
      </c>
      <c r="E408">
        <v>1996</v>
      </c>
      <c r="F408" s="32">
        <v>45368</v>
      </c>
      <c r="G408" t="s">
        <v>23</v>
      </c>
      <c r="H408">
        <v>283</v>
      </c>
      <c r="I408" t="str">
        <f>VLOOKUP(B408,товар!$A$1:$C$433,2,FALSE)</f>
        <v>Хлеб</v>
      </c>
      <c r="J408" s="22">
        <f t="shared" si="24"/>
        <v>300.31818181818181</v>
      </c>
      <c r="K408" s="24">
        <f t="shared" si="25"/>
        <v>0.66157106099591356</v>
      </c>
      <c r="L408" t="str">
        <f>VLOOKUP(B408,товар!$A$1:$C$433,3,FALSE)</f>
        <v>Русский Хлеб</v>
      </c>
      <c r="M408" s="24">
        <f t="shared" si="26"/>
        <v>0.57612128869235613</v>
      </c>
      <c r="N408" s="29">
        <f t="shared" si="27"/>
        <v>316.60000000000002</v>
      </c>
      <c r="O408" s="32">
        <f>VLOOKUP(H408,клиенты!$A$2:$G$435,5,FALSE)</f>
        <v>44889</v>
      </c>
      <c r="P408">
        <f>Продажи[[#This Row],[дата создания чека]]-Продажи[[#This Row],[Дата регистрации клиента]]</f>
        <v>479</v>
      </c>
      <c r="Q408" t="str">
        <f>VLOOKUP(H408,Таблица3[],7,FALSE)</f>
        <v>Таджикистан</v>
      </c>
    </row>
    <row r="409" spans="1:17" x14ac:dyDescent="0.3">
      <c r="A409">
        <v>408</v>
      </c>
      <c r="B409">
        <v>445</v>
      </c>
      <c r="C409">
        <v>164</v>
      </c>
      <c r="D409">
        <v>2</v>
      </c>
      <c r="E409">
        <v>328</v>
      </c>
      <c r="F409" s="32">
        <v>45258</v>
      </c>
      <c r="G409" t="s">
        <v>15</v>
      </c>
      <c r="H409">
        <v>232</v>
      </c>
      <c r="I409" t="str">
        <f>VLOOKUP(B409,товар!$A$1:$C$433,2,FALSE)</f>
        <v>Сахар</v>
      </c>
      <c r="J409" s="22">
        <f t="shared" si="24"/>
        <v>252.76271186440678</v>
      </c>
      <c r="K409" s="24">
        <f t="shared" si="25"/>
        <v>-0.35117012002950443</v>
      </c>
      <c r="L409" t="str">
        <f>VLOOKUP(B409,товар!$A$1:$C$433,3,FALSE)</f>
        <v>Сладов</v>
      </c>
      <c r="M409" s="24">
        <f t="shared" si="26"/>
        <v>-0.31742508324084351</v>
      </c>
      <c r="N409" s="29">
        <f t="shared" si="27"/>
        <v>240.26666666666668</v>
      </c>
      <c r="O409" s="32">
        <f>VLOOKUP(H409,клиенты!$A$2:$G$435,5,FALSE)</f>
        <v>44923</v>
      </c>
      <c r="P409">
        <f>Продажи[[#This Row],[дата создания чека]]-Продажи[[#This Row],[Дата регистрации клиента]]</f>
        <v>335</v>
      </c>
      <c r="Q409" t="str">
        <f>VLOOKUP(H409,Таблица3[],7,FALSE)</f>
        <v>Таджикистан</v>
      </c>
    </row>
    <row r="410" spans="1:17" x14ac:dyDescent="0.3">
      <c r="A410">
        <v>409</v>
      </c>
      <c r="B410">
        <v>336</v>
      </c>
      <c r="C410">
        <v>265</v>
      </c>
      <c r="D410">
        <v>3</v>
      </c>
      <c r="E410">
        <v>795</v>
      </c>
      <c r="F410" s="32">
        <v>45124</v>
      </c>
      <c r="G410" t="s">
        <v>9</v>
      </c>
      <c r="H410">
        <v>434</v>
      </c>
      <c r="I410" t="str">
        <f>VLOOKUP(B410,товар!$A$1:$C$433,2,FALSE)</f>
        <v>Чипсы</v>
      </c>
      <c r="J410" s="22">
        <f t="shared" si="24"/>
        <v>273.72549019607845</v>
      </c>
      <c r="K410" s="24">
        <f t="shared" si="25"/>
        <v>-3.1876790830945634E-2</v>
      </c>
      <c r="L410" t="str">
        <f>VLOOKUP(B410,товар!$A$1:$C$433,3,FALSE)</f>
        <v>Estrella</v>
      </c>
      <c r="M410" s="24">
        <f t="shared" si="26"/>
        <v>-4.7797883236598837E-3</v>
      </c>
      <c r="N410" s="29">
        <f t="shared" si="27"/>
        <v>266.27272727272725</v>
      </c>
      <c r="O410" s="32">
        <f>VLOOKUP(H410,клиенты!$A$2:$G$435,5,FALSE)</f>
        <v>44730</v>
      </c>
      <c r="P410">
        <f>Продажи[[#This Row],[дата создания чека]]-Продажи[[#This Row],[Дата регистрации клиента]]</f>
        <v>394</v>
      </c>
      <c r="Q410" t="str">
        <f>VLOOKUP(H410,Таблица3[],7,FALSE)</f>
        <v>Украина</v>
      </c>
    </row>
    <row r="411" spans="1:17" x14ac:dyDescent="0.3">
      <c r="A411">
        <v>410</v>
      </c>
      <c r="B411">
        <v>96</v>
      </c>
      <c r="C411">
        <v>386</v>
      </c>
      <c r="D411">
        <v>4</v>
      </c>
      <c r="E411">
        <v>1544</v>
      </c>
      <c r="F411" s="32">
        <v>45145</v>
      </c>
      <c r="G411" t="s">
        <v>17</v>
      </c>
      <c r="H411">
        <v>252</v>
      </c>
      <c r="I411" t="str">
        <f>VLOOKUP(B411,товар!$A$1:$C$433,2,FALSE)</f>
        <v>Соль</v>
      </c>
      <c r="J411" s="22">
        <f t="shared" si="24"/>
        <v>264.8679245283019</v>
      </c>
      <c r="K411" s="24">
        <f t="shared" si="25"/>
        <v>0.45733010400341922</v>
      </c>
      <c r="L411" t="str">
        <f>VLOOKUP(B411,товар!$A$1:$C$433,3,FALSE)</f>
        <v>Салта</v>
      </c>
      <c r="M411" s="24">
        <f t="shared" si="26"/>
        <v>0.41030325173547677</v>
      </c>
      <c r="N411" s="29">
        <f t="shared" si="27"/>
        <v>273.7</v>
      </c>
      <c r="O411" s="32">
        <f>VLOOKUP(H411,клиенты!$A$2:$G$435,5,FALSE)</f>
        <v>44643</v>
      </c>
      <c r="P411">
        <f>Продажи[[#This Row],[дата создания чека]]-Продажи[[#This Row],[Дата регистрации клиента]]</f>
        <v>502</v>
      </c>
      <c r="Q411" t="str">
        <f>VLOOKUP(H411,Таблица3[],7,FALSE)</f>
        <v>Россия</v>
      </c>
    </row>
    <row r="412" spans="1:17" x14ac:dyDescent="0.3">
      <c r="A412">
        <v>411</v>
      </c>
      <c r="B412">
        <v>117</v>
      </c>
      <c r="C412">
        <v>288</v>
      </c>
      <c r="D412">
        <v>5</v>
      </c>
      <c r="E412">
        <v>1440</v>
      </c>
      <c r="F412" s="32">
        <v>45348</v>
      </c>
      <c r="G412" t="s">
        <v>19</v>
      </c>
      <c r="H412">
        <v>372</v>
      </c>
      <c r="I412" t="str">
        <f>VLOOKUP(B412,товар!$A$1:$C$433,2,FALSE)</f>
        <v>Макароны</v>
      </c>
      <c r="J412" s="22">
        <f t="shared" si="24"/>
        <v>265.47674418604652</v>
      </c>
      <c r="K412" s="24">
        <f t="shared" si="25"/>
        <v>8.4840786649730715E-2</v>
      </c>
      <c r="L412" t="str">
        <f>VLOOKUP(B412,товар!$A$1:$C$433,3,FALSE)</f>
        <v>Роллтон</v>
      </c>
      <c r="M412" s="24">
        <f t="shared" si="26"/>
        <v>0.22264150943396244</v>
      </c>
      <c r="N412" s="29">
        <f t="shared" si="27"/>
        <v>235.55555555555554</v>
      </c>
      <c r="O412" s="32">
        <f>VLOOKUP(H412,клиенты!$A$2:$G$435,5,FALSE)</f>
        <v>44772</v>
      </c>
      <c r="P412">
        <f>Продажи[[#This Row],[дата создания чека]]-Продажи[[#This Row],[Дата регистрации клиента]]</f>
        <v>576</v>
      </c>
      <c r="Q412" t="str">
        <f>VLOOKUP(H412,Таблица3[],7,FALSE)</f>
        <v>Таджикистан</v>
      </c>
    </row>
    <row r="413" spans="1:17" x14ac:dyDescent="0.3">
      <c r="A413">
        <v>412</v>
      </c>
      <c r="B413">
        <v>440</v>
      </c>
      <c r="C413">
        <v>201</v>
      </c>
      <c r="D413">
        <v>5</v>
      </c>
      <c r="E413">
        <v>1005</v>
      </c>
      <c r="F413" s="32">
        <v>45233</v>
      </c>
      <c r="G413" t="s">
        <v>22</v>
      </c>
      <c r="H413">
        <v>432</v>
      </c>
      <c r="I413" t="str">
        <f>VLOOKUP(B413,товар!$A$1:$C$433,2,FALSE)</f>
        <v>Фрукты</v>
      </c>
      <c r="J413" s="22">
        <f t="shared" si="24"/>
        <v>274.16279069767444</v>
      </c>
      <c r="K413" s="24">
        <f t="shared" si="25"/>
        <v>-0.26685893629654767</v>
      </c>
      <c r="L413" t="str">
        <f>VLOOKUP(B413,товар!$A$1:$C$433,3,FALSE)</f>
        <v>Фруктовый Рай</v>
      </c>
      <c r="M413" s="24">
        <f t="shared" si="26"/>
        <v>-0.221858248957713</v>
      </c>
      <c r="N413" s="29">
        <f t="shared" si="27"/>
        <v>258.30769230769232</v>
      </c>
      <c r="O413" s="32">
        <f>VLOOKUP(H413,клиенты!$A$2:$G$435,5,FALSE)</f>
        <v>44718</v>
      </c>
      <c r="P413">
        <f>Продажи[[#This Row],[дата создания чека]]-Продажи[[#This Row],[Дата регистрации клиента]]</f>
        <v>515</v>
      </c>
      <c r="Q413" t="str">
        <f>VLOOKUP(H413,Таблица3[],7,FALSE)</f>
        <v>Таджикистан</v>
      </c>
    </row>
    <row r="414" spans="1:17" x14ac:dyDescent="0.3">
      <c r="A414">
        <v>413</v>
      </c>
      <c r="B414">
        <v>51</v>
      </c>
      <c r="C414">
        <v>271</v>
      </c>
      <c r="D414">
        <v>4</v>
      </c>
      <c r="E414">
        <v>1084</v>
      </c>
      <c r="F414" s="32">
        <v>45205</v>
      </c>
      <c r="G414" t="s">
        <v>15</v>
      </c>
      <c r="H414">
        <v>221</v>
      </c>
      <c r="I414" t="str">
        <f>VLOOKUP(B414,товар!$A$1:$C$433,2,FALSE)</f>
        <v>Колбаса</v>
      </c>
      <c r="J414" s="22">
        <f t="shared" si="24"/>
        <v>286.92307692307691</v>
      </c>
      <c r="K414" s="24">
        <f t="shared" si="25"/>
        <v>-5.5495978552278724E-2</v>
      </c>
      <c r="L414" t="str">
        <f>VLOOKUP(B414,товар!$A$1:$C$433,3,FALSE)</f>
        <v>Дымов</v>
      </c>
      <c r="M414" s="24">
        <f t="shared" si="26"/>
        <v>-0.13326226012793185</v>
      </c>
      <c r="N414" s="29">
        <f t="shared" si="27"/>
        <v>312.66666666666669</v>
      </c>
      <c r="O414" s="32">
        <f>VLOOKUP(H414,клиенты!$A$2:$G$435,5,FALSE)</f>
        <v>44820</v>
      </c>
      <c r="P414">
        <f>Продажи[[#This Row],[дата создания чека]]-Продажи[[#This Row],[Дата регистрации клиента]]</f>
        <v>385</v>
      </c>
      <c r="Q414" t="str">
        <f>VLOOKUP(H414,Таблица3[],7,FALSE)</f>
        <v>Таджикистан</v>
      </c>
    </row>
    <row r="415" spans="1:17" x14ac:dyDescent="0.3">
      <c r="A415">
        <v>414</v>
      </c>
      <c r="B415">
        <v>398</v>
      </c>
      <c r="C415">
        <v>419</v>
      </c>
      <c r="D415">
        <v>2</v>
      </c>
      <c r="E415">
        <v>838</v>
      </c>
      <c r="F415" s="32">
        <v>45335</v>
      </c>
      <c r="G415" t="s">
        <v>24</v>
      </c>
      <c r="H415">
        <v>164</v>
      </c>
      <c r="I415" t="str">
        <f>VLOOKUP(B415,товар!$A$1:$C$433,2,FALSE)</f>
        <v>Сок</v>
      </c>
      <c r="J415" s="22">
        <f t="shared" si="24"/>
        <v>268.60344827586209</v>
      </c>
      <c r="K415" s="24">
        <f t="shared" si="25"/>
        <v>0.55992040567430501</v>
      </c>
      <c r="L415" t="str">
        <f>VLOOKUP(B415,товар!$A$1:$C$433,3,FALSE)</f>
        <v>Фруктовый сад</v>
      </c>
      <c r="M415" s="24">
        <f t="shared" si="26"/>
        <v>0.48598027263659538</v>
      </c>
      <c r="N415" s="29">
        <f t="shared" si="27"/>
        <v>281.96875</v>
      </c>
      <c r="O415" s="32">
        <f>VLOOKUP(H415,клиенты!$A$2:$G$435,5,FALSE)</f>
        <v>44678</v>
      </c>
      <c r="P415">
        <f>Продажи[[#This Row],[дата создания чека]]-Продажи[[#This Row],[Дата регистрации клиента]]</f>
        <v>657</v>
      </c>
      <c r="Q415" t="str">
        <f>VLOOKUP(H415,Таблица3[],7,FALSE)</f>
        <v>Россия</v>
      </c>
    </row>
    <row r="416" spans="1:17" x14ac:dyDescent="0.3">
      <c r="A416">
        <v>415</v>
      </c>
      <c r="B416">
        <v>443</v>
      </c>
      <c r="C416">
        <v>192</v>
      </c>
      <c r="D416">
        <v>5</v>
      </c>
      <c r="E416">
        <v>960</v>
      </c>
      <c r="F416" s="32">
        <v>45241</v>
      </c>
      <c r="G416" t="s">
        <v>22</v>
      </c>
      <c r="H416">
        <v>413</v>
      </c>
      <c r="I416" t="str">
        <f>VLOOKUP(B416,товар!$A$1:$C$433,2,FALSE)</f>
        <v>Кофе</v>
      </c>
      <c r="J416" s="22">
        <f t="shared" si="24"/>
        <v>249.02380952380952</v>
      </c>
      <c r="K416" s="24">
        <f t="shared" si="25"/>
        <v>-0.22898938713070083</v>
      </c>
      <c r="L416" t="str">
        <f>VLOOKUP(B416,товар!$A$1:$C$433,3,FALSE)</f>
        <v>Jacobs</v>
      </c>
      <c r="M416" s="24">
        <f t="shared" si="26"/>
        <v>-0.30487804878048785</v>
      </c>
      <c r="N416" s="29">
        <f t="shared" si="27"/>
        <v>276.21052631578948</v>
      </c>
      <c r="O416" s="32">
        <f>VLOOKUP(H416,клиенты!$A$2:$G$435,5,FALSE)</f>
        <v>44699</v>
      </c>
      <c r="P416">
        <f>Продажи[[#This Row],[дата создания чека]]-Продажи[[#This Row],[Дата регистрации клиента]]</f>
        <v>542</v>
      </c>
      <c r="Q416" t="str">
        <f>VLOOKUP(H416,Таблица3[],7,FALSE)</f>
        <v>Россия</v>
      </c>
    </row>
    <row r="417" spans="1:17" x14ac:dyDescent="0.3">
      <c r="A417">
        <v>416</v>
      </c>
      <c r="B417">
        <v>118</v>
      </c>
      <c r="C417">
        <v>193</v>
      </c>
      <c r="D417">
        <v>2</v>
      </c>
      <c r="E417">
        <v>386</v>
      </c>
      <c r="F417" s="32">
        <v>45356</v>
      </c>
      <c r="G417" t="s">
        <v>11</v>
      </c>
      <c r="H417">
        <v>148</v>
      </c>
      <c r="I417" t="str">
        <f>VLOOKUP(B417,товар!$A$1:$C$433,2,FALSE)</f>
        <v>Сахар</v>
      </c>
      <c r="J417" s="22">
        <f t="shared" si="24"/>
        <v>252.76271186440678</v>
      </c>
      <c r="K417" s="24">
        <f t="shared" si="25"/>
        <v>-0.23643800710789242</v>
      </c>
      <c r="L417" t="str">
        <f>VLOOKUP(B417,товар!$A$1:$C$433,3,FALSE)</f>
        <v>Продимекс</v>
      </c>
      <c r="M417" s="24">
        <f t="shared" si="26"/>
        <v>-0.19750519750519746</v>
      </c>
      <c r="N417" s="29">
        <f t="shared" si="27"/>
        <v>240.5</v>
      </c>
      <c r="O417" s="32">
        <f>VLOOKUP(H417,клиенты!$A$2:$G$435,5,FALSE)</f>
        <v>44700</v>
      </c>
      <c r="P417">
        <f>Продажи[[#This Row],[дата создания чека]]-Продажи[[#This Row],[Дата регистрации клиента]]</f>
        <v>656</v>
      </c>
      <c r="Q417" t="str">
        <f>VLOOKUP(H417,Таблица3[],7,FALSE)</f>
        <v>Россия</v>
      </c>
    </row>
    <row r="418" spans="1:17" x14ac:dyDescent="0.3">
      <c r="A418">
        <v>417</v>
      </c>
      <c r="B418">
        <v>371</v>
      </c>
      <c r="C418">
        <v>245</v>
      </c>
      <c r="D418">
        <v>1</v>
      </c>
      <c r="E418">
        <v>245</v>
      </c>
      <c r="F418" s="32">
        <v>44985</v>
      </c>
      <c r="G418" t="s">
        <v>27</v>
      </c>
      <c r="H418">
        <v>209</v>
      </c>
      <c r="I418" t="str">
        <f>VLOOKUP(B418,товар!$A$1:$C$433,2,FALSE)</f>
        <v>Сахар</v>
      </c>
      <c r="J418" s="22">
        <f t="shared" si="24"/>
        <v>252.76271186440678</v>
      </c>
      <c r="K418" s="24">
        <f t="shared" si="25"/>
        <v>-3.0711459800174312E-2</v>
      </c>
      <c r="L418" t="str">
        <f>VLOOKUP(B418,товар!$A$1:$C$433,3,FALSE)</f>
        <v>Русский сахар</v>
      </c>
      <c r="M418" s="24">
        <f t="shared" si="26"/>
        <v>-0.1649959903769046</v>
      </c>
      <c r="N418" s="29">
        <f t="shared" si="27"/>
        <v>293.41176470588238</v>
      </c>
      <c r="O418" s="32">
        <f>VLOOKUP(H418,клиенты!$A$2:$G$435,5,FALSE)</f>
        <v>44628</v>
      </c>
      <c r="P418">
        <f>Продажи[[#This Row],[дата создания чека]]-Продажи[[#This Row],[Дата регистрации клиента]]</f>
        <v>357</v>
      </c>
      <c r="Q418" t="str">
        <f>VLOOKUP(H418,Таблица3[],7,FALSE)</f>
        <v>Россия</v>
      </c>
    </row>
    <row r="419" spans="1:17" x14ac:dyDescent="0.3">
      <c r="A419">
        <v>418</v>
      </c>
      <c r="B419">
        <v>216</v>
      </c>
      <c r="C419">
        <v>209</v>
      </c>
      <c r="D419">
        <v>3</v>
      </c>
      <c r="E419">
        <v>627</v>
      </c>
      <c r="F419" s="32">
        <v>45357</v>
      </c>
      <c r="G419" t="s">
        <v>16</v>
      </c>
      <c r="H419">
        <v>263</v>
      </c>
      <c r="I419" t="str">
        <f>VLOOKUP(B419,товар!$A$1:$C$433,2,FALSE)</f>
        <v>Кофе</v>
      </c>
      <c r="J419" s="22">
        <f t="shared" si="24"/>
        <v>249.02380952380952</v>
      </c>
      <c r="K419" s="24">
        <f t="shared" si="25"/>
        <v>-0.16072282244956493</v>
      </c>
      <c r="L419" t="str">
        <f>VLOOKUP(B419,товар!$A$1:$C$433,3,FALSE)</f>
        <v>Черная Карта</v>
      </c>
      <c r="M419" s="24">
        <f t="shared" si="26"/>
        <v>-5.9405940594059348E-2</v>
      </c>
      <c r="N419" s="29">
        <f t="shared" si="27"/>
        <v>222.2</v>
      </c>
      <c r="O419" s="32">
        <f>VLOOKUP(H419,клиенты!$A$2:$G$435,5,FALSE)</f>
        <v>44612</v>
      </c>
      <c r="P419">
        <f>Продажи[[#This Row],[дата создания чека]]-Продажи[[#This Row],[Дата регистрации клиента]]</f>
        <v>745</v>
      </c>
      <c r="Q419" t="str">
        <f>VLOOKUP(H419,Таблица3[],7,FALSE)</f>
        <v>Таджикистан</v>
      </c>
    </row>
    <row r="420" spans="1:17" x14ac:dyDescent="0.3">
      <c r="A420">
        <v>419</v>
      </c>
      <c r="B420">
        <v>390</v>
      </c>
      <c r="C420">
        <v>120</v>
      </c>
      <c r="D420">
        <v>1</v>
      </c>
      <c r="E420">
        <v>120</v>
      </c>
      <c r="F420" s="32">
        <v>45176</v>
      </c>
      <c r="G420" t="s">
        <v>14</v>
      </c>
      <c r="H420">
        <v>449</v>
      </c>
      <c r="I420" t="str">
        <f>VLOOKUP(B420,товар!$A$1:$C$433,2,FALSE)</f>
        <v>Сок</v>
      </c>
      <c r="J420" s="22">
        <f t="shared" si="24"/>
        <v>268.60344827586209</v>
      </c>
      <c r="K420" s="24">
        <f t="shared" si="25"/>
        <v>-0.55324475255151162</v>
      </c>
      <c r="L420" t="str">
        <f>VLOOKUP(B420,товар!$A$1:$C$433,3,FALSE)</f>
        <v>Сады Придонья</v>
      </c>
      <c r="M420" s="24">
        <f t="shared" si="26"/>
        <v>-0.52789699570815452</v>
      </c>
      <c r="N420" s="29">
        <f t="shared" si="27"/>
        <v>254.18181818181819</v>
      </c>
      <c r="O420" s="32">
        <f>VLOOKUP(H420,клиенты!$A$2:$G$435,5,FALSE)</f>
        <v>44645</v>
      </c>
      <c r="P420">
        <f>Продажи[[#This Row],[дата создания чека]]-Продажи[[#This Row],[Дата регистрации клиента]]</f>
        <v>531</v>
      </c>
      <c r="Q420" t="str">
        <f>VLOOKUP(H420,Таблица3[],7,FALSE)</f>
        <v>Таджикистан</v>
      </c>
    </row>
    <row r="421" spans="1:17" x14ac:dyDescent="0.3">
      <c r="A421">
        <v>420</v>
      </c>
      <c r="B421">
        <v>14</v>
      </c>
      <c r="C421">
        <v>251</v>
      </c>
      <c r="D421">
        <v>1</v>
      </c>
      <c r="E421">
        <v>251</v>
      </c>
      <c r="F421" s="32">
        <v>45272</v>
      </c>
      <c r="G421" t="s">
        <v>23</v>
      </c>
      <c r="H421">
        <v>321</v>
      </c>
      <c r="I421" t="str">
        <f>VLOOKUP(B421,товар!$A$1:$C$433,2,FALSE)</f>
        <v>Сок</v>
      </c>
      <c r="J421" s="22">
        <f t="shared" si="24"/>
        <v>268.60344827586209</v>
      </c>
      <c r="K421" s="24">
        <f t="shared" si="25"/>
        <v>-6.5536940753578632E-2</v>
      </c>
      <c r="L421" t="str">
        <f>VLOOKUP(B421,товар!$A$1:$C$433,3,FALSE)</f>
        <v>Rich</v>
      </c>
      <c r="M421" s="24">
        <f t="shared" si="26"/>
        <v>-7.8053259871441738E-2</v>
      </c>
      <c r="N421" s="29">
        <f t="shared" si="27"/>
        <v>272.25</v>
      </c>
      <c r="O421" s="32">
        <f>VLOOKUP(H421,клиенты!$A$2:$G$435,5,FALSE)</f>
        <v>44756</v>
      </c>
      <c r="P421">
        <f>Продажи[[#This Row],[дата создания чека]]-Продажи[[#This Row],[Дата регистрации клиента]]</f>
        <v>516</v>
      </c>
      <c r="Q421" t="str">
        <f>VLOOKUP(H421,Таблица3[],7,FALSE)</f>
        <v>Таджикистан</v>
      </c>
    </row>
    <row r="422" spans="1:17" x14ac:dyDescent="0.3">
      <c r="A422">
        <v>421</v>
      </c>
      <c r="B422">
        <v>451</v>
      </c>
      <c r="C422">
        <v>443</v>
      </c>
      <c r="D422">
        <v>4</v>
      </c>
      <c r="E422">
        <v>1772</v>
      </c>
      <c r="F422" s="32">
        <v>45210</v>
      </c>
      <c r="G422" t="s">
        <v>26</v>
      </c>
      <c r="H422">
        <v>101</v>
      </c>
      <c r="I422" t="str">
        <f>VLOOKUP(B422,товар!$A$1:$C$433,2,FALSE)</f>
        <v>Рис</v>
      </c>
      <c r="J422" s="22">
        <f t="shared" si="24"/>
        <v>258.375</v>
      </c>
      <c r="K422" s="24">
        <f t="shared" si="25"/>
        <v>0.71456216739235612</v>
      </c>
      <c r="L422" t="str">
        <f>VLOOKUP(B422,товар!$A$1:$C$433,3,FALSE)</f>
        <v>Белый Злат</v>
      </c>
      <c r="M422" s="24">
        <f t="shared" si="26"/>
        <v>0.6425299890948748</v>
      </c>
      <c r="N422" s="29">
        <f t="shared" si="27"/>
        <v>269.70588235294116</v>
      </c>
      <c r="O422" s="32">
        <f>VLOOKUP(H422,клиенты!$A$2:$G$435,5,FALSE)</f>
        <v>44727</v>
      </c>
      <c r="P422">
        <f>Продажи[[#This Row],[дата создания чека]]-Продажи[[#This Row],[Дата регистрации клиента]]</f>
        <v>483</v>
      </c>
      <c r="Q422" t="str">
        <f>VLOOKUP(H422,Таблица3[],7,FALSE)</f>
        <v>Россия</v>
      </c>
    </row>
    <row r="423" spans="1:17" x14ac:dyDescent="0.3">
      <c r="A423">
        <v>422</v>
      </c>
      <c r="B423">
        <v>312</v>
      </c>
      <c r="C423">
        <v>234</v>
      </c>
      <c r="D423">
        <v>1</v>
      </c>
      <c r="E423">
        <v>234</v>
      </c>
      <c r="F423" s="32">
        <v>44954</v>
      </c>
      <c r="G423" t="s">
        <v>17</v>
      </c>
      <c r="H423">
        <v>124</v>
      </c>
      <c r="I423" t="str">
        <f>VLOOKUP(B423,товар!$A$1:$C$433,2,FALSE)</f>
        <v>Хлеб</v>
      </c>
      <c r="J423" s="22">
        <f t="shared" si="24"/>
        <v>300.31818181818181</v>
      </c>
      <c r="K423" s="24">
        <f t="shared" si="25"/>
        <v>-0.22082639624640532</v>
      </c>
      <c r="L423" t="str">
        <f>VLOOKUP(B423,товар!$A$1:$C$433,3,FALSE)</f>
        <v>Каравай</v>
      </c>
      <c r="M423" s="24">
        <f t="shared" si="26"/>
        <v>-0.29340714645193766</v>
      </c>
      <c r="N423" s="29">
        <f t="shared" si="27"/>
        <v>331.16666666666669</v>
      </c>
      <c r="O423" s="32">
        <f>VLOOKUP(H423,клиенты!$A$2:$G$435,5,FALSE)</f>
        <v>44795</v>
      </c>
      <c r="P423">
        <f>Продажи[[#This Row],[дата создания чека]]-Продажи[[#This Row],[Дата регистрации клиента]]</f>
        <v>159</v>
      </c>
      <c r="Q423" t="str">
        <f>VLOOKUP(H423,Таблица3[],7,FALSE)</f>
        <v>Россия</v>
      </c>
    </row>
    <row r="424" spans="1:17" x14ac:dyDescent="0.3">
      <c r="A424">
        <v>423</v>
      </c>
      <c r="B424">
        <v>217</v>
      </c>
      <c r="C424">
        <v>260</v>
      </c>
      <c r="D424">
        <v>5</v>
      </c>
      <c r="E424">
        <v>1300</v>
      </c>
      <c r="F424" s="32">
        <v>45018</v>
      </c>
      <c r="G424" t="s">
        <v>12</v>
      </c>
      <c r="H424">
        <v>257</v>
      </c>
      <c r="I424" t="str">
        <f>VLOOKUP(B424,товар!$A$1:$C$433,2,FALSE)</f>
        <v>Мясо</v>
      </c>
      <c r="J424" s="22">
        <f t="shared" si="24"/>
        <v>271.74545454545455</v>
      </c>
      <c r="K424" s="24">
        <f t="shared" si="25"/>
        <v>-4.3222266827244726E-2</v>
      </c>
      <c r="L424" t="str">
        <f>VLOOKUP(B424,товар!$A$1:$C$433,3,FALSE)</f>
        <v>Агрокомплекс</v>
      </c>
      <c r="M424" s="24">
        <f t="shared" si="26"/>
        <v>-0.16452442159383029</v>
      </c>
      <c r="N424" s="29">
        <f t="shared" si="27"/>
        <v>311.2</v>
      </c>
      <c r="O424" s="32">
        <f>VLOOKUP(H424,клиенты!$A$2:$G$435,5,FALSE)</f>
        <v>44701</v>
      </c>
      <c r="P424">
        <f>Продажи[[#This Row],[дата создания чека]]-Продажи[[#This Row],[Дата регистрации клиента]]</f>
        <v>317</v>
      </c>
      <c r="Q424" t="str">
        <f>VLOOKUP(H424,Таблица3[],7,FALSE)</f>
        <v>Россия</v>
      </c>
    </row>
    <row r="425" spans="1:17" x14ac:dyDescent="0.3">
      <c r="A425">
        <v>424</v>
      </c>
      <c r="B425">
        <v>10</v>
      </c>
      <c r="C425">
        <v>203</v>
      </c>
      <c r="D425">
        <v>4</v>
      </c>
      <c r="E425">
        <v>812</v>
      </c>
      <c r="F425" s="32">
        <v>45059</v>
      </c>
      <c r="G425" t="s">
        <v>12</v>
      </c>
      <c r="H425">
        <v>276</v>
      </c>
      <c r="I425" t="str">
        <f>VLOOKUP(B425,товар!$A$1:$C$433,2,FALSE)</f>
        <v>Сок</v>
      </c>
      <c r="J425" s="22">
        <f t="shared" si="24"/>
        <v>268.60344827586209</v>
      </c>
      <c r="K425" s="24">
        <f t="shared" si="25"/>
        <v>-0.24423903973297389</v>
      </c>
      <c r="L425" t="str">
        <f>VLOOKUP(B425,товар!$A$1:$C$433,3,FALSE)</f>
        <v>Фруктовый сад</v>
      </c>
      <c r="M425" s="24">
        <f t="shared" si="26"/>
        <v>-0.28006206361520558</v>
      </c>
      <c r="N425" s="29">
        <f t="shared" si="27"/>
        <v>281.96875</v>
      </c>
      <c r="O425" s="32">
        <f>VLOOKUP(H425,клиенты!$A$2:$G$435,5,FALSE)</f>
        <v>44632</v>
      </c>
      <c r="P425">
        <f>Продажи[[#This Row],[дата создания чека]]-Продажи[[#This Row],[Дата регистрации клиента]]</f>
        <v>427</v>
      </c>
      <c r="Q425" t="str">
        <f>VLOOKUP(H425,Таблица3[],7,FALSE)</f>
        <v>Таджикистан</v>
      </c>
    </row>
    <row r="426" spans="1:17" x14ac:dyDescent="0.3">
      <c r="A426">
        <v>425</v>
      </c>
      <c r="B426">
        <v>60</v>
      </c>
      <c r="C426">
        <v>251</v>
      </c>
      <c r="D426">
        <v>2</v>
      </c>
      <c r="E426">
        <v>502</v>
      </c>
      <c r="F426" s="32">
        <v>45202</v>
      </c>
      <c r="G426" t="s">
        <v>25</v>
      </c>
      <c r="H426">
        <v>309</v>
      </c>
      <c r="I426" t="str">
        <f>VLOOKUP(B426,товар!$A$1:$C$433,2,FALSE)</f>
        <v>Кофе</v>
      </c>
      <c r="J426" s="22">
        <f t="shared" si="24"/>
        <v>249.02380952380952</v>
      </c>
      <c r="K426" s="24">
        <f t="shared" si="25"/>
        <v>7.9357491155942483E-3</v>
      </c>
      <c r="L426" t="str">
        <f>VLOOKUP(B426,товар!$A$1:$C$433,3,FALSE)</f>
        <v>Jacobs</v>
      </c>
      <c r="M426" s="24">
        <f t="shared" si="26"/>
        <v>-9.1272865853658569E-2</v>
      </c>
      <c r="N426" s="29">
        <f t="shared" si="27"/>
        <v>276.21052631578948</v>
      </c>
      <c r="O426" s="32">
        <f>VLOOKUP(H426,клиенты!$A$2:$G$435,5,FALSE)</f>
        <v>44711</v>
      </c>
      <c r="P426">
        <f>Продажи[[#This Row],[дата создания чека]]-Продажи[[#This Row],[Дата регистрации клиента]]</f>
        <v>491</v>
      </c>
      <c r="Q426" t="str">
        <f>VLOOKUP(H426,Таблица3[],7,FALSE)</f>
        <v>Россия</v>
      </c>
    </row>
    <row r="427" spans="1:17" x14ac:dyDescent="0.3">
      <c r="A427">
        <v>426</v>
      </c>
      <c r="B427">
        <v>74</v>
      </c>
      <c r="C427">
        <v>210</v>
      </c>
      <c r="D427">
        <v>3</v>
      </c>
      <c r="E427">
        <v>630</v>
      </c>
      <c r="F427" s="32">
        <v>45335</v>
      </c>
      <c r="G427" t="s">
        <v>17</v>
      </c>
      <c r="H427">
        <v>319</v>
      </c>
      <c r="I427" t="str">
        <f>VLOOKUP(B427,товар!$A$1:$C$433,2,FALSE)</f>
        <v>Колбаса</v>
      </c>
      <c r="J427" s="22">
        <f t="shared" si="24"/>
        <v>286.92307692307691</v>
      </c>
      <c r="K427" s="24">
        <f t="shared" si="25"/>
        <v>-0.26809651474530827</v>
      </c>
      <c r="L427" t="str">
        <f>VLOOKUP(B427,товар!$A$1:$C$433,3,FALSE)</f>
        <v>Черкизово</v>
      </c>
      <c r="M427" s="24">
        <f t="shared" si="26"/>
        <v>-0.34426229508196726</v>
      </c>
      <c r="N427" s="29">
        <f t="shared" si="27"/>
        <v>320.25</v>
      </c>
      <c r="O427" s="32">
        <f>VLOOKUP(H427,клиенты!$A$2:$G$435,5,FALSE)</f>
        <v>44674</v>
      </c>
      <c r="P427">
        <f>Продажи[[#This Row],[дата создания чека]]-Продажи[[#This Row],[Дата регистрации клиента]]</f>
        <v>661</v>
      </c>
      <c r="Q427" t="str">
        <f>VLOOKUP(H427,Таблица3[],7,FALSE)</f>
        <v>Узбекистан</v>
      </c>
    </row>
    <row r="428" spans="1:17" x14ac:dyDescent="0.3">
      <c r="A428">
        <v>427</v>
      </c>
      <c r="B428">
        <v>116</v>
      </c>
      <c r="C428">
        <v>295</v>
      </c>
      <c r="D428">
        <v>1</v>
      </c>
      <c r="E428">
        <v>295</v>
      </c>
      <c r="F428" s="32">
        <v>45336</v>
      </c>
      <c r="G428" t="s">
        <v>10</v>
      </c>
      <c r="H428">
        <v>359</v>
      </c>
      <c r="I428" t="str">
        <f>VLOOKUP(B428,товар!$A$1:$C$433,2,FALSE)</f>
        <v>Соль</v>
      </c>
      <c r="J428" s="22">
        <f t="shared" si="24"/>
        <v>264.8679245283019</v>
      </c>
      <c r="K428" s="24">
        <f t="shared" si="25"/>
        <v>0.11376264425131777</v>
      </c>
      <c r="L428" t="str">
        <f>VLOOKUP(B428,товар!$A$1:$C$433,3,FALSE)</f>
        <v>Экстра</v>
      </c>
      <c r="M428" s="24">
        <f t="shared" si="26"/>
        <v>-8.0556221529609284E-2</v>
      </c>
      <c r="N428" s="29">
        <f t="shared" si="27"/>
        <v>320.84615384615387</v>
      </c>
      <c r="O428" s="32">
        <f>VLOOKUP(H428,клиенты!$A$2:$G$435,5,FALSE)</f>
        <v>44584</v>
      </c>
      <c r="P428">
        <f>Продажи[[#This Row],[дата создания чека]]-Продажи[[#This Row],[Дата регистрации клиента]]</f>
        <v>752</v>
      </c>
      <c r="Q428" t="str">
        <f>VLOOKUP(H428,Таблица3[],7,FALSE)</f>
        <v>Россия</v>
      </c>
    </row>
    <row r="429" spans="1:17" x14ac:dyDescent="0.3">
      <c r="A429">
        <v>428</v>
      </c>
      <c r="B429">
        <v>401</v>
      </c>
      <c r="C429">
        <v>78</v>
      </c>
      <c r="D429">
        <v>3</v>
      </c>
      <c r="E429">
        <v>234</v>
      </c>
      <c r="F429" s="32">
        <v>44986</v>
      </c>
      <c r="G429" t="s">
        <v>10</v>
      </c>
      <c r="H429">
        <v>395</v>
      </c>
      <c r="I429" t="str">
        <f>VLOOKUP(B429,товар!$A$1:$C$433,2,FALSE)</f>
        <v>Чай</v>
      </c>
      <c r="J429" s="22">
        <f t="shared" si="24"/>
        <v>271.18181818181819</v>
      </c>
      <c r="K429" s="24">
        <f t="shared" si="25"/>
        <v>-0.71237009721756617</v>
      </c>
      <c r="L429" t="str">
        <f>VLOOKUP(B429,товар!$A$1:$C$433,3,FALSE)</f>
        <v>Greenfield</v>
      </c>
      <c r="M429" s="24">
        <f t="shared" si="26"/>
        <v>-0.73237679351216467</v>
      </c>
      <c r="N429" s="29">
        <f t="shared" si="27"/>
        <v>291.45454545454544</v>
      </c>
      <c r="O429" s="32">
        <f>VLOOKUP(H429,клиенты!$A$2:$G$435,5,FALSE)</f>
        <v>44890</v>
      </c>
      <c r="P429">
        <f>Продажи[[#This Row],[дата создания чека]]-Продажи[[#This Row],[Дата регистрации клиента]]</f>
        <v>96</v>
      </c>
      <c r="Q429" t="str">
        <f>VLOOKUP(H429,Таблица3[],7,FALSE)</f>
        <v>Узбекистан</v>
      </c>
    </row>
    <row r="430" spans="1:17" x14ac:dyDescent="0.3">
      <c r="A430">
        <v>429</v>
      </c>
      <c r="B430">
        <v>348</v>
      </c>
      <c r="C430">
        <v>162</v>
      </c>
      <c r="D430">
        <v>2</v>
      </c>
      <c r="E430">
        <v>324</v>
      </c>
      <c r="F430" s="32">
        <v>44931</v>
      </c>
      <c r="G430" t="s">
        <v>19</v>
      </c>
      <c r="H430">
        <v>107</v>
      </c>
      <c r="I430" t="str">
        <f>VLOOKUP(B430,товар!$A$1:$C$433,2,FALSE)</f>
        <v>Чипсы</v>
      </c>
      <c r="J430" s="22">
        <f t="shared" si="24"/>
        <v>273.72549019607845</v>
      </c>
      <c r="K430" s="24">
        <f t="shared" si="25"/>
        <v>-0.40816618911174785</v>
      </c>
      <c r="L430" t="str">
        <f>VLOOKUP(B430,товар!$A$1:$C$433,3,FALSE)</f>
        <v>Estrella</v>
      </c>
      <c r="M430" s="24">
        <f t="shared" si="26"/>
        <v>-0.39160122908842598</v>
      </c>
      <c r="N430" s="29">
        <f t="shared" si="27"/>
        <v>266.27272727272725</v>
      </c>
      <c r="O430" s="32">
        <f>VLOOKUP(H430,клиенты!$A$2:$G$435,5,FALSE)</f>
        <v>44744</v>
      </c>
      <c r="P430">
        <f>Продажи[[#This Row],[дата создания чека]]-Продажи[[#This Row],[Дата регистрации клиента]]</f>
        <v>187</v>
      </c>
      <c r="Q430" t="str">
        <f>VLOOKUP(H430,Таблица3[],7,FALSE)</f>
        <v>Таджикистан</v>
      </c>
    </row>
    <row r="431" spans="1:17" x14ac:dyDescent="0.3">
      <c r="A431">
        <v>430</v>
      </c>
      <c r="B431">
        <v>382</v>
      </c>
      <c r="C431">
        <v>278</v>
      </c>
      <c r="D431">
        <v>2</v>
      </c>
      <c r="E431">
        <v>556</v>
      </c>
      <c r="F431" s="32">
        <v>45198</v>
      </c>
      <c r="G431" t="s">
        <v>25</v>
      </c>
      <c r="H431">
        <v>103</v>
      </c>
      <c r="I431" t="str">
        <f>VLOOKUP(B431,товар!$A$1:$C$433,2,FALSE)</f>
        <v>Овощи</v>
      </c>
      <c r="J431" s="22">
        <f t="shared" si="24"/>
        <v>250.48780487804879</v>
      </c>
      <c r="K431" s="24">
        <f t="shared" si="25"/>
        <v>0.10983446932814012</v>
      </c>
      <c r="L431" t="str">
        <f>VLOOKUP(B431,товар!$A$1:$C$433,3,FALSE)</f>
        <v>Овощной ряд</v>
      </c>
      <c r="M431" s="24">
        <f t="shared" si="26"/>
        <v>-8.499515972894478E-2</v>
      </c>
      <c r="N431" s="29">
        <f t="shared" si="27"/>
        <v>303.8235294117647</v>
      </c>
      <c r="O431" s="32">
        <f>VLOOKUP(H431,клиенты!$A$2:$G$435,5,FALSE)</f>
        <v>44787</v>
      </c>
      <c r="P431">
        <f>Продажи[[#This Row],[дата создания чека]]-Продажи[[#This Row],[Дата регистрации клиента]]</f>
        <v>411</v>
      </c>
      <c r="Q431" t="str">
        <f>VLOOKUP(H431,Таблица3[],7,FALSE)</f>
        <v>Узбекистан</v>
      </c>
    </row>
    <row r="432" spans="1:17" x14ac:dyDescent="0.3">
      <c r="A432">
        <v>431</v>
      </c>
      <c r="B432">
        <v>477</v>
      </c>
      <c r="C432">
        <v>420</v>
      </c>
      <c r="D432">
        <v>1</v>
      </c>
      <c r="E432">
        <v>420</v>
      </c>
      <c r="F432" s="32">
        <v>45232</v>
      </c>
      <c r="G432" t="s">
        <v>11</v>
      </c>
      <c r="H432">
        <v>221</v>
      </c>
      <c r="I432" t="str">
        <f>VLOOKUP(B432,товар!$A$1:$C$433,2,FALSE)</f>
        <v>Макароны</v>
      </c>
      <c r="J432" s="22">
        <f t="shared" si="24"/>
        <v>265.47674418604652</v>
      </c>
      <c r="K432" s="24">
        <f t="shared" si="25"/>
        <v>0.58205948053085721</v>
      </c>
      <c r="L432" t="str">
        <f>VLOOKUP(B432,товар!$A$1:$C$433,3,FALSE)</f>
        <v>Борилла</v>
      </c>
      <c r="M432" s="24">
        <f t="shared" si="26"/>
        <v>0.77758318739054277</v>
      </c>
      <c r="N432" s="29">
        <f t="shared" si="27"/>
        <v>236.27586206896552</v>
      </c>
      <c r="O432" s="32">
        <f>VLOOKUP(H432,клиенты!$A$2:$G$435,5,FALSE)</f>
        <v>44820</v>
      </c>
      <c r="P432">
        <f>Продажи[[#This Row],[дата создания чека]]-Продажи[[#This Row],[Дата регистрации клиента]]</f>
        <v>412</v>
      </c>
      <c r="Q432" t="str">
        <f>VLOOKUP(H432,Таблица3[],7,FALSE)</f>
        <v>Таджикистан</v>
      </c>
    </row>
    <row r="433" spans="1:17" x14ac:dyDescent="0.3">
      <c r="A433">
        <v>432</v>
      </c>
      <c r="B433">
        <v>91</v>
      </c>
      <c r="C433">
        <v>413</v>
      </c>
      <c r="D433">
        <v>2</v>
      </c>
      <c r="E433">
        <v>826</v>
      </c>
      <c r="F433" s="32">
        <v>45183</v>
      </c>
      <c r="G433" t="s">
        <v>19</v>
      </c>
      <c r="H433">
        <v>31</v>
      </c>
      <c r="I433" t="str">
        <f>VLOOKUP(B433,товар!$A$1:$C$433,2,FALSE)</f>
        <v>Сыр</v>
      </c>
      <c r="J433" s="22">
        <f t="shared" si="24"/>
        <v>262.63492063492066</v>
      </c>
      <c r="K433" s="24">
        <f t="shared" si="25"/>
        <v>0.57252508159071658</v>
      </c>
      <c r="L433" t="str">
        <f>VLOOKUP(B433,товар!$A$1:$C$433,3,FALSE)</f>
        <v>Сырная долина</v>
      </c>
      <c r="M433" s="24">
        <f t="shared" si="26"/>
        <v>0.52398523985239853</v>
      </c>
      <c r="N433" s="29">
        <f t="shared" si="27"/>
        <v>271</v>
      </c>
      <c r="O433" s="32">
        <f>VLOOKUP(H433,клиенты!$A$2:$G$435,5,FALSE)</f>
        <v>44580</v>
      </c>
      <c r="P433">
        <f>Продажи[[#This Row],[дата создания чека]]-Продажи[[#This Row],[Дата регистрации клиента]]</f>
        <v>603</v>
      </c>
      <c r="Q433" t="str">
        <f>VLOOKUP(H433,Таблица3[],7,FALSE)</f>
        <v>Украина</v>
      </c>
    </row>
    <row r="434" spans="1:17" x14ac:dyDescent="0.3">
      <c r="A434">
        <v>433</v>
      </c>
      <c r="B434">
        <v>52</v>
      </c>
      <c r="C434">
        <v>272</v>
      </c>
      <c r="D434">
        <v>3</v>
      </c>
      <c r="E434">
        <v>816</v>
      </c>
      <c r="F434" s="32">
        <v>45377</v>
      </c>
      <c r="G434" t="s">
        <v>9</v>
      </c>
      <c r="H434">
        <v>306</v>
      </c>
      <c r="I434" t="str">
        <f>VLOOKUP(B434,товар!$A$1:$C$433,2,FALSE)</f>
        <v>Соль</v>
      </c>
      <c r="J434" s="22">
        <f t="shared" si="24"/>
        <v>264.8679245283019</v>
      </c>
      <c r="K434" s="24">
        <f t="shared" si="25"/>
        <v>2.6926912665621749E-2</v>
      </c>
      <c r="L434" t="str">
        <f>VLOOKUP(B434,товар!$A$1:$C$433,3,FALSE)</f>
        <v>Илецкая</v>
      </c>
      <c r="M434" s="24">
        <f t="shared" si="26"/>
        <v>0.14205738278516455</v>
      </c>
      <c r="N434" s="29">
        <f t="shared" si="27"/>
        <v>238.16666666666666</v>
      </c>
      <c r="O434" s="32">
        <f>VLOOKUP(H434,клиенты!$A$2:$G$435,5,FALSE)</f>
        <v>44872</v>
      </c>
      <c r="P434">
        <f>Продажи[[#This Row],[дата создания чека]]-Продажи[[#This Row],[Дата регистрации клиента]]</f>
        <v>505</v>
      </c>
      <c r="Q434" t="str">
        <f>VLOOKUP(H434,Таблица3[],7,FALSE)</f>
        <v>Украина</v>
      </c>
    </row>
    <row r="435" spans="1:17" x14ac:dyDescent="0.3">
      <c r="A435">
        <v>434</v>
      </c>
      <c r="B435">
        <v>438</v>
      </c>
      <c r="C435">
        <v>435</v>
      </c>
      <c r="D435">
        <v>1</v>
      </c>
      <c r="E435">
        <v>435</v>
      </c>
      <c r="F435" s="32">
        <v>45142</v>
      </c>
      <c r="G435" t="s">
        <v>27</v>
      </c>
      <c r="H435">
        <v>383</v>
      </c>
      <c r="I435" t="str">
        <f>VLOOKUP(B435,товар!$A$1:$C$433,2,FALSE)</f>
        <v>Кофе</v>
      </c>
      <c r="J435" s="22">
        <f t="shared" si="24"/>
        <v>249.02380952380952</v>
      </c>
      <c r="K435" s="24">
        <f t="shared" si="25"/>
        <v>0.74682091978200593</v>
      </c>
      <c r="L435" t="str">
        <f>VLOOKUP(B435,товар!$A$1:$C$433,3,FALSE)</f>
        <v>Nescafe</v>
      </c>
      <c r="M435" s="24">
        <f t="shared" si="26"/>
        <v>0.69326586220319197</v>
      </c>
      <c r="N435" s="29">
        <f t="shared" si="27"/>
        <v>256.89999999999998</v>
      </c>
      <c r="O435" s="32">
        <f>VLOOKUP(H435,клиенты!$A$2:$G$435,5,FALSE)</f>
        <v>44876</v>
      </c>
      <c r="P435">
        <f>Продажи[[#This Row],[дата создания чека]]-Продажи[[#This Row],[Дата регистрации клиента]]</f>
        <v>266</v>
      </c>
      <c r="Q435" t="str">
        <f>VLOOKUP(H435,Таблица3[],7,FALSE)</f>
        <v>Украина</v>
      </c>
    </row>
    <row r="436" spans="1:17" x14ac:dyDescent="0.3">
      <c r="A436">
        <v>435</v>
      </c>
      <c r="B436">
        <v>384</v>
      </c>
      <c r="C436">
        <v>303</v>
      </c>
      <c r="D436">
        <v>2</v>
      </c>
      <c r="E436">
        <v>606</v>
      </c>
      <c r="F436" s="32">
        <v>45151</v>
      </c>
      <c r="G436" t="s">
        <v>14</v>
      </c>
      <c r="H436">
        <v>235</v>
      </c>
      <c r="I436" t="str">
        <f>VLOOKUP(B436,товар!$A$1:$C$433,2,FALSE)</f>
        <v>Сахар</v>
      </c>
      <c r="J436" s="22">
        <f t="shared" si="24"/>
        <v>252.76271186440678</v>
      </c>
      <c r="K436" s="24">
        <f t="shared" si="25"/>
        <v>0.1987527660430497</v>
      </c>
      <c r="L436" t="str">
        <f>VLOOKUP(B436,товар!$A$1:$C$433,3,FALSE)</f>
        <v>Сладов</v>
      </c>
      <c r="M436" s="24">
        <f t="shared" si="26"/>
        <v>0.26109877913429513</v>
      </c>
      <c r="N436" s="29">
        <f t="shared" si="27"/>
        <v>240.26666666666668</v>
      </c>
      <c r="O436" s="32">
        <f>VLOOKUP(H436,клиенты!$A$2:$G$435,5,FALSE)</f>
        <v>44635</v>
      </c>
      <c r="P436">
        <f>Продажи[[#This Row],[дата создания чека]]-Продажи[[#This Row],[Дата регистрации клиента]]</f>
        <v>516</v>
      </c>
      <c r="Q436" t="str">
        <f>VLOOKUP(H436,Таблица3[],7,FALSE)</f>
        <v>Узбекистан</v>
      </c>
    </row>
    <row r="437" spans="1:17" x14ac:dyDescent="0.3">
      <c r="A437">
        <v>436</v>
      </c>
      <c r="B437">
        <v>473</v>
      </c>
      <c r="C437">
        <v>231</v>
      </c>
      <c r="D437">
        <v>3</v>
      </c>
      <c r="E437">
        <v>693</v>
      </c>
      <c r="F437" s="32">
        <v>45074</v>
      </c>
      <c r="G437" t="s">
        <v>11</v>
      </c>
      <c r="H437">
        <v>448</v>
      </c>
      <c r="I437" t="str">
        <f>VLOOKUP(B437,товар!$A$1:$C$433,2,FALSE)</f>
        <v>Хлеб</v>
      </c>
      <c r="J437" s="22">
        <f t="shared" si="24"/>
        <v>300.31818181818181</v>
      </c>
      <c r="K437" s="24">
        <f t="shared" si="25"/>
        <v>-0.2308158014227335</v>
      </c>
      <c r="L437" t="str">
        <f>VLOOKUP(B437,товар!$A$1:$C$433,3,FALSE)</f>
        <v>Хлебный Дом</v>
      </c>
      <c r="M437" s="24">
        <f t="shared" si="26"/>
        <v>-0.18007572172266928</v>
      </c>
      <c r="N437" s="29">
        <f t="shared" si="27"/>
        <v>281.73333333333335</v>
      </c>
      <c r="O437" s="32">
        <f>VLOOKUP(H437,клиенты!$A$2:$G$435,5,FALSE)</f>
        <v>44770</v>
      </c>
      <c r="P437">
        <f>Продажи[[#This Row],[дата создания чека]]-Продажи[[#This Row],[Дата регистрации клиента]]</f>
        <v>304</v>
      </c>
      <c r="Q437" t="str">
        <f>VLOOKUP(H437,Таблица3[],7,FALSE)</f>
        <v>Россия</v>
      </c>
    </row>
    <row r="438" spans="1:17" x14ac:dyDescent="0.3">
      <c r="A438">
        <v>437</v>
      </c>
      <c r="B438">
        <v>383</v>
      </c>
      <c r="C438">
        <v>429</v>
      </c>
      <c r="D438">
        <v>4</v>
      </c>
      <c r="E438">
        <v>1716</v>
      </c>
      <c r="F438" s="32">
        <v>45120</v>
      </c>
      <c r="G438" t="s">
        <v>20</v>
      </c>
      <c r="H438">
        <v>367</v>
      </c>
      <c r="I438" t="str">
        <f>VLOOKUP(B438,товар!$A$1:$C$433,2,FALSE)</f>
        <v>Фрукты</v>
      </c>
      <c r="J438" s="22">
        <f t="shared" si="24"/>
        <v>274.16279069767444</v>
      </c>
      <c r="K438" s="24">
        <f t="shared" si="25"/>
        <v>0.56476376282975638</v>
      </c>
      <c r="L438" t="str">
        <f>VLOOKUP(B438,товар!$A$1:$C$433,3,FALSE)</f>
        <v>Фруктовый Рай</v>
      </c>
      <c r="M438" s="24">
        <f t="shared" si="26"/>
        <v>0.66081000595592609</v>
      </c>
      <c r="N438" s="29">
        <f t="shared" si="27"/>
        <v>258.30769230769232</v>
      </c>
      <c r="O438" s="32">
        <f>VLOOKUP(H438,клиенты!$A$2:$G$435,5,FALSE)</f>
        <v>44867</v>
      </c>
      <c r="P438">
        <f>Продажи[[#This Row],[дата создания чека]]-Продажи[[#This Row],[Дата регистрации клиента]]</f>
        <v>253</v>
      </c>
      <c r="Q438" t="str">
        <f>VLOOKUP(H438,Таблица3[],7,FALSE)</f>
        <v>Таджикистан</v>
      </c>
    </row>
    <row r="439" spans="1:17" x14ac:dyDescent="0.3">
      <c r="A439">
        <v>438</v>
      </c>
      <c r="B439">
        <v>406</v>
      </c>
      <c r="C439">
        <v>87</v>
      </c>
      <c r="D439">
        <v>2</v>
      </c>
      <c r="E439">
        <v>174</v>
      </c>
      <c r="F439" s="32">
        <v>45066</v>
      </c>
      <c r="G439" t="s">
        <v>19</v>
      </c>
      <c r="H439">
        <v>255</v>
      </c>
      <c r="I439" t="str">
        <f>VLOOKUP(B439,товар!$A$1:$C$433,2,FALSE)</f>
        <v>Сок</v>
      </c>
      <c r="J439" s="22">
        <f t="shared" si="24"/>
        <v>268.60344827586209</v>
      </c>
      <c r="K439" s="24">
        <f t="shared" si="25"/>
        <v>-0.676102445599846</v>
      </c>
      <c r="L439" t="str">
        <f>VLOOKUP(B439,товар!$A$1:$C$433,3,FALSE)</f>
        <v>Фруктовый сад</v>
      </c>
      <c r="M439" s="24">
        <f t="shared" si="26"/>
        <v>-0.69145517012080238</v>
      </c>
      <c r="N439" s="29">
        <f t="shared" si="27"/>
        <v>281.96875</v>
      </c>
      <c r="O439" s="32">
        <f>VLOOKUP(H439,клиенты!$A$2:$G$435,5,FALSE)</f>
        <v>44793</v>
      </c>
      <c r="P439">
        <f>Продажи[[#This Row],[дата создания чека]]-Продажи[[#This Row],[Дата регистрации клиента]]</f>
        <v>273</v>
      </c>
      <c r="Q439" t="str">
        <f>VLOOKUP(H439,Таблица3[],7,FALSE)</f>
        <v>Украина</v>
      </c>
    </row>
    <row r="440" spans="1:17" x14ac:dyDescent="0.3">
      <c r="A440">
        <v>439</v>
      </c>
      <c r="B440">
        <v>252</v>
      </c>
      <c r="C440">
        <v>50</v>
      </c>
      <c r="D440">
        <v>1</v>
      </c>
      <c r="E440">
        <v>50</v>
      </c>
      <c r="F440" s="32">
        <v>44960</v>
      </c>
      <c r="G440" t="s">
        <v>15</v>
      </c>
      <c r="H440">
        <v>138</v>
      </c>
      <c r="I440" t="str">
        <f>VLOOKUP(B440,товар!$A$1:$C$433,2,FALSE)</f>
        <v>Чай</v>
      </c>
      <c r="J440" s="22">
        <f t="shared" si="24"/>
        <v>271.18181818181819</v>
      </c>
      <c r="K440" s="24">
        <f t="shared" si="25"/>
        <v>-0.81562185719074753</v>
      </c>
      <c r="L440" t="str">
        <f>VLOOKUP(B440,товар!$A$1:$C$433,3,FALSE)</f>
        <v>Lipton</v>
      </c>
      <c r="M440" s="24">
        <f t="shared" si="26"/>
        <v>-0.80780902286061096</v>
      </c>
      <c r="N440" s="29">
        <f t="shared" si="27"/>
        <v>260.15789473684208</v>
      </c>
      <c r="O440" s="32">
        <f>VLOOKUP(H440,клиенты!$A$2:$G$435,5,FALSE)</f>
        <v>44723</v>
      </c>
      <c r="P440">
        <f>Продажи[[#This Row],[дата создания чека]]-Продажи[[#This Row],[Дата регистрации клиента]]</f>
        <v>237</v>
      </c>
      <c r="Q440" t="str">
        <f>VLOOKUP(H440,Таблица3[],7,FALSE)</f>
        <v>Украина</v>
      </c>
    </row>
    <row r="441" spans="1:17" x14ac:dyDescent="0.3">
      <c r="A441">
        <v>440</v>
      </c>
      <c r="B441">
        <v>365</v>
      </c>
      <c r="C441">
        <v>127</v>
      </c>
      <c r="D441">
        <v>1</v>
      </c>
      <c r="E441">
        <v>127</v>
      </c>
      <c r="F441" s="32">
        <v>45351</v>
      </c>
      <c r="G441" t="s">
        <v>19</v>
      </c>
      <c r="H441">
        <v>158</v>
      </c>
      <c r="I441" t="str">
        <f>VLOOKUP(B441,товар!$A$1:$C$433,2,FALSE)</f>
        <v>Мясо</v>
      </c>
      <c r="J441" s="22">
        <f t="shared" si="24"/>
        <v>271.74545454545455</v>
      </c>
      <c r="K441" s="24">
        <f t="shared" si="25"/>
        <v>-0.53265087648869258</v>
      </c>
      <c r="L441" t="str">
        <f>VLOOKUP(B441,товар!$A$1:$C$433,3,FALSE)</f>
        <v>Агрокомплекс</v>
      </c>
      <c r="M441" s="24">
        <f t="shared" si="26"/>
        <v>-0.5919023136246786</v>
      </c>
      <c r="N441" s="29">
        <f t="shared" si="27"/>
        <v>311.2</v>
      </c>
      <c r="O441" s="32">
        <f>VLOOKUP(H441,клиенты!$A$2:$G$435,5,FALSE)</f>
        <v>44752</v>
      </c>
      <c r="P441">
        <f>Продажи[[#This Row],[дата создания чека]]-Продажи[[#This Row],[Дата регистрации клиента]]</f>
        <v>599</v>
      </c>
      <c r="Q441" t="str">
        <f>VLOOKUP(H441,Таблица3[],7,FALSE)</f>
        <v>Узбекистан</v>
      </c>
    </row>
    <row r="442" spans="1:17" x14ac:dyDescent="0.3">
      <c r="A442">
        <v>441</v>
      </c>
      <c r="B442">
        <v>420</v>
      </c>
      <c r="C442">
        <v>390</v>
      </c>
      <c r="D442">
        <v>3</v>
      </c>
      <c r="E442">
        <v>1170</v>
      </c>
      <c r="F442" s="32">
        <v>45183</v>
      </c>
      <c r="G442" t="s">
        <v>9</v>
      </c>
      <c r="H442">
        <v>217</v>
      </c>
      <c r="I442" t="str">
        <f>VLOOKUP(B442,товар!$A$1:$C$433,2,FALSE)</f>
        <v>Хлеб</v>
      </c>
      <c r="J442" s="22">
        <f t="shared" si="24"/>
        <v>300.31818181818181</v>
      </c>
      <c r="K442" s="24">
        <f t="shared" si="25"/>
        <v>0.29862267292265776</v>
      </c>
      <c r="L442" t="str">
        <f>VLOOKUP(B442,товар!$A$1:$C$433,3,FALSE)</f>
        <v>Хлебный Дом</v>
      </c>
      <c r="M442" s="24">
        <f t="shared" si="26"/>
        <v>0.38428774254614284</v>
      </c>
      <c r="N442" s="29">
        <f t="shared" si="27"/>
        <v>281.73333333333335</v>
      </c>
      <c r="O442" s="32">
        <f>VLOOKUP(H442,клиенты!$A$2:$G$435,5,FALSE)</f>
        <v>44826</v>
      </c>
      <c r="P442">
        <f>Продажи[[#This Row],[дата создания чека]]-Продажи[[#This Row],[Дата регистрации клиента]]</f>
        <v>357</v>
      </c>
      <c r="Q442" t="str">
        <f>VLOOKUP(H442,Таблица3[],7,FALSE)</f>
        <v>Россия</v>
      </c>
    </row>
    <row r="443" spans="1:17" x14ac:dyDescent="0.3">
      <c r="A443">
        <v>442</v>
      </c>
      <c r="B443">
        <v>97</v>
      </c>
      <c r="C443">
        <v>298</v>
      </c>
      <c r="D443">
        <v>2</v>
      </c>
      <c r="E443">
        <v>596</v>
      </c>
      <c r="F443" s="32">
        <v>45102</v>
      </c>
      <c r="G443" t="s">
        <v>17</v>
      </c>
      <c r="H443">
        <v>102</v>
      </c>
      <c r="I443" t="str">
        <f>VLOOKUP(B443,товар!$A$1:$C$433,2,FALSE)</f>
        <v>Печенье</v>
      </c>
      <c r="J443" s="22">
        <f t="shared" si="24"/>
        <v>283.468085106383</v>
      </c>
      <c r="K443" s="24">
        <f t="shared" si="25"/>
        <v>5.1264730165878403E-2</v>
      </c>
      <c r="L443" t="str">
        <f>VLOOKUP(B443,товар!$A$1:$C$433,3,FALSE)</f>
        <v>КДВ</v>
      </c>
      <c r="M443" s="24">
        <f t="shared" si="26"/>
        <v>-7.7619047619047699E-2</v>
      </c>
      <c r="N443" s="29">
        <f t="shared" si="27"/>
        <v>323.07692307692309</v>
      </c>
      <c r="O443" s="32">
        <f>VLOOKUP(H443,клиенты!$A$2:$G$435,5,FALSE)</f>
        <v>44723</v>
      </c>
      <c r="P443">
        <f>Продажи[[#This Row],[дата создания чека]]-Продажи[[#This Row],[Дата регистрации клиента]]</f>
        <v>379</v>
      </c>
      <c r="Q443" t="str">
        <f>VLOOKUP(H443,Таблица3[],7,FALSE)</f>
        <v>Узбекистан</v>
      </c>
    </row>
    <row r="444" spans="1:17" x14ac:dyDescent="0.3">
      <c r="A444">
        <v>443</v>
      </c>
      <c r="B444">
        <v>217</v>
      </c>
      <c r="C444">
        <v>471</v>
      </c>
      <c r="D444">
        <v>3</v>
      </c>
      <c r="E444">
        <v>1413</v>
      </c>
      <c r="F444" s="32">
        <v>45206</v>
      </c>
      <c r="G444" t="s">
        <v>14</v>
      </c>
      <c r="H444">
        <v>425</v>
      </c>
      <c r="I444" t="str">
        <f>VLOOKUP(B444,товар!$A$1:$C$433,2,FALSE)</f>
        <v>Мясо</v>
      </c>
      <c r="J444" s="22">
        <f t="shared" si="24"/>
        <v>271.74545454545455</v>
      </c>
      <c r="K444" s="24">
        <f t="shared" si="25"/>
        <v>0.73323966278602959</v>
      </c>
      <c r="L444" t="str">
        <f>VLOOKUP(B444,товар!$A$1:$C$433,3,FALSE)</f>
        <v>Агрокомплекс</v>
      </c>
      <c r="M444" s="24">
        <f t="shared" si="26"/>
        <v>0.513496143958869</v>
      </c>
      <c r="N444" s="29">
        <f t="shared" si="27"/>
        <v>311.2</v>
      </c>
      <c r="O444" s="32">
        <f>VLOOKUP(H444,клиенты!$A$2:$G$435,5,FALSE)</f>
        <v>44782</v>
      </c>
      <c r="P444">
        <f>Продажи[[#This Row],[дата создания чека]]-Продажи[[#This Row],[Дата регистрации клиента]]</f>
        <v>424</v>
      </c>
      <c r="Q444" t="str">
        <f>VLOOKUP(H444,Таблица3[],7,FALSE)</f>
        <v>Узбекистан</v>
      </c>
    </row>
    <row r="445" spans="1:17" x14ac:dyDescent="0.3">
      <c r="A445">
        <v>444</v>
      </c>
      <c r="B445">
        <v>47</v>
      </c>
      <c r="C445">
        <v>315</v>
      </c>
      <c r="D445">
        <v>3</v>
      </c>
      <c r="E445">
        <v>945</v>
      </c>
      <c r="F445" s="32">
        <v>45362</v>
      </c>
      <c r="G445" t="s">
        <v>22</v>
      </c>
      <c r="H445">
        <v>140</v>
      </c>
      <c r="I445" t="str">
        <f>VLOOKUP(B445,товар!$A$1:$C$433,2,FALSE)</f>
        <v>Мясо</v>
      </c>
      <c r="J445" s="22">
        <f t="shared" si="24"/>
        <v>271.74545454545455</v>
      </c>
      <c r="K445" s="24">
        <f t="shared" si="25"/>
        <v>0.15917302288237645</v>
      </c>
      <c r="L445" t="str">
        <f>VLOOKUP(B445,товар!$A$1:$C$433,3,FALSE)</f>
        <v>Снежана</v>
      </c>
      <c r="M445" s="24">
        <f t="shared" si="26"/>
        <v>0.15658747300215969</v>
      </c>
      <c r="N445" s="29">
        <f t="shared" si="27"/>
        <v>272.35294117647061</v>
      </c>
      <c r="O445" s="32">
        <f>VLOOKUP(H445,клиенты!$A$2:$G$435,5,FALSE)</f>
        <v>44627</v>
      </c>
      <c r="P445">
        <f>Продажи[[#This Row],[дата создания чека]]-Продажи[[#This Row],[Дата регистрации клиента]]</f>
        <v>735</v>
      </c>
      <c r="Q445" t="str">
        <f>VLOOKUP(H445,Таблица3[],7,FALSE)</f>
        <v>Россия</v>
      </c>
    </row>
    <row r="446" spans="1:17" x14ac:dyDescent="0.3">
      <c r="A446">
        <v>445</v>
      </c>
      <c r="B446">
        <v>346</v>
      </c>
      <c r="C446">
        <v>267</v>
      </c>
      <c r="D446">
        <v>3</v>
      </c>
      <c r="E446">
        <v>801</v>
      </c>
      <c r="F446" s="32">
        <v>45406</v>
      </c>
      <c r="G446" t="s">
        <v>21</v>
      </c>
      <c r="H446">
        <v>385</v>
      </c>
      <c r="I446" t="str">
        <f>VLOOKUP(B446,товар!$A$1:$C$433,2,FALSE)</f>
        <v>Чай</v>
      </c>
      <c r="J446" s="22">
        <f t="shared" si="24"/>
        <v>271.18181818181819</v>
      </c>
      <c r="K446" s="24">
        <f t="shared" si="25"/>
        <v>-1.5420717398592076E-2</v>
      </c>
      <c r="L446" t="str">
        <f>VLOOKUP(B446,товар!$A$1:$C$433,3,FALSE)</f>
        <v>Greenfield</v>
      </c>
      <c r="M446" s="24">
        <f t="shared" si="26"/>
        <v>-8.3905177791640639E-2</v>
      </c>
      <c r="N446" s="29">
        <f t="shared" si="27"/>
        <v>291.45454545454544</v>
      </c>
      <c r="O446" s="32">
        <f>VLOOKUP(H446,клиенты!$A$2:$G$435,5,FALSE)</f>
        <v>44753</v>
      </c>
      <c r="P446">
        <f>Продажи[[#This Row],[дата создания чека]]-Продажи[[#This Row],[Дата регистрации клиента]]</f>
        <v>653</v>
      </c>
      <c r="Q446" t="str">
        <f>VLOOKUP(H446,Таблица3[],7,FALSE)</f>
        <v>Украина</v>
      </c>
    </row>
    <row r="447" spans="1:17" x14ac:dyDescent="0.3">
      <c r="A447">
        <v>446</v>
      </c>
      <c r="B447">
        <v>47</v>
      </c>
      <c r="C447">
        <v>476</v>
      </c>
      <c r="D447">
        <v>4</v>
      </c>
      <c r="E447">
        <v>1904</v>
      </c>
      <c r="F447" s="32">
        <v>45425</v>
      </c>
      <c r="G447" t="s">
        <v>13</v>
      </c>
      <c r="H447">
        <v>43</v>
      </c>
      <c r="I447" t="str">
        <f>VLOOKUP(B447,товар!$A$1:$C$433,2,FALSE)</f>
        <v>Мясо</v>
      </c>
      <c r="J447" s="22">
        <f t="shared" si="24"/>
        <v>271.74545454545455</v>
      </c>
      <c r="K447" s="24">
        <f t="shared" si="25"/>
        <v>0.75163923457781334</v>
      </c>
      <c r="L447" t="str">
        <f>VLOOKUP(B447,товар!$A$1:$C$433,3,FALSE)</f>
        <v>Снежана</v>
      </c>
      <c r="M447" s="24">
        <f t="shared" si="26"/>
        <v>0.74773218142548581</v>
      </c>
      <c r="N447" s="29">
        <f t="shared" si="27"/>
        <v>272.35294117647061</v>
      </c>
      <c r="O447" s="32">
        <f>VLOOKUP(H447,клиенты!$A$2:$G$435,5,FALSE)</f>
        <v>44912</v>
      </c>
      <c r="P447">
        <f>Продажи[[#This Row],[дата создания чека]]-Продажи[[#This Row],[Дата регистрации клиента]]</f>
        <v>513</v>
      </c>
      <c r="Q447" t="str">
        <f>VLOOKUP(H447,Таблица3[],7,FALSE)</f>
        <v>Россия</v>
      </c>
    </row>
    <row r="448" spans="1:17" x14ac:dyDescent="0.3">
      <c r="A448">
        <v>447</v>
      </c>
      <c r="B448">
        <v>290</v>
      </c>
      <c r="C448">
        <v>97</v>
      </c>
      <c r="D448">
        <v>4</v>
      </c>
      <c r="E448">
        <v>388</v>
      </c>
      <c r="F448" s="32">
        <v>45256</v>
      </c>
      <c r="G448" t="s">
        <v>19</v>
      </c>
      <c r="H448">
        <v>326</v>
      </c>
      <c r="I448" t="str">
        <f>VLOOKUP(B448,товар!$A$1:$C$433,2,FALSE)</f>
        <v>Сахар</v>
      </c>
      <c r="J448" s="22">
        <f t="shared" si="24"/>
        <v>252.76271186440678</v>
      </c>
      <c r="K448" s="24">
        <f t="shared" si="25"/>
        <v>-0.6162408636759874</v>
      </c>
      <c r="L448" t="str">
        <f>VLOOKUP(B448,товар!$A$1:$C$433,3,FALSE)</f>
        <v>Продимекс</v>
      </c>
      <c r="M448" s="24">
        <f t="shared" si="26"/>
        <v>-0.59667359667359665</v>
      </c>
      <c r="N448" s="29">
        <f t="shared" si="27"/>
        <v>240.5</v>
      </c>
      <c r="O448" s="32">
        <f>VLOOKUP(H448,клиенты!$A$2:$G$435,5,FALSE)</f>
        <v>44655</v>
      </c>
      <c r="P448">
        <f>Продажи[[#This Row],[дата создания чека]]-Продажи[[#This Row],[Дата регистрации клиента]]</f>
        <v>601</v>
      </c>
      <c r="Q448" t="str">
        <f>VLOOKUP(H448,Таблица3[],7,FALSE)</f>
        <v>Россия</v>
      </c>
    </row>
    <row r="449" spans="1:17" x14ac:dyDescent="0.3">
      <c r="A449">
        <v>448</v>
      </c>
      <c r="B449">
        <v>484</v>
      </c>
      <c r="C449">
        <v>114</v>
      </c>
      <c r="D449">
        <v>1</v>
      </c>
      <c r="E449">
        <v>114</v>
      </c>
      <c r="F449" s="32">
        <v>45007</v>
      </c>
      <c r="G449" t="s">
        <v>27</v>
      </c>
      <c r="H449">
        <v>402</v>
      </c>
      <c r="I449" t="str">
        <f>VLOOKUP(B449,товар!$A$1:$C$433,2,FALSE)</f>
        <v>Печенье</v>
      </c>
      <c r="J449" s="22">
        <f t="shared" si="24"/>
        <v>283.468085106383</v>
      </c>
      <c r="K449" s="24">
        <f t="shared" si="25"/>
        <v>-0.59783832470164389</v>
      </c>
      <c r="L449" t="str">
        <f>VLOOKUP(B449,товар!$A$1:$C$433,3,FALSE)</f>
        <v>КДВ</v>
      </c>
      <c r="M449" s="24">
        <f t="shared" si="26"/>
        <v>-0.64714285714285724</v>
      </c>
      <c r="N449" s="29">
        <f t="shared" si="27"/>
        <v>323.07692307692309</v>
      </c>
      <c r="O449" s="32">
        <f>VLOOKUP(H449,клиенты!$A$2:$G$435,5,FALSE)</f>
        <v>44742</v>
      </c>
      <c r="P449">
        <f>Продажи[[#This Row],[дата создания чека]]-Продажи[[#This Row],[Дата регистрации клиента]]</f>
        <v>265</v>
      </c>
      <c r="Q449" t="str">
        <f>VLOOKUP(H449,Таблица3[],7,FALSE)</f>
        <v>Узбекистан</v>
      </c>
    </row>
    <row r="450" spans="1:17" x14ac:dyDescent="0.3">
      <c r="A450">
        <v>449</v>
      </c>
      <c r="B450">
        <v>192</v>
      </c>
      <c r="C450">
        <v>147</v>
      </c>
      <c r="D450">
        <v>1</v>
      </c>
      <c r="E450">
        <v>147</v>
      </c>
      <c r="F450" s="32">
        <v>44935</v>
      </c>
      <c r="G450" t="s">
        <v>15</v>
      </c>
      <c r="H450">
        <v>23</v>
      </c>
      <c r="I450" t="str">
        <f>VLOOKUP(B450,товар!$A$1:$C$433,2,FALSE)</f>
        <v>Мясо</v>
      </c>
      <c r="J450" s="22">
        <f t="shared" ref="J450:J513" si="28">AVERAGEIF($I$2:$I$1001,I450,$C$2:$C$1001)</f>
        <v>271.74545454545455</v>
      </c>
      <c r="K450" s="24">
        <f t="shared" ref="K450:K513" si="29">C450/J450-1</f>
        <v>-0.45905258932155757</v>
      </c>
      <c r="L450" t="str">
        <f>VLOOKUP(B450,товар!$A$1:$C$433,3,FALSE)</f>
        <v>Снежана</v>
      </c>
      <c r="M450" s="24">
        <f t="shared" ref="M450:M513" si="30">C450/N450-1</f>
        <v>-0.46025917926565874</v>
      </c>
      <c r="N450" s="29">
        <f t="shared" ref="N450:N513" si="31">AVERAGEIFS($C$2:$C$1001,$I$2:$I$1001,I450,$L$2:$L$1001,L450)</f>
        <v>272.35294117647061</v>
      </c>
      <c r="O450" s="32">
        <f>VLOOKUP(H450,клиенты!$A$2:$G$435,5,FALSE)</f>
        <v>44706</v>
      </c>
      <c r="P450">
        <f>Продажи[[#This Row],[дата создания чека]]-Продажи[[#This Row],[Дата регистрации клиента]]</f>
        <v>229</v>
      </c>
      <c r="Q450" t="str">
        <f>VLOOKUP(H450,Таблица3[],7,FALSE)</f>
        <v>Россия</v>
      </c>
    </row>
    <row r="451" spans="1:17" x14ac:dyDescent="0.3">
      <c r="A451">
        <v>450</v>
      </c>
      <c r="B451">
        <v>187</v>
      </c>
      <c r="C451">
        <v>185</v>
      </c>
      <c r="D451">
        <v>2</v>
      </c>
      <c r="E451">
        <v>370</v>
      </c>
      <c r="F451" s="32">
        <v>45102</v>
      </c>
      <c r="G451" t="s">
        <v>16</v>
      </c>
      <c r="H451">
        <v>468</v>
      </c>
      <c r="I451" t="str">
        <f>VLOOKUP(B451,товар!$A$1:$C$433,2,FALSE)</f>
        <v>Макароны</v>
      </c>
      <c r="J451" s="22">
        <f t="shared" si="28"/>
        <v>265.47674418604652</v>
      </c>
      <c r="K451" s="24">
        <f t="shared" si="29"/>
        <v>-0.30314046690902718</v>
      </c>
      <c r="L451" t="str">
        <f>VLOOKUP(B451,товар!$A$1:$C$433,3,FALSE)</f>
        <v>Паста Зара</v>
      </c>
      <c r="M451" s="24">
        <f t="shared" si="30"/>
        <v>-0.331347074338185</v>
      </c>
      <c r="N451" s="29">
        <f t="shared" si="31"/>
        <v>276.67567567567568</v>
      </c>
      <c r="O451" s="32">
        <f>VLOOKUP(H451,клиенты!$A$2:$G$435,5,FALSE)</f>
        <v>44619</v>
      </c>
      <c r="P451">
        <f>Продажи[[#This Row],[дата создания чека]]-Продажи[[#This Row],[Дата регистрации клиента]]</f>
        <v>483</v>
      </c>
      <c r="Q451" t="str">
        <f>VLOOKUP(H451,Таблица3[],7,FALSE)</f>
        <v>Узбекистан</v>
      </c>
    </row>
    <row r="452" spans="1:17" x14ac:dyDescent="0.3">
      <c r="A452">
        <v>451</v>
      </c>
      <c r="B452">
        <v>429</v>
      </c>
      <c r="C452">
        <v>368</v>
      </c>
      <c r="D452">
        <v>2</v>
      </c>
      <c r="E452">
        <v>736</v>
      </c>
      <c r="F452" s="32">
        <v>45008</v>
      </c>
      <c r="G452" t="s">
        <v>14</v>
      </c>
      <c r="H452">
        <v>16</v>
      </c>
      <c r="I452" t="str">
        <f>VLOOKUP(B452,товар!$A$1:$C$433,2,FALSE)</f>
        <v>Крупа</v>
      </c>
      <c r="J452" s="22">
        <f t="shared" si="28"/>
        <v>255.11627906976744</v>
      </c>
      <c r="K452" s="24">
        <f t="shared" si="29"/>
        <v>0.44247948951686422</v>
      </c>
      <c r="L452" t="str">
        <f>VLOOKUP(B452,товар!$A$1:$C$433,3,FALSE)</f>
        <v>Увелка</v>
      </c>
      <c r="M452" s="24">
        <f t="shared" si="30"/>
        <v>0.46080052927555415</v>
      </c>
      <c r="N452" s="29">
        <f t="shared" si="31"/>
        <v>251.91666666666666</v>
      </c>
      <c r="O452" s="32">
        <f>VLOOKUP(H452,клиенты!$A$2:$G$435,5,FALSE)</f>
        <v>44713</v>
      </c>
      <c r="P452">
        <f>Продажи[[#This Row],[дата создания чека]]-Продажи[[#This Row],[Дата регистрации клиента]]</f>
        <v>295</v>
      </c>
      <c r="Q452" t="str">
        <f>VLOOKUP(H452,Таблица3[],7,FALSE)</f>
        <v>Украина</v>
      </c>
    </row>
    <row r="453" spans="1:17" x14ac:dyDescent="0.3">
      <c r="A453">
        <v>452</v>
      </c>
      <c r="B453">
        <v>93</v>
      </c>
      <c r="C453">
        <v>387</v>
      </c>
      <c r="D453">
        <v>2</v>
      </c>
      <c r="E453">
        <v>774</v>
      </c>
      <c r="F453" s="32">
        <v>45219</v>
      </c>
      <c r="G453" t="s">
        <v>16</v>
      </c>
      <c r="H453">
        <v>156</v>
      </c>
      <c r="I453" t="str">
        <f>VLOOKUP(B453,товар!$A$1:$C$433,2,FALSE)</f>
        <v>Чай</v>
      </c>
      <c r="J453" s="22">
        <f t="shared" si="28"/>
        <v>271.18181818181819</v>
      </c>
      <c r="K453" s="24">
        <f t="shared" si="29"/>
        <v>0.42708682534361375</v>
      </c>
      <c r="L453" t="str">
        <f>VLOOKUP(B453,товар!$A$1:$C$433,3,FALSE)</f>
        <v>Greenfield</v>
      </c>
      <c r="M453" s="24">
        <f t="shared" si="30"/>
        <v>0.32782283218964459</v>
      </c>
      <c r="N453" s="29">
        <f t="shared" si="31"/>
        <v>291.45454545454544</v>
      </c>
      <c r="O453" s="32">
        <f>VLOOKUP(H453,клиенты!$A$2:$G$435,5,FALSE)</f>
        <v>44905</v>
      </c>
      <c r="P453">
        <f>Продажи[[#This Row],[дата создания чека]]-Продажи[[#This Row],[Дата регистрации клиента]]</f>
        <v>314</v>
      </c>
      <c r="Q453" t="str">
        <f>VLOOKUP(H453,Таблица3[],7,FALSE)</f>
        <v>Украина</v>
      </c>
    </row>
    <row r="454" spans="1:17" x14ac:dyDescent="0.3">
      <c r="A454">
        <v>453</v>
      </c>
      <c r="B454">
        <v>57</v>
      </c>
      <c r="C454">
        <v>174</v>
      </c>
      <c r="D454">
        <v>2</v>
      </c>
      <c r="E454">
        <v>348</v>
      </c>
      <c r="F454" s="32">
        <v>44973</v>
      </c>
      <c r="G454" t="s">
        <v>15</v>
      </c>
      <c r="H454">
        <v>141</v>
      </c>
      <c r="I454" t="str">
        <f>VLOOKUP(B454,товар!$A$1:$C$433,2,FALSE)</f>
        <v>Печенье</v>
      </c>
      <c r="J454" s="22">
        <f t="shared" si="28"/>
        <v>283.468085106383</v>
      </c>
      <c r="K454" s="24">
        <f t="shared" si="29"/>
        <v>-0.38617428507092999</v>
      </c>
      <c r="L454" t="str">
        <f>VLOOKUP(B454,товар!$A$1:$C$433,3,FALSE)</f>
        <v>Юбилейное</v>
      </c>
      <c r="M454" s="24">
        <f t="shared" si="30"/>
        <v>-0.25143403441682599</v>
      </c>
      <c r="N454" s="29">
        <f t="shared" si="31"/>
        <v>232.44444444444446</v>
      </c>
      <c r="O454" s="32">
        <f>VLOOKUP(H454,клиенты!$A$2:$G$435,5,FALSE)</f>
        <v>44743</v>
      </c>
      <c r="P454">
        <f>Продажи[[#This Row],[дата создания чека]]-Продажи[[#This Row],[Дата регистрации клиента]]</f>
        <v>230</v>
      </c>
      <c r="Q454" t="str">
        <f>VLOOKUP(H454,Таблица3[],7,FALSE)</f>
        <v>Россия</v>
      </c>
    </row>
    <row r="455" spans="1:17" x14ac:dyDescent="0.3">
      <c r="A455">
        <v>454</v>
      </c>
      <c r="B455">
        <v>198</v>
      </c>
      <c r="C455">
        <v>438</v>
      </c>
      <c r="D455">
        <v>4</v>
      </c>
      <c r="E455">
        <v>1752</v>
      </c>
      <c r="F455" s="32">
        <v>45312</v>
      </c>
      <c r="G455" t="s">
        <v>23</v>
      </c>
      <c r="H455">
        <v>385</v>
      </c>
      <c r="I455" t="str">
        <f>VLOOKUP(B455,товар!$A$1:$C$433,2,FALSE)</f>
        <v>Мясо</v>
      </c>
      <c r="J455" s="22">
        <f t="shared" si="28"/>
        <v>271.74545454545455</v>
      </c>
      <c r="K455" s="24">
        <f t="shared" si="29"/>
        <v>0.61180248896025691</v>
      </c>
      <c r="L455" t="str">
        <f>VLOOKUP(B455,товар!$A$1:$C$433,3,FALSE)</f>
        <v>Мираторг</v>
      </c>
      <c r="M455" s="24">
        <f t="shared" si="30"/>
        <v>0.38352197946828115</v>
      </c>
      <c r="N455" s="29">
        <f t="shared" si="31"/>
        <v>316.58333333333331</v>
      </c>
      <c r="O455" s="32">
        <f>VLOOKUP(H455,клиенты!$A$2:$G$435,5,FALSE)</f>
        <v>44753</v>
      </c>
      <c r="P455">
        <f>Продажи[[#This Row],[дата создания чека]]-Продажи[[#This Row],[Дата регистрации клиента]]</f>
        <v>559</v>
      </c>
      <c r="Q455" t="str">
        <f>VLOOKUP(H455,Таблица3[],7,FALSE)</f>
        <v>Украина</v>
      </c>
    </row>
    <row r="456" spans="1:17" x14ac:dyDescent="0.3">
      <c r="A456">
        <v>455</v>
      </c>
      <c r="B456">
        <v>202</v>
      </c>
      <c r="C456">
        <v>308</v>
      </c>
      <c r="D456">
        <v>2</v>
      </c>
      <c r="E456">
        <v>616</v>
      </c>
      <c r="F456" s="32">
        <v>45410</v>
      </c>
      <c r="G456" t="s">
        <v>20</v>
      </c>
      <c r="H456">
        <v>182</v>
      </c>
      <c r="I456" t="str">
        <f>VLOOKUP(B456,товар!$A$1:$C$433,2,FALSE)</f>
        <v>Овощи</v>
      </c>
      <c r="J456" s="22">
        <f t="shared" si="28"/>
        <v>250.48780487804879</v>
      </c>
      <c r="K456" s="24">
        <f t="shared" si="29"/>
        <v>0.22960077896786757</v>
      </c>
      <c r="L456" t="str">
        <f>VLOOKUP(B456,товар!$A$1:$C$433,3,FALSE)</f>
        <v>Овощной ряд</v>
      </c>
      <c r="M456" s="24">
        <f t="shared" si="30"/>
        <v>1.3746369796708624E-2</v>
      </c>
      <c r="N456" s="29">
        <f t="shared" si="31"/>
        <v>303.8235294117647</v>
      </c>
      <c r="O456" s="32">
        <f>VLOOKUP(H456,клиенты!$A$2:$G$435,5,FALSE)</f>
        <v>44856</v>
      </c>
      <c r="P456">
        <f>Продажи[[#This Row],[дата создания чека]]-Продажи[[#This Row],[Дата регистрации клиента]]</f>
        <v>554</v>
      </c>
      <c r="Q456" t="str">
        <f>VLOOKUP(H456,Таблица3[],7,FALSE)</f>
        <v>Узбекистан</v>
      </c>
    </row>
    <row r="457" spans="1:17" x14ac:dyDescent="0.3">
      <c r="A457">
        <v>456</v>
      </c>
      <c r="B457">
        <v>427</v>
      </c>
      <c r="C457">
        <v>240</v>
      </c>
      <c r="D457">
        <v>1</v>
      </c>
      <c r="E457">
        <v>240</v>
      </c>
      <c r="F457" s="32">
        <v>45420</v>
      </c>
      <c r="G457" t="s">
        <v>10</v>
      </c>
      <c r="H457">
        <v>225</v>
      </c>
      <c r="I457" t="str">
        <f>VLOOKUP(B457,товар!$A$1:$C$433,2,FALSE)</f>
        <v>Хлеб</v>
      </c>
      <c r="J457" s="22">
        <f t="shared" si="28"/>
        <v>300.31818181818181</v>
      </c>
      <c r="K457" s="24">
        <f t="shared" si="29"/>
        <v>-0.20084758589374907</v>
      </c>
      <c r="L457" t="str">
        <f>VLOOKUP(B457,товар!$A$1:$C$433,3,FALSE)</f>
        <v>Русский Хлеб</v>
      </c>
      <c r="M457" s="24">
        <f t="shared" si="30"/>
        <v>-0.24194567277321544</v>
      </c>
      <c r="N457" s="29">
        <f t="shared" si="31"/>
        <v>316.60000000000002</v>
      </c>
      <c r="O457" s="32">
        <f>VLOOKUP(H457,клиенты!$A$2:$G$435,5,FALSE)</f>
        <v>44827</v>
      </c>
      <c r="P457">
        <f>Продажи[[#This Row],[дата создания чека]]-Продажи[[#This Row],[Дата регистрации клиента]]</f>
        <v>593</v>
      </c>
      <c r="Q457" t="str">
        <f>VLOOKUP(H457,Таблица3[],7,FALSE)</f>
        <v>Беларусь</v>
      </c>
    </row>
    <row r="458" spans="1:17" x14ac:dyDescent="0.3">
      <c r="A458">
        <v>457</v>
      </c>
      <c r="B458">
        <v>272</v>
      </c>
      <c r="C458">
        <v>67</v>
      </c>
      <c r="D458">
        <v>3</v>
      </c>
      <c r="E458">
        <v>201</v>
      </c>
      <c r="F458" s="32">
        <v>45366</v>
      </c>
      <c r="G458" t="s">
        <v>13</v>
      </c>
      <c r="H458">
        <v>151</v>
      </c>
      <c r="I458" t="str">
        <f>VLOOKUP(B458,товар!$A$1:$C$433,2,FALSE)</f>
        <v>Крупа</v>
      </c>
      <c r="J458" s="22">
        <f t="shared" si="28"/>
        <v>255.11627906976744</v>
      </c>
      <c r="K458" s="24">
        <f t="shared" si="29"/>
        <v>-0.73737465815861447</v>
      </c>
      <c r="L458" t="str">
        <f>VLOOKUP(B458,товар!$A$1:$C$433,3,FALSE)</f>
        <v>Ярмарка</v>
      </c>
      <c r="M458" s="24">
        <f t="shared" si="30"/>
        <v>-0.73422286332491882</v>
      </c>
      <c r="N458" s="29">
        <f t="shared" si="31"/>
        <v>252.09090909090909</v>
      </c>
      <c r="O458" s="32">
        <f>VLOOKUP(H458,клиенты!$A$2:$G$435,5,FALSE)</f>
        <v>44923</v>
      </c>
      <c r="P458">
        <f>Продажи[[#This Row],[дата создания чека]]-Продажи[[#This Row],[Дата регистрации клиента]]</f>
        <v>443</v>
      </c>
      <c r="Q458" t="str">
        <f>VLOOKUP(H458,Таблица3[],7,FALSE)</f>
        <v>Беларусь</v>
      </c>
    </row>
    <row r="459" spans="1:17" x14ac:dyDescent="0.3">
      <c r="A459">
        <v>458</v>
      </c>
      <c r="B459">
        <v>473</v>
      </c>
      <c r="C459">
        <v>474</v>
      </c>
      <c r="D459">
        <v>2</v>
      </c>
      <c r="E459">
        <v>948</v>
      </c>
      <c r="F459" s="32">
        <v>44976</v>
      </c>
      <c r="G459" t="s">
        <v>12</v>
      </c>
      <c r="H459">
        <v>428</v>
      </c>
      <c r="I459" t="str">
        <f>VLOOKUP(B459,товар!$A$1:$C$433,2,FALSE)</f>
        <v>Хлеб</v>
      </c>
      <c r="J459" s="22">
        <f t="shared" si="28"/>
        <v>300.31818181818181</v>
      </c>
      <c r="K459" s="24">
        <f t="shared" si="29"/>
        <v>0.57832601785984572</v>
      </c>
      <c r="L459" t="str">
        <f>VLOOKUP(B459,товар!$A$1:$C$433,3,FALSE)</f>
        <v>Хлебный Дом</v>
      </c>
      <c r="M459" s="24">
        <f t="shared" si="30"/>
        <v>0.68244202555608124</v>
      </c>
      <c r="N459" s="29">
        <f t="shared" si="31"/>
        <v>281.73333333333335</v>
      </c>
      <c r="O459" s="32">
        <f>VLOOKUP(H459,клиенты!$A$2:$G$435,5,FALSE)</f>
        <v>44848</v>
      </c>
      <c r="P459">
        <f>Продажи[[#This Row],[дата создания чека]]-Продажи[[#This Row],[Дата регистрации клиента]]</f>
        <v>128</v>
      </c>
      <c r="Q459" t="str">
        <f>VLOOKUP(H459,Таблица3[],7,FALSE)</f>
        <v>Беларусь</v>
      </c>
    </row>
    <row r="460" spans="1:17" x14ac:dyDescent="0.3">
      <c r="A460">
        <v>459</v>
      </c>
      <c r="B460">
        <v>189</v>
      </c>
      <c r="C460">
        <v>275</v>
      </c>
      <c r="D460">
        <v>4</v>
      </c>
      <c r="E460">
        <v>1100</v>
      </c>
      <c r="F460" s="32">
        <v>45176</v>
      </c>
      <c r="G460" t="s">
        <v>22</v>
      </c>
      <c r="H460">
        <v>438</v>
      </c>
      <c r="I460" t="str">
        <f>VLOOKUP(B460,товар!$A$1:$C$433,2,FALSE)</f>
        <v>Хлеб</v>
      </c>
      <c r="J460" s="22">
        <f t="shared" si="28"/>
        <v>300.31818181818181</v>
      </c>
      <c r="K460" s="24">
        <f t="shared" si="29"/>
        <v>-8.4304525503254069E-2</v>
      </c>
      <c r="L460" t="str">
        <f>VLOOKUP(B460,товар!$A$1:$C$433,3,FALSE)</f>
        <v>Дарница</v>
      </c>
      <c r="M460" s="24">
        <f t="shared" si="30"/>
        <v>4.1666666666666741E-2</v>
      </c>
      <c r="N460" s="29">
        <f t="shared" si="31"/>
        <v>264</v>
      </c>
      <c r="O460" s="32">
        <f>VLOOKUP(H460,клиенты!$A$2:$G$435,5,FALSE)</f>
        <v>44693</v>
      </c>
      <c r="P460">
        <f>Продажи[[#This Row],[дата создания чека]]-Продажи[[#This Row],[Дата регистрации клиента]]</f>
        <v>483</v>
      </c>
      <c r="Q460" t="str">
        <f>VLOOKUP(H460,Таблица3[],7,FALSE)</f>
        <v>Узбекистан</v>
      </c>
    </row>
    <row r="461" spans="1:17" x14ac:dyDescent="0.3">
      <c r="A461">
        <v>460</v>
      </c>
      <c r="B461">
        <v>362</v>
      </c>
      <c r="C461">
        <v>358</v>
      </c>
      <c r="D461">
        <v>4</v>
      </c>
      <c r="E461">
        <v>1432</v>
      </c>
      <c r="F461" s="32">
        <v>44972</v>
      </c>
      <c r="G461" t="s">
        <v>11</v>
      </c>
      <c r="H461">
        <v>465</v>
      </c>
      <c r="I461" t="str">
        <f>VLOOKUP(B461,товар!$A$1:$C$433,2,FALSE)</f>
        <v>Хлеб</v>
      </c>
      <c r="J461" s="22">
        <f t="shared" si="28"/>
        <v>300.31818181818181</v>
      </c>
      <c r="K461" s="24">
        <f t="shared" si="29"/>
        <v>0.19206901770849094</v>
      </c>
      <c r="L461" t="str">
        <f>VLOOKUP(B461,товар!$A$1:$C$433,3,FALSE)</f>
        <v>Русский Хлеб</v>
      </c>
      <c r="M461" s="24">
        <f t="shared" si="30"/>
        <v>0.13076437144662023</v>
      </c>
      <c r="N461" s="29">
        <f t="shared" si="31"/>
        <v>316.60000000000002</v>
      </c>
      <c r="O461" s="32">
        <f>VLOOKUP(H461,клиенты!$A$2:$G$435,5,FALSE)</f>
        <v>44671</v>
      </c>
      <c r="P461">
        <f>Продажи[[#This Row],[дата создания чека]]-Продажи[[#This Row],[Дата регистрации клиента]]</f>
        <v>301</v>
      </c>
      <c r="Q461" t="str">
        <f>VLOOKUP(H461,Таблица3[],7,FALSE)</f>
        <v>Узбекистан</v>
      </c>
    </row>
    <row r="462" spans="1:17" x14ac:dyDescent="0.3">
      <c r="A462">
        <v>461</v>
      </c>
      <c r="B462">
        <v>345</v>
      </c>
      <c r="C462">
        <v>455</v>
      </c>
      <c r="D462">
        <v>5</v>
      </c>
      <c r="E462">
        <v>2275</v>
      </c>
      <c r="F462" s="32">
        <v>45213</v>
      </c>
      <c r="G462" t="s">
        <v>11</v>
      </c>
      <c r="H462">
        <v>215</v>
      </c>
      <c r="I462" t="str">
        <f>VLOOKUP(B462,товар!$A$1:$C$433,2,FALSE)</f>
        <v>Конфеты</v>
      </c>
      <c r="J462" s="22">
        <f t="shared" si="28"/>
        <v>267.85483870967744</v>
      </c>
      <c r="K462" s="24">
        <f t="shared" si="29"/>
        <v>0.69868127897874377</v>
      </c>
      <c r="L462" t="str">
        <f>VLOOKUP(B462,товар!$A$1:$C$433,3,FALSE)</f>
        <v>Рот Фронт</v>
      </c>
      <c r="M462" s="24">
        <f t="shared" si="30"/>
        <v>0.57855608789030222</v>
      </c>
      <c r="N462" s="29">
        <f t="shared" si="31"/>
        <v>288.23809523809524</v>
      </c>
      <c r="O462" s="32">
        <f>VLOOKUP(H462,клиенты!$A$2:$G$435,5,FALSE)</f>
        <v>44799</v>
      </c>
      <c r="P462">
        <f>Продажи[[#This Row],[дата создания чека]]-Продажи[[#This Row],[Дата регистрации клиента]]</f>
        <v>414</v>
      </c>
      <c r="Q462" t="str">
        <f>VLOOKUP(H462,Таблица3[],7,FALSE)</f>
        <v>Россия</v>
      </c>
    </row>
    <row r="463" spans="1:17" x14ac:dyDescent="0.3">
      <c r="A463">
        <v>462</v>
      </c>
      <c r="B463">
        <v>461</v>
      </c>
      <c r="C463">
        <v>443</v>
      </c>
      <c r="D463">
        <v>3</v>
      </c>
      <c r="E463">
        <v>1329</v>
      </c>
      <c r="F463" s="32">
        <v>45076</v>
      </c>
      <c r="G463" t="s">
        <v>27</v>
      </c>
      <c r="H463">
        <v>314</v>
      </c>
      <c r="I463" t="str">
        <f>VLOOKUP(B463,товар!$A$1:$C$433,2,FALSE)</f>
        <v>Фрукты</v>
      </c>
      <c r="J463" s="22">
        <f t="shared" si="28"/>
        <v>274.16279069767444</v>
      </c>
      <c r="K463" s="24">
        <f t="shared" si="29"/>
        <v>0.61582831453049436</v>
      </c>
      <c r="L463" t="str">
        <f>VLOOKUP(B463,товар!$A$1:$C$433,3,FALSE)</f>
        <v>Green Garden</v>
      </c>
      <c r="M463" s="24">
        <f t="shared" si="30"/>
        <v>0.19989165763813665</v>
      </c>
      <c r="N463" s="29">
        <f t="shared" si="31"/>
        <v>369.2</v>
      </c>
      <c r="O463" s="32">
        <f>VLOOKUP(H463,клиенты!$A$2:$G$435,5,FALSE)</f>
        <v>44899</v>
      </c>
      <c r="P463">
        <f>Продажи[[#This Row],[дата создания чека]]-Продажи[[#This Row],[Дата регистрации клиента]]</f>
        <v>177</v>
      </c>
      <c r="Q463" t="str">
        <f>VLOOKUP(H463,Таблица3[],7,FALSE)</f>
        <v>Россия</v>
      </c>
    </row>
    <row r="464" spans="1:17" x14ac:dyDescent="0.3">
      <c r="A464">
        <v>463</v>
      </c>
      <c r="B464">
        <v>401</v>
      </c>
      <c r="C464">
        <v>464</v>
      </c>
      <c r="D464">
        <v>2</v>
      </c>
      <c r="E464">
        <v>928</v>
      </c>
      <c r="F464" s="32">
        <v>45126</v>
      </c>
      <c r="G464" t="s">
        <v>13</v>
      </c>
      <c r="H464">
        <v>15</v>
      </c>
      <c r="I464" t="str">
        <f>VLOOKUP(B464,товар!$A$1:$C$433,2,FALSE)</f>
        <v>Чай</v>
      </c>
      <c r="J464" s="22">
        <f t="shared" si="28"/>
        <v>271.18181818181819</v>
      </c>
      <c r="K464" s="24">
        <f t="shared" si="29"/>
        <v>0.7110291652698626</v>
      </c>
      <c r="L464" t="str">
        <f>VLOOKUP(B464,товар!$A$1:$C$433,3,FALSE)</f>
        <v>Greenfield</v>
      </c>
      <c r="M464" s="24">
        <f t="shared" si="30"/>
        <v>0.59201497192763575</v>
      </c>
      <c r="N464" s="29">
        <f t="shared" si="31"/>
        <v>291.45454545454544</v>
      </c>
      <c r="O464" s="32">
        <f>VLOOKUP(H464,клиенты!$A$2:$G$435,5,FALSE)</f>
        <v>44711</v>
      </c>
      <c r="P464">
        <f>Продажи[[#This Row],[дата создания чека]]-Продажи[[#This Row],[Дата регистрации клиента]]</f>
        <v>415</v>
      </c>
      <c r="Q464" t="str">
        <f>VLOOKUP(H464,Таблица3[],7,FALSE)</f>
        <v>Украина</v>
      </c>
    </row>
    <row r="465" spans="1:17" x14ac:dyDescent="0.3">
      <c r="A465">
        <v>464</v>
      </c>
      <c r="B465">
        <v>427</v>
      </c>
      <c r="C465">
        <v>307</v>
      </c>
      <c r="D465">
        <v>5</v>
      </c>
      <c r="E465">
        <v>1535</v>
      </c>
      <c r="F465" s="32">
        <v>45102</v>
      </c>
      <c r="G465" t="s">
        <v>24</v>
      </c>
      <c r="H465">
        <v>191</v>
      </c>
      <c r="I465" t="str">
        <f>VLOOKUP(B465,товар!$A$1:$C$433,2,FALSE)</f>
        <v>Хлеб</v>
      </c>
      <c r="J465" s="22">
        <f t="shared" si="28"/>
        <v>300.31818181818181</v>
      </c>
      <c r="K465" s="24">
        <f t="shared" si="29"/>
        <v>2.2249129710912641E-2</v>
      </c>
      <c r="L465" t="str">
        <f>VLOOKUP(B465,товар!$A$1:$C$433,3,FALSE)</f>
        <v>Русский Хлеб</v>
      </c>
      <c r="M465" s="24">
        <f t="shared" si="30"/>
        <v>-3.032217308907148E-2</v>
      </c>
      <c r="N465" s="29">
        <f t="shared" si="31"/>
        <v>316.60000000000002</v>
      </c>
      <c r="O465" s="32">
        <f>VLOOKUP(H465,клиенты!$A$2:$G$435,5,FALSE)</f>
        <v>44866</v>
      </c>
      <c r="P465">
        <f>Продажи[[#This Row],[дата создания чека]]-Продажи[[#This Row],[Дата регистрации клиента]]</f>
        <v>236</v>
      </c>
      <c r="Q465" t="str">
        <f>VLOOKUP(H465,Таблица3[],7,FALSE)</f>
        <v>Украина</v>
      </c>
    </row>
    <row r="466" spans="1:17" x14ac:dyDescent="0.3">
      <c r="A466">
        <v>465</v>
      </c>
      <c r="B466">
        <v>129</v>
      </c>
      <c r="C466">
        <v>121</v>
      </c>
      <c r="D466">
        <v>5</v>
      </c>
      <c r="E466">
        <v>605</v>
      </c>
      <c r="F466" s="32">
        <v>45156</v>
      </c>
      <c r="G466" t="s">
        <v>24</v>
      </c>
      <c r="H466">
        <v>277</v>
      </c>
      <c r="I466" t="str">
        <f>VLOOKUP(B466,товар!$A$1:$C$433,2,FALSE)</f>
        <v>Мясо</v>
      </c>
      <c r="J466" s="22">
        <f t="shared" si="28"/>
        <v>271.74545454545455</v>
      </c>
      <c r="K466" s="24">
        <f t="shared" si="29"/>
        <v>-0.55473036263883313</v>
      </c>
      <c r="L466" t="str">
        <f>VLOOKUP(B466,товар!$A$1:$C$433,3,FALSE)</f>
        <v>Агрокомплекс</v>
      </c>
      <c r="M466" s="24">
        <f t="shared" si="30"/>
        <v>-0.61118251928020562</v>
      </c>
      <c r="N466" s="29">
        <f t="shared" si="31"/>
        <v>311.2</v>
      </c>
      <c r="O466" s="32">
        <f>VLOOKUP(H466,клиенты!$A$2:$G$435,5,FALSE)</f>
        <v>44750</v>
      </c>
      <c r="P466">
        <f>Продажи[[#This Row],[дата создания чека]]-Продажи[[#This Row],[Дата регистрации клиента]]</f>
        <v>406</v>
      </c>
      <c r="Q466" t="str">
        <f>VLOOKUP(H466,Таблица3[],7,FALSE)</f>
        <v>Россия</v>
      </c>
    </row>
    <row r="467" spans="1:17" x14ac:dyDescent="0.3">
      <c r="A467">
        <v>466</v>
      </c>
      <c r="B467">
        <v>84</v>
      </c>
      <c r="C467">
        <v>265</v>
      </c>
      <c r="D467">
        <v>2</v>
      </c>
      <c r="E467">
        <v>530</v>
      </c>
      <c r="F467" s="32">
        <v>45067</v>
      </c>
      <c r="G467" t="s">
        <v>8</v>
      </c>
      <c r="H467">
        <v>101</v>
      </c>
      <c r="I467" t="str">
        <f>VLOOKUP(B467,товар!$A$1:$C$433,2,FALSE)</f>
        <v>Кофе</v>
      </c>
      <c r="J467" s="22">
        <f t="shared" si="28"/>
        <v>249.02380952380952</v>
      </c>
      <c r="K467" s="24">
        <f t="shared" si="29"/>
        <v>6.4155272970647381E-2</v>
      </c>
      <c r="L467" t="str">
        <f>VLOOKUP(B467,товар!$A$1:$C$433,3,FALSE)</f>
        <v>Tchibo</v>
      </c>
      <c r="M467" s="24">
        <f t="shared" si="30"/>
        <v>0.89285714285714279</v>
      </c>
      <c r="N467" s="29">
        <f t="shared" si="31"/>
        <v>140</v>
      </c>
      <c r="O467" s="32">
        <f>VLOOKUP(H467,клиенты!$A$2:$G$435,5,FALSE)</f>
        <v>44727</v>
      </c>
      <c r="P467">
        <f>Продажи[[#This Row],[дата создания чека]]-Продажи[[#This Row],[Дата регистрации клиента]]</f>
        <v>340</v>
      </c>
      <c r="Q467" t="str">
        <f>VLOOKUP(H467,Таблица3[],7,FALSE)</f>
        <v>Россия</v>
      </c>
    </row>
    <row r="468" spans="1:17" x14ac:dyDescent="0.3">
      <c r="A468">
        <v>467</v>
      </c>
      <c r="B468">
        <v>172</v>
      </c>
      <c r="C468">
        <v>451</v>
      </c>
      <c r="D468">
        <v>2</v>
      </c>
      <c r="E468">
        <v>902</v>
      </c>
      <c r="F468" s="32">
        <v>45217</v>
      </c>
      <c r="G468" t="s">
        <v>26</v>
      </c>
      <c r="H468">
        <v>141</v>
      </c>
      <c r="I468" t="str">
        <f>VLOOKUP(B468,товар!$A$1:$C$433,2,FALSE)</f>
        <v>Фрукты</v>
      </c>
      <c r="J468" s="22">
        <f t="shared" si="28"/>
        <v>274.16279069767444</v>
      </c>
      <c r="K468" s="24">
        <f t="shared" si="29"/>
        <v>0.64500805835948749</v>
      </c>
      <c r="L468" t="str">
        <f>VLOOKUP(B468,товар!$A$1:$C$433,3,FALSE)</f>
        <v>Green Garden</v>
      </c>
      <c r="M468" s="24">
        <f t="shared" si="30"/>
        <v>0.2215601300108343</v>
      </c>
      <c r="N468" s="29">
        <f t="shared" si="31"/>
        <v>369.2</v>
      </c>
      <c r="O468" s="32">
        <f>VLOOKUP(H468,клиенты!$A$2:$G$435,5,FALSE)</f>
        <v>44743</v>
      </c>
      <c r="P468">
        <f>Продажи[[#This Row],[дата создания чека]]-Продажи[[#This Row],[Дата регистрации клиента]]</f>
        <v>474</v>
      </c>
      <c r="Q468" t="str">
        <f>VLOOKUP(H468,Таблица3[],7,FALSE)</f>
        <v>Россия</v>
      </c>
    </row>
    <row r="469" spans="1:17" x14ac:dyDescent="0.3">
      <c r="A469">
        <v>468</v>
      </c>
      <c r="B469">
        <v>348</v>
      </c>
      <c r="C469">
        <v>212</v>
      </c>
      <c r="D469">
        <v>5</v>
      </c>
      <c r="E469">
        <v>1060</v>
      </c>
      <c r="F469" s="32">
        <v>45231</v>
      </c>
      <c r="G469" t="s">
        <v>11</v>
      </c>
      <c r="H469">
        <v>126</v>
      </c>
      <c r="I469" t="str">
        <f>VLOOKUP(B469,товар!$A$1:$C$433,2,FALSE)</f>
        <v>Чипсы</v>
      </c>
      <c r="J469" s="22">
        <f t="shared" si="28"/>
        <v>273.72549019607845</v>
      </c>
      <c r="K469" s="24">
        <f t="shared" si="29"/>
        <v>-0.22550143266475653</v>
      </c>
      <c r="L469" t="str">
        <f>VLOOKUP(B469,товар!$A$1:$C$433,3,FALSE)</f>
        <v>Estrella</v>
      </c>
      <c r="M469" s="24">
        <f t="shared" si="30"/>
        <v>-0.20382383065892795</v>
      </c>
      <c r="N469" s="29">
        <f t="shared" si="31"/>
        <v>266.27272727272725</v>
      </c>
      <c r="O469" s="32">
        <f>VLOOKUP(H469,клиенты!$A$2:$G$435,5,FALSE)</f>
        <v>44822</v>
      </c>
      <c r="P469">
        <f>Продажи[[#This Row],[дата создания чека]]-Продажи[[#This Row],[Дата регистрации клиента]]</f>
        <v>409</v>
      </c>
      <c r="Q469" t="str">
        <f>VLOOKUP(H469,Таблица3[],7,FALSE)</f>
        <v>Узбекистан</v>
      </c>
    </row>
    <row r="470" spans="1:17" x14ac:dyDescent="0.3">
      <c r="A470">
        <v>469</v>
      </c>
      <c r="B470">
        <v>171</v>
      </c>
      <c r="C470">
        <v>336</v>
      </c>
      <c r="D470">
        <v>4</v>
      </c>
      <c r="E470">
        <v>1344</v>
      </c>
      <c r="F470" s="32">
        <v>45021</v>
      </c>
      <c r="G470" t="s">
        <v>15</v>
      </c>
      <c r="H470">
        <v>148</v>
      </c>
      <c r="I470" t="str">
        <f>VLOOKUP(B470,товар!$A$1:$C$433,2,FALSE)</f>
        <v>Чай</v>
      </c>
      <c r="J470" s="22">
        <f t="shared" si="28"/>
        <v>271.18181818181819</v>
      </c>
      <c r="K470" s="24">
        <f t="shared" si="29"/>
        <v>0.23902111967817641</v>
      </c>
      <c r="L470" t="str">
        <f>VLOOKUP(B470,товар!$A$1:$C$433,3,FALSE)</f>
        <v>Greenfield</v>
      </c>
      <c r="M470" s="24">
        <f t="shared" si="30"/>
        <v>0.15283842794759828</v>
      </c>
      <c r="N470" s="29">
        <f t="shared" si="31"/>
        <v>291.45454545454544</v>
      </c>
      <c r="O470" s="32">
        <f>VLOOKUP(H470,клиенты!$A$2:$G$435,5,FALSE)</f>
        <v>44700</v>
      </c>
      <c r="P470">
        <f>Продажи[[#This Row],[дата создания чека]]-Продажи[[#This Row],[Дата регистрации клиента]]</f>
        <v>321</v>
      </c>
      <c r="Q470" t="str">
        <f>VLOOKUP(H470,Таблица3[],7,FALSE)</f>
        <v>Россия</v>
      </c>
    </row>
    <row r="471" spans="1:17" x14ac:dyDescent="0.3">
      <c r="A471">
        <v>470</v>
      </c>
      <c r="B471">
        <v>70</v>
      </c>
      <c r="C471">
        <v>407</v>
      </c>
      <c r="D471">
        <v>2</v>
      </c>
      <c r="E471">
        <v>814</v>
      </c>
      <c r="F471" s="32">
        <v>45197</v>
      </c>
      <c r="G471" t="s">
        <v>14</v>
      </c>
      <c r="H471">
        <v>334</v>
      </c>
      <c r="I471" t="str">
        <f>VLOOKUP(B471,товар!$A$1:$C$433,2,FALSE)</f>
        <v>Рис</v>
      </c>
      <c r="J471" s="22">
        <f t="shared" si="28"/>
        <v>258.375</v>
      </c>
      <c r="K471" s="24">
        <f t="shared" si="29"/>
        <v>0.57522980164489601</v>
      </c>
      <c r="L471" t="str">
        <f>VLOOKUP(B471,товар!$A$1:$C$433,3,FALSE)</f>
        <v>Мистраль</v>
      </c>
      <c r="M471" s="24">
        <f t="shared" si="30"/>
        <v>1.2415420928402829</v>
      </c>
      <c r="N471" s="29">
        <f t="shared" si="31"/>
        <v>181.57142857142858</v>
      </c>
      <c r="O471" s="32">
        <f>VLOOKUP(H471,клиенты!$A$2:$G$435,5,FALSE)</f>
        <v>44881</v>
      </c>
      <c r="P471">
        <f>Продажи[[#This Row],[дата создания чека]]-Продажи[[#This Row],[Дата регистрации клиента]]</f>
        <v>316</v>
      </c>
      <c r="Q471" t="str">
        <f>VLOOKUP(H471,Таблица3[],7,FALSE)</f>
        <v>Украина</v>
      </c>
    </row>
    <row r="472" spans="1:17" x14ac:dyDescent="0.3">
      <c r="A472">
        <v>471</v>
      </c>
      <c r="B472">
        <v>476</v>
      </c>
      <c r="C472">
        <v>109</v>
      </c>
      <c r="D472">
        <v>4</v>
      </c>
      <c r="E472">
        <v>436</v>
      </c>
      <c r="F472" s="32">
        <v>45087</v>
      </c>
      <c r="G472" t="s">
        <v>14</v>
      </c>
      <c r="H472">
        <v>335</v>
      </c>
      <c r="I472" t="str">
        <f>VLOOKUP(B472,товар!$A$1:$C$433,2,FALSE)</f>
        <v>Рыба</v>
      </c>
      <c r="J472" s="22">
        <f t="shared" si="28"/>
        <v>258.5128205128205</v>
      </c>
      <c r="K472" s="24">
        <f t="shared" si="29"/>
        <v>-0.5783574687561992</v>
      </c>
      <c r="L472" t="str">
        <f>VLOOKUP(B472,товар!$A$1:$C$433,3,FALSE)</f>
        <v>Балтийский берег</v>
      </c>
      <c r="M472" s="24">
        <f t="shared" si="30"/>
        <v>-0.6239938673821388</v>
      </c>
      <c r="N472" s="29">
        <f t="shared" si="31"/>
        <v>289.88888888888891</v>
      </c>
      <c r="O472" s="32">
        <f>VLOOKUP(H472,клиенты!$A$2:$G$435,5,FALSE)</f>
        <v>44619</v>
      </c>
      <c r="P472">
        <f>Продажи[[#This Row],[дата создания чека]]-Продажи[[#This Row],[Дата регистрации клиента]]</f>
        <v>468</v>
      </c>
      <c r="Q472" t="str">
        <f>VLOOKUP(H472,Таблица3[],7,FALSE)</f>
        <v>Узбекистан</v>
      </c>
    </row>
    <row r="473" spans="1:17" x14ac:dyDescent="0.3">
      <c r="A473">
        <v>472</v>
      </c>
      <c r="B473">
        <v>49</v>
      </c>
      <c r="C473">
        <v>412</v>
      </c>
      <c r="D473">
        <v>3</v>
      </c>
      <c r="E473">
        <v>1236</v>
      </c>
      <c r="F473" s="32">
        <v>45165</v>
      </c>
      <c r="G473" t="s">
        <v>16</v>
      </c>
      <c r="H473">
        <v>370</v>
      </c>
      <c r="I473" t="str">
        <f>VLOOKUP(B473,товар!$A$1:$C$433,2,FALSE)</f>
        <v>Рис</v>
      </c>
      <c r="J473" s="22">
        <f t="shared" si="28"/>
        <v>258.375</v>
      </c>
      <c r="K473" s="24">
        <f t="shared" si="29"/>
        <v>0.59458151910982093</v>
      </c>
      <c r="L473" t="str">
        <f>VLOOKUP(B473,товар!$A$1:$C$433,3,FALSE)</f>
        <v>Агро-Альянс</v>
      </c>
      <c r="M473" s="24">
        <f t="shared" si="30"/>
        <v>0.296179775280899</v>
      </c>
      <c r="N473" s="29">
        <f t="shared" si="31"/>
        <v>317.85714285714283</v>
      </c>
      <c r="O473" s="32">
        <f>VLOOKUP(H473,клиенты!$A$2:$G$435,5,FALSE)</f>
        <v>44726</v>
      </c>
      <c r="P473">
        <f>Продажи[[#This Row],[дата создания чека]]-Продажи[[#This Row],[Дата регистрации клиента]]</f>
        <v>439</v>
      </c>
      <c r="Q473" t="str">
        <f>VLOOKUP(H473,Таблица3[],7,FALSE)</f>
        <v>Таджикистан</v>
      </c>
    </row>
    <row r="474" spans="1:17" x14ac:dyDescent="0.3">
      <c r="A474">
        <v>473</v>
      </c>
      <c r="B474">
        <v>7</v>
      </c>
      <c r="C474">
        <v>254</v>
      </c>
      <c r="D474">
        <v>2</v>
      </c>
      <c r="E474">
        <v>508</v>
      </c>
      <c r="F474" s="32">
        <v>45271</v>
      </c>
      <c r="G474" t="s">
        <v>13</v>
      </c>
      <c r="H474">
        <v>76</v>
      </c>
      <c r="I474" t="str">
        <f>VLOOKUP(B474,товар!$A$1:$C$433,2,FALSE)</f>
        <v>Сыр</v>
      </c>
      <c r="J474" s="22">
        <f t="shared" si="28"/>
        <v>262.63492063492066</v>
      </c>
      <c r="K474" s="24">
        <f t="shared" si="29"/>
        <v>-3.2878036987791681E-2</v>
      </c>
      <c r="L474" t="str">
        <f>VLOOKUP(B474,товар!$A$1:$C$433,3,FALSE)</f>
        <v>President</v>
      </c>
      <c r="M474" s="24">
        <f t="shared" si="30"/>
        <v>6.3998138235978663E-2</v>
      </c>
      <c r="N474" s="29">
        <f t="shared" si="31"/>
        <v>238.72222222222223</v>
      </c>
      <c r="O474" s="32">
        <f>VLOOKUP(H474,клиенты!$A$2:$G$435,5,FALSE)</f>
        <v>44575</v>
      </c>
      <c r="P474">
        <f>Продажи[[#This Row],[дата создания чека]]-Продажи[[#This Row],[Дата регистрации клиента]]</f>
        <v>696</v>
      </c>
      <c r="Q474" t="str">
        <f>VLOOKUP(H474,Таблица3[],7,FALSE)</f>
        <v>Беларусь</v>
      </c>
    </row>
    <row r="475" spans="1:17" x14ac:dyDescent="0.3">
      <c r="A475">
        <v>474</v>
      </c>
      <c r="B475">
        <v>180</v>
      </c>
      <c r="C475">
        <v>338</v>
      </c>
      <c r="D475">
        <v>3</v>
      </c>
      <c r="E475">
        <v>1014</v>
      </c>
      <c r="F475" s="32">
        <v>45158</v>
      </c>
      <c r="G475" t="s">
        <v>20</v>
      </c>
      <c r="H475">
        <v>25</v>
      </c>
      <c r="I475" t="str">
        <f>VLOOKUP(B475,товар!$A$1:$C$433,2,FALSE)</f>
        <v>Чипсы</v>
      </c>
      <c r="J475" s="22">
        <f t="shared" si="28"/>
        <v>273.72549019607845</v>
      </c>
      <c r="K475" s="24">
        <f t="shared" si="29"/>
        <v>0.2348137535816619</v>
      </c>
      <c r="L475" t="str">
        <f>VLOOKUP(B475,товар!$A$1:$C$433,3,FALSE)</f>
        <v>Русская картошка</v>
      </c>
      <c r="M475" s="24">
        <f t="shared" si="30"/>
        <v>0.3976567884217781</v>
      </c>
      <c r="N475" s="29">
        <f t="shared" si="31"/>
        <v>241.83333333333334</v>
      </c>
      <c r="O475" s="32">
        <f>VLOOKUP(H475,клиенты!$A$2:$G$435,5,FALSE)</f>
        <v>44582</v>
      </c>
      <c r="P475">
        <f>Продажи[[#This Row],[дата создания чека]]-Продажи[[#This Row],[Дата регистрации клиента]]</f>
        <v>576</v>
      </c>
      <c r="Q475" t="str">
        <f>VLOOKUP(H475,Таблица3[],7,FALSE)</f>
        <v>Таджикистан</v>
      </c>
    </row>
    <row r="476" spans="1:17" x14ac:dyDescent="0.3">
      <c r="A476">
        <v>475</v>
      </c>
      <c r="B476">
        <v>194</v>
      </c>
      <c r="C476">
        <v>268</v>
      </c>
      <c r="D476">
        <v>5</v>
      </c>
      <c r="E476">
        <v>1340</v>
      </c>
      <c r="F476" s="32">
        <v>45408</v>
      </c>
      <c r="G476" t="s">
        <v>24</v>
      </c>
      <c r="H476">
        <v>80</v>
      </c>
      <c r="I476" t="str">
        <f>VLOOKUP(B476,товар!$A$1:$C$433,2,FALSE)</f>
        <v>Соль</v>
      </c>
      <c r="J476" s="22">
        <f t="shared" si="28"/>
        <v>264.8679245283019</v>
      </c>
      <c r="K476" s="24">
        <f t="shared" si="29"/>
        <v>1.1825046302892162E-2</v>
      </c>
      <c r="L476" t="str">
        <f>VLOOKUP(B476,товар!$A$1:$C$433,3,FALSE)</f>
        <v>Салта</v>
      </c>
      <c r="M476" s="24">
        <f t="shared" si="30"/>
        <v>-2.0825721592985014E-2</v>
      </c>
      <c r="N476" s="29">
        <f t="shared" si="31"/>
        <v>273.7</v>
      </c>
      <c r="O476" s="32">
        <f>VLOOKUP(H476,клиенты!$A$2:$G$435,5,FALSE)</f>
        <v>44623</v>
      </c>
      <c r="P476">
        <f>Продажи[[#This Row],[дата создания чека]]-Продажи[[#This Row],[Дата регистрации клиента]]</f>
        <v>785</v>
      </c>
      <c r="Q476" t="str">
        <f>VLOOKUP(H476,Таблица3[],7,FALSE)</f>
        <v>Беларусь</v>
      </c>
    </row>
    <row r="477" spans="1:17" x14ac:dyDescent="0.3">
      <c r="A477">
        <v>476</v>
      </c>
      <c r="B477">
        <v>312</v>
      </c>
      <c r="C477">
        <v>223</v>
      </c>
      <c r="D477">
        <v>2</v>
      </c>
      <c r="E477">
        <v>446</v>
      </c>
      <c r="F477" s="32">
        <v>44991</v>
      </c>
      <c r="G477" t="s">
        <v>12</v>
      </c>
      <c r="H477">
        <v>276</v>
      </c>
      <c r="I477" t="str">
        <f>VLOOKUP(B477,товар!$A$1:$C$433,2,FALSE)</f>
        <v>Хлеб</v>
      </c>
      <c r="J477" s="22">
        <f t="shared" si="28"/>
        <v>300.31818181818181</v>
      </c>
      <c r="K477" s="24">
        <f t="shared" si="29"/>
        <v>-0.2574542152262751</v>
      </c>
      <c r="L477" t="str">
        <f>VLOOKUP(B477,товар!$A$1:$C$433,3,FALSE)</f>
        <v>Каравай</v>
      </c>
      <c r="M477" s="24">
        <f t="shared" si="30"/>
        <v>-0.32662304982385515</v>
      </c>
      <c r="N477" s="29">
        <f t="shared" si="31"/>
        <v>331.16666666666669</v>
      </c>
      <c r="O477" s="32">
        <f>VLOOKUP(H477,клиенты!$A$2:$G$435,5,FALSE)</f>
        <v>44632</v>
      </c>
      <c r="P477">
        <f>Продажи[[#This Row],[дата создания чека]]-Продажи[[#This Row],[Дата регистрации клиента]]</f>
        <v>359</v>
      </c>
      <c r="Q477" t="str">
        <f>VLOOKUP(H477,Таблица3[],7,FALSE)</f>
        <v>Таджикистан</v>
      </c>
    </row>
    <row r="478" spans="1:17" x14ac:dyDescent="0.3">
      <c r="A478">
        <v>477</v>
      </c>
      <c r="B478">
        <v>235</v>
      </c>
      <c r="C478">
        <v>455</v>
      </c>
      <c r="D478">
        <v>5</v>
      </c>
      <c r="E478">
        <v>2275</v>
      </c>
      <c r="F478" s="32">
        <v>45038</v>
      </c>
      <c r="G478" t="s">
        <v>25</v>
      </c>
      <c r="H478">
        <v>71</v>
      </c>
      <c r="I478" t="str">
        <f>VLOOKUP(B478,товар!$A$1:$C$433,2,FALSE)</f>
        <v>Хлеб</v>
      </c>
      <c r="J478" s="22">
        <f t="shared" si="28"/>
        <v>300.31818181818181</v>
      </c>
      <c r="K478" s="24">
        <f t="shared" si="29"/>
        <v>0.51505978507643402</v>
      </c>
      <c r="L478" t="str">
        <f>VLOOKUP(B478,товар!$A$1:$C$433,3,FALSE)</f>
        <v>Русский Хлеб</v>
      </c>
      <c r="M478" s="24">
        <f t="shared" si="30"/>
        <v>0.4371446620341124</v>
      </c>
      <c r="N478" s="29">
        <f t="shared" si="31"/>
        <v>316.60000000000002</v>
      </c>
      <c r="O478" s="32">
        <f>VLOOKUP(H478,клиенты!$A$2:$G$435,5,FALSE)</f>
        <v>44762</v>
      </c>
      <c r="P478">
        <f>Продажи[[#This Row],[дата создания чека]]-Продажи[[#This Row],[Дата регистрации клиента]]</f>
        <v>276</v>
      </c>
      <c r="Q478" t="str">
        <f>VLOOKUP(H478,Таблица3[],7,FALSE)</f>
        <v>Украина</v>
      </c>
    </row>
    <row r="479" spans="1:17" x14ac:dyDescent="0.3">
      <c r="A479">
        <v>478</v>
      </c>
      <c r="B479">
        <v>399</v>
      </c>
      <c r="C479">
        <v>379</v>
      </c>
      <c r="D479">
        <v>1</v>
      </c>
      <c r="E479">
        <v>379</v>
      </c>
      <c r="F479" s="32">
        <v>45188</v>
      </c>
      <c r="G479" t="s">
        <v>18</v>
      </c>
      <c r="H479">
        <v>12</v>
      </c>
      <c r="I479" t="str">
        <f>VLOOKUP(B479,товар!$A$1:$C$433,2,FALSE)</f>
        <v>Хлеб</v>
      </c>
      <c r="J479" s="22">
        <f t="shared" si="28"/>
        <v>300.31818181818181</v>
      </c>
      <c r="K479" s="24">
        <f t="shared" si="29"/>
        <v>0.26199485394278788</v>
      </c>
      <c r="L479" t="str">
        <f>VLOOKUP(B479,товар!$A$1:$C$433,3,FALSE)</f>
        <v>Хлебный Дом</v>
      </c>
      <c r="M479" s="24">
        <f t="shared" si="30"/>
        <v>0.34524372929484137</v>
      </c>
      <c r="N479" s="29">
        <f t="shared" si="31"/>
        <v>281.73333333333335</v>
      </c>
      <c r="O479" s="32">
        <f>VLOOKUP(H479,клиенты!$A$2:$G$435,5,FALSE)</f>
        <v>44842</v>
      </c>
      <c r="P479">
        <f>Продажи[[#This Row],[дата создания чека]]-Продажи[[#This Row],[Дата регистрации клиента]]</f>
        <v>346</v>
      </c>
      <c r="Q479" t="str">
        <f>VLOOKUP(H479,Таблица3[],7,FALSE)</f>
        <v>Беларусь</v>
      </c>
    </row>
    <row r="480" spans="1:17" x14ac:dyDescent="0.3">
      <c r="A480">
        <v>479</v>
      </c>
      <c r="B480">
        <v>494</v>
      </c>
      <c r="C480">
        <v>216</v>
      </c>
      <c r="D480">
        <v>3</v>
      </c>
      <c r="E480">
        <v>648</v>
      </c>
      <c r="F480" s="32">
        <v>45009</v>
      </c>
      <c r="G480" t="s">
        <v>25</v>
      </c>
      <c r="H480">
        <v>9</v>
      </c>
      <c r="I480" t="str">
        <f>VLOOKUP(B480,товар!$A$1:$C$433,2,FALSE)</f>
        <v>Сыр</v>
      </c>
      <c r="J480" s="22">
        <f t="shared" si="28"/>
        <v>262.63492063492066</v>
      </c>
      <c r="K480" s="24">
        <f t="shared" si="29"/>
        <v>-0.17756557476127166</v>
      </c>
      <c r="L480" t="str">
        <f>VLOOKUP(B480,товар!$A$1:$C$433,3,FALSE)</f>
        <v>Сырная долина</v>
      </c>
      <c r="M480" s="24">
        <f t="shared" si="30"/>
        <v>-0.20295202952029523</v>
      </c>
      <c r="N480" s="29">
        <f t="shared" si="31"/>
        <v>271</v>
      </c>
      <c r="O480" s="32">
        <f>VLOOKUP(H480,клиенты!$A$2:$G$435,5,FALSE)</f>
        <v>44900</v>
      </c>
      <c r="P480">
        <f>Продажи[[#This Row],[дата создания чека]]-Продажи[[#This Row],[Дата регистрации клиента]]</f>
        <v>109</v>
      </c>
      <c r="Q480" t="str">
        <f>VLOOKUP(H480,Таблица3[],7,FALSE)</f>
        <v>Таджикистан</v>
      </c>
    </row>
    <row r="481" spans="1:17" x14ac:dyDescent="0.3">
      <c r="A481">
        <v>480</v>
      </c>
      <c r="B481">
        <v>458</v>
      </c>
      <c r="C481">
        <v>469</v>
      </c>
      <c r="D481">
        <v>4</v>
      </c>
      <c r="E481">
        <v>1876</v>
      </c>
      <c r="F481" s="32">
        <v>45411</v>
      </c>
      <c r="G481" t="s">
        <v>20</v>
      </c>
      <c r="H481">
        <v>51</v>
      </c>
      <c r="I481" t="str">
        <f>VLOOKUP(B481,товар!$A$1:$C$433,2,FALSE)</f>
        <v>Макароны</v>
      </c>
      <c r="J481" s="22">
        <f t="shared" si="28"/>
        <v>265.47674418604652</v>
      </c>
      <c r="K481" s="24">
        <f t="shared" si="29"/>
        <v>0.76663308659279039</v>
      </c>
      <c r="L481" t="str">
        <f>VLOOKUP(B481,товар!$A$1:$C$433,3,FALSE)</f>
        <v>Борилла</v>
      </c>
      <c r="M481" s="24">
        <f t="shared" si="30"/>
        <v>0.98496789258610629</v>
      </c>
      <c r="N481" s="29">
        <f t="shared" si="31"/>
        <v>236.27586206896552</v>
      </c>
      <c r="O481" s="32">
        <f>VLOOKUP(H481,клиенты!$A$2:$G$435,5,FALSE)</f>
        <v>44605</v>
      </c>
      <c r="P481">
        <f>Продажи[[#This Row],[дата создания чека]]-Продажи[[#This Row],[Дата регистрации клиента]]</f>
        <v>806</v>
      </c>
      <c r="Q481" t="str">
        <f>VLOOKUP(H481,Таблица3[],7,FALSE)</f>
        <v>Узбекистан</v>
      </c>
    </row>
    <row r="482" spans="1:17" x14ac:dyDescent="0.3">
      <c r="A482">
        <v>481</v>
      </c>
      <c r="B482">
        <v>193</v>
      </c>
      <c r="C482">
        <v>94</v>
      </c>
      <c r="D482">
        <v>3</v>
      </c>
      <c r="E482">
        <v>282</v>
      </c>
      <c r="F482" s="32">
        <v>45106</v>
      </c>
      <c r="G482" t="s">
        <v>10</v>
      </c>
      <c r="H482">
        <v>370</v>
      </c>
      <c r="I482" t="str">
        <f>VLOOKUP(B482,товар!$A$1:$C$433,2,FALSE)</f>
        <v>Соль</v>
      </c>
      <c r="J482" s="22">
        <f t="shared" si="28"/>
        <v>264.8679245283019</v>
      </c>
      <c r="K482" s="24">
        <f t="shared" si="29"/>
        <v>-0.64510614047585135</v>
      </c>
      <c r="L482" t="str">
        <f>VLOOKUP(B482,товар!$A$1:$C$433,3,FALSE)</f>
        <v>Салта</v>
      </c>
      <c r="M482" s="24">
        <f t="shared" si="30"/>
        <v>-0.65655827548410661</v>
      </c>
      <c r="N482" s="29">
        <f t="shared" si="31"/>
        <v>273.7</v>
      </c>
      <c r="O482" s="32">
        <f>VLOOKUP(H482,клиенты!$A$2:$G$435,5,FALSE)</f>
        <v>44726</v>
      </c>
      <c r="P482">
        <f>Продажи[[#This Row],[дата создания чека]]-Продажи[[#This Row],[Дата регистрации клиента]]</f>
        <v>380</v>
      </c>
      <c r="Q482" t="str">
        <f>VLOOKUP(H482,Таблица3[],7,FALSE)</f>
        <v>Таджикистан</v>
      </c>
    </row>
    <row r="483" spans="1:17" x14ac:dyDescent="0.3">
      <c r="A483">
        <v>482</v>
      </c>
      <c r="B483">
        <v>450</v>
      </c>
      <c r="C483">
        <v>494</v>
      </c>
      <c r="D483">
        <v>4</v>
      </c>
      <c r="E483">
        <v>1976</v>
      </c>
      <c r="F483" s="32">
        <v>45004</v>
      </c>
      <c r="G483" t="s">
        <v>23</v>
      </c>
      <c r="H483">
        <v>17</v>
      </c>
      <c r="I483" t="str">
        <f>VLOOKUP(B483,товар!$A$1:$C$433,2,FALSE)</f>
        <v>Хлеб</v>
      </c>
      <c r="J483" s="22">
        <f t="shared" si="28"/>
        <v>300.31818181818181</v>
      </c>
      <c r="K483" s="24">
        <f t="shared" si="29"/>
        <v>0.64492205236869982</v>
      </c>
      <c r="L483" t="str">
        <f>VLOOKUP(B483,товар!$A$1:$C$433,3,FALSE)</f>
        <v>Хлебный Дом</v>
      </c>
      <c r="M483" s="24">
        <f t="shared" si="30"/>
        <v>0.75343114055844751</v>
      </c>
      <c r="N483" s="29">
        <f t="shared" si="31"/>
        <v>281.73333333333335</v>
      </c>
      <c r="O483" s="32">
        <f>VLOOKUP(H483,клиенты!$A$2:$G$435,5,FALSE)</f>
        <v>44877</v>
      </c>
      <c r="P483">
        <f>Продажи[[#This Row],[дата создания чека]]-Продажи[[#This Row],[Дата регистрации клиента]]</f>
        <v>127</v>
      </c>
      <c r="Q483" t="str">
        <f>VLOOKUP(H483,Таблица3[],7,FALSE)</f>
        <v>Таджикистан</v>
      </c>
    </row>
    <row r="484" spans="1:17" x14ac:dyDescent="0.3">
      <c r="A484">
        <v>483</v>
      </c>
      <c r="B484">
        <v>334</v>
      </c>
      <c r="C484">
        <v>309</v>
      </c>
      <c r="D484">
        <v>5</v>
      </c>
      <c r="E484">
        <v>1545</v>
      </c>
      <c r="F484" s="32">
        <v>45003</v>
      </c>
      <c r="G484" t="s">
        <v>15</v>
      </c>
      <c r="H484">
        <v>39</v>
      </c>
      <c r="I484" t="str">
        <f>VLOOKUP(B484,товар!$A$1:$C$433,2,FALSE)</f>
        <v>Молоко</v>
      </c>
      <c r="J484" s="22">
        <f t="shared" si="28"/>
        <v>294.95238095238096</v>
      </c>
      <c r="K484" s="24">
        <f t="shared" si="29"/>
        <v>4.7626735550532651E-2</v>
      </c>
      <c r="L484" t="str">
        <f>VLOOKUP(B484,товар!$A$1:$C$433,3,FALSE)</f>
        <v>Домик в деревне</v>
      </c>
      <c r="M484" s="24">
        <f t="shared" si="30"/>
        <v>0.12454508693894062</v>
      </c>
      <c r="N484" s="29">
        <f t="shared" si="31"/>
        <v>274.77777777777777</v>
      </c>
      <c r="O484" s="32">
        <f>VLOOKUP(H484,клиенты!$A$2:$G$435,5,FALSE)</f>
        <v>44653</v>
      </c>
      <c r="P484">
        <f>Продажи[[#This Row],[дата создания чека]]-Продажи[[#This Row],[Дата регистрации клиента]]</f>
        <v>350</v>
      </c>
      <c r="Q484" t="str">
        <f>VLOOKUP(H484,Таблица3[],7,FALSE)</f>
        <v>Беларусь</v>
      </c>
    </row>
    <row r="485" spans="1:17" x14ac:dyDescent="0.3">
      <c r="A485">
        <v>484</v>
      </c>
      <c r="B485">
        <v>115</v>
      </c>
      <c r="C485">
        <v>118</v>
      </c>
      <c r="D485">
        <v>1</v>
      </c>
      <c r="E485">
        <v>118</v>
      </c>
      <c r="F485" s="32">
        <v>45327</v>
      </c>
      <c r="G485" t="s">
        <v>9</v>
      </c>
      <c r="H485">
        <v>481</v>
      </c>
      <c r="I485" t="str">
        <f>VLOOKUP(B485,товар!$A$1:$C$433,2,FALSE)</f>
        <v>Сыр</v>
      </c>
      <c r="J485" s="22">
        <f t="shared" si="28"/>
        <v>262.63492063492066</v>
      </c>
      <c r="K485" s="24">
        <f t="shared" si="29"/>
        <v>-0.55070711954550955</v>
      </c>
      <c r="L485" t="str">
        <f>VLOOKUP(B485,товар!$A$1:$C$433,3,FALSE)</f>
        <v>President</v>
      </c>
      <c r="M485" s="24">
        <f t="shared" si="30"/>
        <v>-0.50570165231556907</v>
      </c>
      <c r="N485" s="29">
        <f t="shared" si="31"/>
        <v>238.72222222222223</v>
      </c>
      <c r="O485" s="32">
        <f>VLOOKUP(H485,клиенты!$A$2:$G$435,5,FALSE)</f>
        <v>44756</v>
      </c>
      <c r="P485">
        <f>Продажи[[#This Row],[дата создания чека]]-Продажи[[#This Row],[Дата регистрации клиента]]</f>
        <v>571</v>
      </c>
      <c r="Q485" t="str">
        <f>VLOOKUP(H485,Таблица3[],7,FALSE)</f>
        <v>Беларусь</v>
      </c>
    </row>
    <row r="486" spans="1:17" x14ac:dyDescent="0.3">
      <c r="A486">
        <v>485</v>
      </c>
      <c r="B486">
        <v>163</v>
      </c>
      <c r="C486">
        <v>344</v>
      </c>
      <c r="D486">
        <v>1</v>
      </c>
      <c r="E486">
        <v>344</v>
      </c>
      <c r="F486" s="32">
        <v>45188</v>
      </c>
      <c r="G486" t="s">
        <v>10</v>
      </c>
      <c r="H486">
        <v>363</v>
      </c>
      <c r="I486" t="str">
        <f>VLOOKUP(B486,товар!$A$1:$C$433,2,FALSE)</f>
        <v>Соль</v>
      </c>
      <c r="J486" s="22">
        <f t="shared" si="28"/>
        <v>264.8679245283019</v>
      </c>
      <c r="K486" s="24">
        <f t="shared" si="29"/>
        <v>0.298760507194757</v>
      </c>
      <c r="L486" t="str">
        <f>VLOOKUP(B486,товар!$A$1:$C$433,3,FALSE)</f>
        <v>Экстра</v>
      </c>
      <c r="M486" s="24">
        <f t="shared" si="30"/>
        <v>7.2164948453608213E-2</v>
      </c>
      <c r="N486" s="29">
        <f t="shared" si="31"/>
        <v>320.84615384615387</v>
      </c>
      <c r="O486" s="32">
        <f>VLOOKUP(H486,клиенты!$A$2:$G$435,5,FALSE)</f>
        <v>44675</v>
      </c>
      <c r="P486">
        <f>Продажи[[#This Row],[дата создания чека]]-Продажи[[#This Row],[Дата регистрации клиента]]</f>
        <v>513</v>
      </c>
      <c r="Q486" t="str">
        <f>VLOOKUP(H486,Таблица3[],7,FALSE)</f>
        <v>Узбекистан</v>
      </c>
    </row>
    <row r="487" spans="1:17" x14ac:dyDescent="0.3">
      <c r="A487">
        <v>486</v>
      </c>
      <c r="B487">
        <v>321</v>
      </c>
      <c r="C487">
        <v>322</v>
      </c>
      <c r="D487">
        <v>3</v>
      </c>
      <c r="E487">
        <v>966</v>
      </c>
      <c r="F487" s="32">
        <v>45094</v>
      </c>
      <c r="G487" t="s">
        <v>14</v>
      </c>
      <c r="H487">
        <v>328</v>
      </c>
      <c r="I487" t="str">
        <f>VLOOKUP(B487,товар!$A$1:$C$433,2,FALSE)</f>
        <v>Мясо</v>
      </c>
      <c r="J487" s="22">
        <f t="shared" si="28"/>
        <v>271.74545454545455</v>
      </c>
      <c r="K487" s="24">
        <f t="shared" si="29"/>
        <v>0.18493242339087379</v>
      </c>
      <c r="L487" t="str">
        <f>VLOOKUP(B487,товар!$A$1:$C$433,3,FALSE)</f>
        <v>Сава</v>
      </c>
      <c r="M487" s="24">
        <f t="shared" si="30"/>
        <v>0.51306901615271649</v>
      </c>
      <c r="N487" s="29">
        <f t="shared" si="31"/>
        <v>212.8125</v>
      </c>
      <c r="O487" s="32">
        <f>VLOOKUP(H487,клиенты!$A$2:$G$435,5,FALSE)</f>
        <v>44568</v>
      </c>
      <c r="P487">
        <f>Продажи[[#This Row],[дата создания чека]]-Продажи[[#This Row],[Дата регистрации клиента]]</f>
        <v>526</v>
      </c>
      <c r="Q487" t="str">
        <f>VLOOKUP(H487,Таблица3[],7,FALSE)</f>
        <v>Россия</v>
      </c>
    </row>
    <row r="488" spans="1:17" x14ac:dyDescent="0.3">
      <c r="A488">
        <v>487</v>
      </c>
      <c r="B488">
        <v>129</v>
      </c>
      <c r="C488">
        <v>328</v>
      </c>
      <c r="D488">
        <v>4</v>
      </c>
      <c r="E488">
        <v>1312</v>
      </c>
      <c r="F488" s="32">
        <v>45304</v>
      </c>
      <c r="G488" t="s">
        <v>11</v>
      </c>
      <c r="H488">
        <v>127</v>
      </c>
      <c r="I488" t="str">
        <f>VLOOKUP(B488,товар!$A$1:$C$433,2,FALSE)</f>
        <v>Мясо</v>
      </c>
      <c r="J488" s="22">
        <f t="shared" si="28"/>
        <v>271.74545454545455</v>
      </c>
      <c r="K488" s="24">
        <f t="shared" si="29"/>
        <v>0.20701190954101434</v>
      </c>
      <c r="L488" t="str">
        <f>VLOOKUP(B488,товар!$A$1:$C$433,3,FALSE)</f>
        <v>Агрокомплекс</v>
      </c>
      <c r="M488" s="24">
        <f t="shared" si="30"/>
        <v>5.3984575835475557E-2</v>
      </c>
      <c r="N488" s="29">
        <f t="shared" si="31"/>
        <v>311.2</v>
      </c>
      <c r="O488" s="32">
        <f>VLOOKUP(H488,клиенты!$A$2:$G$435,5,FALSE)</f>
        <v>44914</v>
      </c>
      <c r="P488">
        <f>Продажи[[#This Row],[дата создания чека]]-Продажи[[#This Row],[Дата регистрации клиента]]</f>
        <v>390</v>
      </c>
      <c r="Q488" t="str">
        <f>VLOOKUP(H488,Таблица3[],7,FALSE)</f>
        <v>Украина</v>
      </c>
    </row>
    <row r="489" spans="1:17" x14ac:dyDescent="0.3">
      <c r="A489">
        <v>488</v>
      </c>
      <c r="B489">
        <v>12</v>
      </c>
      <c r="C489">
        <v>357</v>
      </c>
      <c r="D489">
        <v>1</v>
      </c>
      <c r="E489">
        <v>357</v>
      </c>
      <c r="F489" s="32">
        <v>45369</v>
      </c>
      <c r="G489" t="s">
        <v>10</v>
      </c>
      <c r="H489">
        <v>221</v>
      </c>
      <c r="I489" t="str">
        <f>VLOOKUP(B489,товар!$A$1:$C$433,2,FALSE)</f>
        <v>Макароны</v>
      </c>
      <c r="J489" s="22">
        <f t="shared" si="28"/>
        <v>265.47674418604652</v>
      </c>
      <c r="K489" s="24">
        <f t="shared" si="29"/>
        <v>0.34475055845122848</v>
      </c>
      <c r="L489" t="str">
        <f>VLOOKUP(B489,товар!$A$1:$C$433,3,FALSE)</f>
        <v>Макфа</v>
      </c>
      <c r="M489" s="24">
        <f t="shared" si="30"/>
        <v>8.4207620099392644E-2</v>
      </c>
      <c r="N489" s="29">
        <f t="shared" si="31"/>
        <v>329.27272727272725</v>
      </c>
      <c r="O489" s="32">
        <f>VLOOKUP(H489,клиенты!$A$2:$G$435,5,FALSE)</f>
        <v>44820</v>
      </c>
      <c r="P489">
        <f>Продажи[[#This Row],[дата создания чека]]-Продажи[[#This Row],[Дата регистрации клиента]]</f>
        <v>549</v>
      </c>
      <c r="Q489" t="str">
        <f>VLOOKUP(H489,Таблица3[],7,FALSE)</f>
        <v>Таджикистан</v>
      </c>
    </row>
    <row r="490" spans="1:17" x14ac:dyDescent="0.3">
      <c r="A490">
        <v>489</v>
      </c>
      <c r="B490">
        <v>104</v>
      </c>
      <c r="C490">
        <v>276</v>
      </c>
      <c r="D490">
        <v>2</v>
      </c>
      <c r="E490">
        <v>552</v>
      </c>
      <c r="F490" s="32">
        <v>45372</v>
      </c>
      <c r="G490" t="s">
        <v>14</v>
      </c>
      <c r="H490">
        <v>134</v>
      </c>
      <c r="I490" t="str">
        <f>VLOOKUP(B490,товар!$A$1:$C$433,2,FALSE)</f>
        <v>Йогурт</v>
      </c>
      <c r="J490" s="22">
        <f t="shared" si="28"/>
        <v>263.25423728813558</v>
      </c>
      <c r="K490" s="24">
        <f t="shared" si="29"/>
        <v>4.841617306206536E-2</v>
      </c>
      <c r="L490" t="str">
        <f>VLOOKUP(B490,товар!$A$1:$C$433,3,FALSE)</f>
        <v>Ростагроэкспорт</v>
      </c>
      <c r="M490" s="24">
        <f t="shared" si="30"/>
        <v>7.066959015010954E-2</v>
      </c>
      <c r="N490" s="29">
        <f t="shared" si="31"/>
        <v>257.78260869565219</v>
      </c>
      <c r="O490" s="32">
        <f>VLOOKUP(H490,клиенты!$A$2:$G$435,5,FALSE)</f>
        <v>44753</v>
      </c>
      <c r="P490">
        <f>Продажи[[#This Row],[дата создания чека]]-Продажи[[#This Row],[Дата регистрации клиента]]</f>
        <v>619</v>
      </c>
      <c r="Q490" t="str">
        <f>VLOOKUP(H490,Таблица3[],7,FALSE)</f>
        <v>Россия</v>
      </c>
    </row>
    <row r="491" spans="1:17" x14ac:dyDescent="0.3">
      <c r="A491">
        <v>490</v>
      </c>
      <c r="B491">
        <v>61</v>
      </c>
      <c r="C491">
        <v>170</v>
      </c>
      <c r="D491">
        <v>2</v>
      </c>
      <c r="E491">
        <v>340</v>
      </c>
      <c r="F491" s="32">
        <v>45292</v>
      </c>
      <c r="G491" t="s">
        <v>11</v>
      </c>
      <c r="H491">
        <v>374</v>
      </c>
      <c r="I491" t="str">
        <f>VLOOKUP(B491,товар!$A$1:$C$433,2,FALSE)</f>
        <v>Йогурт</v>
      </c>
      <c r="J491" s="22">
        <f t="shared" si="28"/>
        <v>263.25423728813558</v>
      </c>
      <c r="K491" s="24">
        <f t="shared" si="29"/>
        <v>-0.35423641514293069</v>
      </c>
      <c r="L491" t="str">
        <f>VLOOKUP(B491,товар!$A$1:$C$433,3,FALSE)</f>
        <v>Эрманн</v>
      </c>
      <c r="M491" s="24">
        <f t="shared" si="30"/>
        <v>-0.31589537223340036</v>
      </c>
      <c r="N491" s="29">
        <f t="shared" si="31"/>
        <v>248.5</v>
      </c>
      <c r="O491" s="32">
        <f>VLOOKUP(H491,клиенты!$A$2:$G$435,5,FALSE)</f>
        <v>44582</v>
      </c>
      <c r="P491">
        <f>Продажи[[#This Row],[дата создания чека]]-Продажи[[#This Row],[Дата регистрации клиента]]</f>
        <v>710</v>
      </c>
      <c r="Q491" t="str">
        <f>VLOOKUP(H491,Таблица3[],7,FALSE)</f>
        <v>Украина</v>
      </c>
    </row>
    <row r="492" spans="1:17" x14ac:dyDescent="0.3">
      <c r="A492">
        <v>491</v>
      </c>
      <c r="B492">
        <v>202</v>
      </c>
      <c r="C492">
        <v>89</v>
      </c>
      <c r="D492">
        <v>1</v>
      </c>
      <c r="E492">
        <v>89</v>
      </c>
      <c r="F492" s="32">
        <v>45389</v>
      </c>
      <c r="G492" t="s">
        <v>8</v>
      </c>
      <c r="H492">
        <v>441</v>
      </c>
      <c r="I492" t="str">
        <f>VLOOKUP(B492,товар!$A$1:$C$433,2,FALSE)</f>
        <v>Овощи</v>
      </c>
      <c r="J492" s="22">
        <f t="shared" si="28"/>
        <v>250.48780487804879</v>
      </c>
      <c r="K492" s="24">
        <f t="shared" si="29"/>
        <v>-0.64469328140214222</v>
      </c>
      <c r="L492" t="str">
        <f>VLOOKUP(B492,товар!$A$1:$C$433,3,FALSE)</f>
        <v>Овощной ряд</v>
      </c>
      <c r="M492" s="24">
        <f t="shared" si="30"/>
        <v>-0.70706679574056142</v>
      </c>
      <c r="N492" s="29">
        <f t="shared" si="31"/>
        <v>303.8235294117647</v>
      </c>
      <c r="O492" s="32">
        <f>VLOOKUP(H492,клиенты!$A$2:$G$435,5,FALSE)</f>
        <v>44867</v>
      </c>
      <c r="P492">
        <f>Продажи[[#This Row],[дата создания чека]]-Продажи[[#This Row],[Дата регистрации клиента]]</f>
        <v>522</v>
      </c>
      <c r="Q492" t="str">
        <f>VLOOKUP(H492,Таблица3[],7,FALSE)</f>
        <v>Узбекистан</v>
      </c>
    </row>
    <row r="493" spans="1:17" x14ac:dyDescent="0.3">
      <c r="A493">
        <v>492</v>
      </c>
      <c r="B493">
        <v>464</v>
      </c>
      <c r="C493">
        <v>134</v>
      </c>
      <c r="D493">
        <v>1</v>
      </c>
      <c r="E493">
        <v>134</v>
      </c>
      <c r="F493" s="32">
        <v>45078</v>
      </c>
      <c r="G493" t="s">
        <v>8</v>
      </c>
      <c r="H493">
        <v>220</v>
      </c>
      <c r="I493" t="str">
        <f>VLOOKUP(B493,товар!$A$1:$C$433,2,FALSE)</f>
        <v>Сыр</v>
      </c>
      <c r="J493" s="22">
        <f t="shared" si="28"/>
        <v>262.63492063492066</v>
      </c>
      <c r="K493" s="24">
        <f t="shared" si="29"/>
        <v>-0.48978605100930739</v>
      </c>
      <c r="L493" t="str">
        <f>VLOOKUP(B493,товар!$A$1:$C$433,3,FALSE)</f>
        <v>Сырная долина</v>
      </c>
      <c r="M493" s="24">
        <f t="shared" si="30"/>
        <v>-0.50553505535055354</v>
      </c>
      <c r="N493" s="29">
        <f t="shared" si="31"/>
        <v>271</v>
      </c>
      <c r="O493" s="32">
        <f>VLOOKUP(H493,клиенты!$A$2:$G$435,5,FALSE)</f>
        <v>44570</v>
      </c>
      <c r="P493">
        <f>Продажи[[#This Row],[дата создания чека]]-Продажи[[#This Row],[Дата регистрации клиента]]</f>
        <v>508</v>
      </c>
      <c r="Q493" t="str">
        <f>VLOOKUP(H493,Таблица3[],7,FALSE)</f>
        <v>Украина</v>
      </c>
    </row>
    <row r="494" spans="1:17" x14ac:dyDescent="0.3">
      <c r="A494">
        <v>493</v>
      </c>
      <c r="B494">
        <v>335</v>
      </c>
      <c r="C494">
        <v>436</v>
      </c>
      <c r="D494">
        <v>1</v>
      </c>
      <c r="E494">
        <v>436</v>
      </c>
      <c r="F494" s="32">
        <v>45407</v>
      </c>
      <c r="G494" t="s">
        <v>14</v>
      </c>
      <c r="H494">
        <v>235</v>
      </c>
      <c r="I494" t="str">
        <f>VLOOKUP(B494,товар!$A$1:$C$433,2,FALSE)</f>
        <v>Хлеб</v>
      </c>
      <c r="J494" s="22">
        <f t="shared" si="28"/>
        <v>300.31818181818181</v>
      </c>
      <c r="K494" s="24">
        <f t="shared" si="29"/>
        <v>0.45179355229302254</v>
      </c>
      <c r="L494" t="str">
        <f>VLOOKUP(B494,товар!$A$1:$C$433,3,FALSE)</f>
        <v>Каравай</v>
      </c>
      <c r="M494" s="24">
        <f t="shared" si="30"/>
        <v>0.31655762455963754</v>
      </c>
      <c r="N494" s="29">
        <f t="shared" si="31"/>
        <v>331.16666666666669</v>
      </c>
      <c r="O494" s="32">
        <f>VLOOKUP(H494,клиенты!$A$2:$G$435,5,FALSE)</f>
        <v>44635</v>
      </c>
      <c r="P494">
        <f>Продажи[[#This Row],[дата создания чека]]-Продажи[[#This Row],[Дата регистрации клиента]]</f>
        <v>772</v>
      </c>
      <c r="Q494" t="str">
        <f>VLOOKUP(H494,Таблица3[],7,FALSE)</f>
        <v>Узбекистан</v>
      </c>
    </row>
    <row r="495" spans="1:17" x14ac:dyDescent="0.3">
      <c r="A495">
        <v>494</v>
      </c>
      <c r="B495">
        <v>15</v>
      </c>
      <c r="C495">
        <v>318</v>
      </c>
      <c r="D495">
        <v>5</v>
      </c>
      <c r="E495">
        <v>1590</v>
      </c>
      <c r="F495" s="32">
        <v>44982</v>
      </c>
      <c r="G495" t="s">
        <v>26</v>
      </c>
      <c r="H495">
        <v>323</v>
      </c>
      <c r="I495" t="str">
        <f>VLOOKUP(B495,товар!$A$1:$C$433,2,FALSE)</f>
        <v>Сахар</v>
      </c>
      <c r="J495" s="22">
        <f t="shared" si="28"/>
        <v>252.76271186440678</v>
      </c>
      <c r="K495" s="24">
        <f t="shared" si="29"/>
        <v>0.25809696238181457</v>
      </c>
      <c r="L495" t="str">
        <f>VLOOKUP(B495,товар!$A$1:$C$433,3,FALSE)</f>
        <v>Агросахар</v>
      </c>
      <c r="M495" s="24">
        <f t="shared" si="30"/>
        <v>0.47319655857048315</v>
      </c>
      <c r="N495" s="29">
        <f t="shared" si="31"/>
        <v>215.85714285714286</v>
      </c>
      <c r="O495" s="32">
        <f>VLOOKUP(H495,клиенты!$A$2:$G$435,5,FALSE)</f>
        <v>44821</v>
      </c>
      <c r="P495">
        <f>Продажи[[#This Row],[дата создания чека]]-Продажи[[#This Row],[Дата регистрации клиента]]</f>
        <v>161</v>
      </c>
      <c r="Q495" t="str">
        <f>VLOOKUP(H495,Таблица3[],7,FALSE)</f>
        <v>Таджикистан</v>
      </c>
    </row>
    <row r="496" spans="1:17" x14ac:dyDescent="0.3">
      <c r="A496">
        <v>495</v>
      </c>
      <c r="B496">
        <v>441</v>
      </c>
      <c r="C496">
        <v>183</v>
      </c>
      <c r="D496">
        <v>1</v>
      </c>
      <c r="E496">
        <v>183</v>
      </c>
      <c r="F496" s="32">
        <v>45235</v>
      </c>
      <c r="G496" t="s">
        <v>14</v>
      </c>
      <c r="H496">
        <v>296</v>
      </c>
      <c r="I496" t="str">
        <f>VLOOKUP(B496,товар!$A$1:$C$433,2,FALSE)</f>
        <v>Чай</v>
      </c>
      <c r="J496" s="22">
        <f t="shared" si="28"/>
        <v>271.18181818181819</v>
      </c>
      <c r="K496" s="24">
        <f t="shared" si="29"/>
        <v>-0.32517599731813607</v>
      </c>
      <c r="L496" t="str">
        <f>VLOOKUP(B496,товар!$A$1:$C$433,3,FALSE)</f>
        <v>Lipton</v>
      </c>
      <c r="M496" s="24">
        <f t="shared" si="30"/>
        <v>-0.29658102366983607</v>
      </c>
      <c r="N496" s="29">
        <f t="shared" si="31"/>
        <v>260.15789473684208</v>
      </c>
      <c r="O496" s="32">
        <f>VLOOKUP(H496,клиенты!$A$2:$G$435,5,FALSE)</f>
        <v>44758</v>
      </c>
      <c r="P496">
        <f>Продажи[[#This Row],[дата создания чека]]-Продажи[[#This Row],[Дата регистрации клиента]]</f>
        <v>477</v>
      </c>
      <c r="Q496" t="str">
        <f>VLOOKUP(H496,Таблица3[],7,FALSE)</f>
        <v>Узбекистан</v>
      </c>
    </row>
    <row r="497" spans="1:17" x14ac:dyDescent="0.3">
      <c r="A497">
        <v>496</v>
      </c>
      <c r="B497">
        <v>149</v>
      </c>
      <c r="C497">
        <v>448</v>
      </c>
      <c r="D497">
        <v>2</v>
      </c>
      <c r="E497">
        <v>896</v>
      </c>
      <c r="F497" s="32">
        <v>45069</v>
      </c>
      <c r="G497" t="s">
        <v>16</v>
      </c>
      <c r="H497">
        <v>206</v>
      </c>
      <c r="I497" t="str">
        <f>VLOOKUP(B497,товар!$A$1:$C$433,2,FALSE)</f>
        <v>Конфеты</v>
      </c>
      <c r="J497" s="22">
        <f t="shared" si="28"/>
        <v>267.85483870967744</v>
      </c>
      <c r="K497" s="24">
        <f t="shared" si="29"/>
        <v>0.67254772084060921</v>
      </c>
      <c r="L497" t="str">
        <f>VLOOKUP(B497,товар!$A$1:$C$433,3,FALSE)</f>
        <v>Бабаевский</v>
      </c>
      <c r="M497" s="24">
        <f t="shared" si="30"/>
        <v>0.79014355483202592</v>
      </c>
      <c r="N497" s="29">
        <f t="shared" si="31"/>
        <v>250.25925925925927</v>
      </c>
      <c r="O497" s="32">
        <f>VLOOKUP(H497,клиенты!$A$2:$G$435,5,FALSE)</f>
        <v>44568</v>
      </c>
      <c r="P497">
        <f>Продажи[[#This Row],[дата создания чека]]-Продажи[[#This Row],[Дата регистрации клиента]]</f>
        <v>501</v>
      </c>
      <c r="Q497" t="str">
        <f>VLOOKUP(H497,Таблица3[],7,FALSE)</f>
        <v>Россия</v>
      </c>
    </row>
    <row r="498" spans="1:17" x14ac:dyDescent="0.3">
      <c r="A498">
        <v>497</v>
      </c>
      <c r="B498">
        <v>490</v>
      </c>
      <c r="C498">
        <v>58</v>
      </c>
      <c r="D498">
        <v>4</v>
      </c>
      <c r="E498">
        <v>232</v>
      </c>
      <c r="F498" s="32">
        <v>45216</v>
      </c>
      <c r="G498" t="s">
        <v>26</v>
      </c>
      <c r="H498">
        <v>255</v>
      </c>
      <c r="I498" t="str">
        <f>VLOOKUP(B498,товар!$A$1:$C$433,2,FALSE)</f>
        <v>Сыр</v>
      </c>
      <c r="J498" s="22">
        <f t="shared" si="28"/>
        <v>262.63492063492066</v>
      </c>
      <c r="K498" s="24">
        <f t="shared" si="29"/>
        <v>-0.77916112655626746</v>
      </c>
      <c r="L498" t="str">
        <f>VLOOKUP(B498,товар!$A$1:$C$433,3,FALSE)</f>
        <v>Сырная долина</v>
      </c>
      <c r="M498" s="24">
        <f t="shared" si="30"/>
        <v>-0.7859778597785978</v>
      </c>
      <c r="N498" s="29">
        <f t="shared" si="31"/>
        <v>271</v>
      </c>
      <c r="O498" s="32">
        <f>VLOOKUP(H498,клиенты!$A$2:$G$435,5,FALSE)</f>
        <v>44793</v>
      </c>
      <c r="P498">
        <f>Продажи[[#This Row],[дата создания чека]]-Продажи[[#This Row],[Дата регистрации клиента]]</f>
        <v>423</v>
      </c>
      <c r="Q498" t="str">
        <f>VLOOKUP(H498,Таблица3[],7,FALSE)</f>
        <v>Украина</v>
      </c>
    </row>
    <row r="499" spans="1:17" x14ac:dyDescent="0.3">
      <c r="A499">
        <v>498</v>
      </c>
      <c r="B499">
        <v>90</v>
      </c>
      <c r="C499">
        <v>162</v>
      </c>
      <c r="D499">
        <v>3</v>
      </c>
      <c r="E499">
        <v>486</v>
      </c>
      <c r="F499" s="32">
        <v>45207</v>
      </c>
      <c r="G499" t="s">
        <v>14</v>
      </c>
      <c r="H499">
        <v>88</v>
      </c>
      <c r="I499" t="str">
        <f>VLOOKUP(B499,товар!$A$1:$C$433,2,FALSE)</f>
        <v>Кофе</v>
      </c>
      <c r="J499" s="22">
        <f t="shared" si="28"/>
        <v>249.02380952380952</v>
      </c>
      <c r="K499" s="24">
        <f t="shared" si="29"/>
        <v>-0.34945979539152883</v>
      </c>
      <c r="L499" t="str">
        <f>VLOOKUP(B499,товар!$A$1:$C$433,3,FALSE)</f>
        <v>Nescafe</v>
      </c>
      <c r="M499" s="24">
        <f t="shared" si="30"/>
        <v>-0.3694044375243285</v>
      </c>
      <c r="N499" s="29">
        <f t="shared" si="31"/>
        <v>256.89999999999998</v>
      </c>
      <c r="O499" s="32">
        <f>VLOOKUP(H499,клиенты!$A$2:$G$435,5,FALSE)</f>
        <v>44630</v>
      </c>
      <c r="P499">
        <f>Продажи[[#This Row],[дата создания чека]]-Продажи[[#This Row],[Дата регистрации клиента]]</f>
        <v>577</v>
      </c>
      <c r="Q499" t="str">
        <f>VLOOKUP(H499,Таблица3[],7,FALSE)</f>
        <v>Украина</v>
      </c>
    </row>
    <row r="500" spans="1:17" x14ac:dyDescent="0.3">
      <c r="A500">
        <v>499</v>
      </c>
      <c r="B500">
        <v>396</v>
      </c>
      <c r="C500">
        <v>482</v>
      </c>
      <c r="D500">
        <v>2</v>
      </c>
      <c r="E500">
        <v>964</v>
      </c>
      <c r="F500" s="32">
        <v>45408</v>
      </c>
      <c r="G500" t="s">
        <v>20</v>
      </c>
      <c r="H500">
        <v>362</v>
      </c>
      <c r="I500" t="str">
        <f>VLOOKUP(B500,товар!$A$1:$C$433,2,FALSE)</f>
        <v>Молоко</v>
      </c>
      <c r="J500" s="22">
        <f t="shared" si="28"/>
        <v>294.95238095238096</v>
      </c>
      <c r="K500" s="24">
        <f t="shared" si="29"/>
        <v>0.63416209234743293</v>
      </c>
      <c r="L500" t="str">
        <f>VLOOKUP(B500,товар!$A$1:$C$433,3,FALSE)</f>
        <v>Домик в деревне</v>
      </c>
      <c r="M500" s="24">
        <f t="shared" si="30"/>
        <v>0.75414476344520831</v>
      </c>
      <c r="N500" s="29">
        <f t="shared" si="31"/>
        <v>274.77777777777777</v>
      </c>
      <c r="O500" s="32">
        <f>VLOOKUP(H500,клиенты!$A$2:$G$435,5,FALSE)</f>
        <v>44916</v>
      </c>
      <c r="P500">
        <f>Продажи[[#This Row],[дата создания чека]]-Продажи[[#This Row],[Дата регистрации клиента]]</f>
        <v>492</v>
      </c>
      <c r="Q500" t="str">
        <f>VLOOKUP(H500,Таблица3[],7,FALSE)</f>
        <v>Россия</v>
      </c>
    </row>
    <row r="501" spans="1:17" x14ac:dyDescent="0.3">
      <c r="A501">
        <v>500</v>
      </c>
      <c r="B501">
        <v>323</v>
      </c>
      <c r="C501">
        <v>64</v>
      </c>
      <c r="D501">
        <v>4</v>
      </c>
      <c r="E501">
        <v>256</v>
      </c>
      <c r="F501" s="32">
        <v>45349</v>
      </c>
      <c r="G501" t="s">
        <v>9</v>
      </c>
      <c r="H501">
        <v>265</v>
      </c>
      <c r="I501" t="str">
        <f>VLOOKUP(B501,товар!$A$1:$C$433,2,FALSE)</f>
        <v>Рыба</v>
      </c>
      <c r="J501" s="22">
        <f t="shared" si="28"/>
        <v>258.5128205128205</v>
      </c>
      <c r="K501" s="24">
        <f t="shared" si="29"/>
        <v>-0.75243007339813528</v>
      </c>
      <c r="L501" t="str">
        <f>VLOOKUP(B501,товар!$A$1:$C$433,3,FALSE)</f>
        <v>Меридиан</v>
      </c>
      <c r="M501" s="24">
        <f t="shared" si="30"/>
        <v>-0.75445723313021884</v>
      </c>
      <c r="N501" s="29">
        <f t="shared" si="31"/>
        <v>260.64705882352939</v>
      </c>
      <c r="O501" s="32">
        <f>VLOOKUP(H501,клиенты!$A$2:$G$435,5,FALSE)</f>
        <v>44756</v>
      </c>
      <c r="P501">
        <f>Продажи[[#This Row],[дата создания чека]]-Продажи[[#This Row],[Дата регистрации клиента]]</f>
        <v>593</v>
      </c>
      <c r="Q501" t="str">
        <f>VLOOKUP(H501,Таблица3[],7,FALSE)</f>
        <v>Узбекистан</v>
      </c>
    </row>
    <row r="502" spans="1:17" x14ac:dyDescent="0.3">
      <c r="A502">
        <v>501</v>
      </c>
      <c r="B502">
        <v>451</v>
      </c>
      <c r="C502">
        <v>187</v>
      </c>
      <c r="D502">
        <v>4</v>
      </c>
      <c r="E502">
        <v>748</v>
      </c>
      <c r="F502" s="32">
        <v>45160</v>
      </c>
      <c r="G502" t="s">
        <v>19</v>
      </c>
      <c r="H502">
        <v>164</v>
      </c>
      <c r="I502" t="str">
        <f>VLOOKUP(B502,товар!$A$1:$C$433,2,FALSE)</f>
        <v>Рис</v>
      </c>
      <c r="J502" s="22">
        <f t="shared" si="28"/>
        <v>258.375</v>
      </c>
      <c r="K502" s="24">
        <f t="shared" si="29"/>
        <v>-0.27624576681180457</v>
      </c>
      <c r="L502" t="str">
        <f>VLOOKUP(B502,товар!$A$1:$C$433,3,FALSE)</f>
        <v>Белый Злат</v>
      </c>
      <c r="M502" s="24">
        <f t="shared" si="30"/>
        <v>-0.30665212649945472</v>
      </c>
      <c r="N502" s="29">
        <f t="shared" si="31"/>
        <v>269.70588235294116</v>
      </c>
      <c r="O502" s="32">
        <f>VLOOKUP(H502,клиенты!$A$2:$G$435,5,FALSE)</f>
        <v>44678</v>
      </c>
      <c r="P502">
        <f>Продажи[[#This Row],[дата создания чека]]-Продажи[[#This Row],[Дата регистрации клиента]]</f>
        <v>482</v>
      </c>
      <c r="Q502" t="str">
        <f>VLOOKUP(H502,Таблица3[],7,FALSE)</f>
        <v>Россия</v>
      </c>
    </row>
    <row r="503" spans="1:17" x14ac:dyDescent="0.3">
      <c r="A503">
        <v>502</v>
      </c>
      <c r="B503">
        <v>348</v>
      </c>
      <c r="C503">
        <v>461</v>
      </c>
      <c r="D503">
        <v>3</v>
      </c>
      <c r="E503">
        <v>1383</v>
      </c>
      <c r="F503" s="32">
        <v>45344</v>
      </c>
      <c r="G503" t="s">
        <v>18</v>
      </c>
      <c r="H503">
        <v>364</v>
      </c>
      <c r="I503" t="str">
        <f>VLOOKUP(B503,товар!$A$1:$C$433,2,FALSE)</f>
        <v>Чипсы</v>
      </c>
      <c r="J503" s="22">
        <f t="shared" si="28"/>
        <v>273.72549019607845</v>
      </c>
      <c r="K503" s="24">
        <f t="shared" si="29"/>
        <v>0.68416905444126064</v>
      </c>
      <c r="L503" t="str">
        <f>VLOOKUP(B503,товар!$A$1:$C$433,3,FALSE)</f>
        <v>Estrella</v>
      </c>
      <c r="M503" s="24">
        <f t="shared" si="30"/>
        <v>0.73130761351997275</v>
      </c>
      <c r="N503" s="29">
        <f t="shared" si="31"/>
        <v>266.27272727272725</v>
      </c>
      <c r="O503" s="32">
        <f>VLOOKUP(H503,клиенты!$A$2:$G$435,5,FALSE)</f>
        <v>44883</v>
      </c>
      <c r="P503">
        <f>Продажи[[#This Row],[дата создания чека]]-Продажи[[#This Row],[Дата регистрации клиента]]</f>
        <v>461</v>
      </c>
      <c r="Q503" t="str">
        <f>VLOOKUP(H503,Таблица3[],7,FALSE)</f>
        <v>Россия</v>
      </c>
    </row>
    <row r="504" spans="1:17" x14ac:dyDescent="0.3">
      <c r="A504">
        <v>503</v>
      </c>
      <c r="B504">
        <v>111</v>
      </c>
      <c r="C504">
        <v>321</v>
      </c>
      <c r="D504">
        <v>5</v>
      </c>
      <c r="E504">
        <v>1605</v>
      </c>
      <c r="F504" s="32">
        <v>45131</v>
      </c>
      <c r="G504" t="s">
        <v>17</v>
      </c>
      <c r="H504">
        <v>19</v>
      </c>
      <c r="I504" t="str">
        <f>VLOOKUP(B504,товар!$A$1:$C$433,2,FALSE)</f>
        <v>Сахар</v>
      </c>
      <c r="J504" s="22">
        <f t="shared" si="28"/>
        <v>252.76271186440678</v>
      </c>
      <c r="K504" s="24">
        <f t="shared" si="29"/>
        <v>0.26996580164956741</v>
      </c>
      <c r="L504" t="str">
        <f>VLOOKUP(B504,товар!$A$1:$C$433,3,FALSE)</f>
        <v>Сладов</v>
      </c>
      <c r="M504" s="24">
        <f t="shared" si="30"/>
        <v>0.3360155382907879</v>
      </c>
      <c r="N504" s="29">
        <f t="shared" si="31"/>
        <v>240.26666666666668</v>
      </c>
      <c r="O504" s="32">
        <f>VLOOKUP(H504,клиенты!$A$2:$G$435,5,FALSE)</f>
        <v>44902</v>
      </c>
      <c r="P504">
        <f>Продажи[[#This Row],[дата создания чека]]-Продажи[[#This Row],[Дата регистрации клиента]]</f>
        <v>229</v>
      </c>
      <c r="Q504" t="str">
        <f>VLOOKUP(H504,Таблица3[],7,FALSE)</f>
        <v>Россия</v>
      </c>
    </row>
    <row r="505" spans="1:17" x14ac:dyDescent="0.3">
      <c r="A505">
        <v>504</v>
      </c>
      <c r="B505">
        <v>234</v>
      </c>
      <c r="C505">
        <v>244</v>
      </c>
      <c r="D505">
        <v>3</v>
      </c>
      <c r="E505">
        <v>732</v>
      </c>
      <c r="F505" s="32">
        <v>45081</v>
      </c>
      <c r="G505" t="s">
        <v>20</v>
      </c>
      <c r="H505">
        <v>453</v>
      </c>
      <c r="I505" t="str">
        <f>VLOOKUP(B505,товар!$A$1:$C$433,2,FALSE)</f>
        <v>Чай</v>
      </c>
      <c r="J505" s="22">
        <f t="shared" si="28"/>
        <v>271.18181818181819</v>
      </c>
      <c r="K505" s="24">
        <f t="shared" si="29"/>
        <v>-0.10023466309084816</v>
      </c>
      <c r="L505" t="str">
        <f>VLOOKUP(B505,товар!$A$1:$C$433,3,FALSE)</f>
        <v>Greenfield</v>
      </c>
      <c r="M505" s="24">
        <f t="shared" si="30"/>
        <v>-0.16281971303805365</v>
      </c>
      <c r="N505" s="29">
        <f t="shared" si="31"/>
        <v>291.45454545454544</v>
      </c>
      <c r="O505" s="32">
        <f>VLOOKUP(H505,клиенты!$A$2:$G$435,5,FALSE)</f>
        <v>44635</v>
      </c>
      <c r="P505">
        <f>Продажи[[#This Row],[дата создания чека]]-Продажи[[#This Row],[Дата регистрации клиента]]</f>
        <v>446</v>
      </c>
      <c r="Q505" t="str">
        <f>VLOOKUP(H505,Таблица3[],7,FALSE)</f>
        <v>Россия</v>
      </c>
    </row>
    <row r="506" spans="1:17" x14ac:dyDescent="0.3">
      <c r="A506">
        <v>505</v>
      </c>
      <c r="B506">
        <v>336</v>
      </c>
      <c r="C506">
        <v>416</v>
      </c>
      <c r="D506">
        <v>2</v>
      </c>
      <c r="E506">
        <v>832</v>
      </c>
      <c r="F506" s="32">
        <v>45173</v>
      </c>
      <c r="G506" t="s">
        <v>12</v>
      </c>
      <c r="H506">
        <v>335</v>
      </c>
      <c r="I506" t="str">
        <f>VLOOKUP(B506,товар!$A$1:$C$433,2,FALSE)</f>
        <v>Чипсы</v>
      </c>
      <c r="J506" s="22">
        <f t="shared" si="28"/>
        <v>273.72549019607845</v>
      </c>
      <c r="K506" s="24">
        <f t="shared" si="29"/>
        <v>0.51977077363896829</v>
      </c>
      <c r="L506" t="str">
        <f>VLOOKUP(B506,товар!$A$1:$C$433,3,FALSE)</f>
        <v>Estrella</v>
      </c>
      <c r="M506" s="24">
        <f t="shared" si="30"/>
        <v>0.56230795493342445</v>
      </c>
      <c r="N506" s="29">
        <f t="shared" si="31"/>
        <v>266.27272727272725</v>
      </c>
      <c r="O506" s="32">
        <f>VLOOKUP(H506,клиенты!$A$2:$G$435,5,FALSE)</f>
        <v>44619</v>
      </c>
      <c r="P506">
        <f>Продажи[[#This Row],[дата создания чека]]-Продажи[[#This Row],[Дата регистрации клиента]]</f>
        <v>554</v>
      </c>
      <c r="Q506" t="str">
        <f>VLOOKUP(H506,Таблица3[],7,FALSE)</f>
        <v>Узбекистан</v>
      </c>
    </row>
    <row r="507" spans="1:17" x14ac:dyDescent="0.3">
      <c r="A507">
        <v>506</v>
      </c>
      <c r="B507">
        <v>441</v>
      </c>
      <c r="C507">
        <v>293</v>
      </c>
      <c r="D507">
        <v>3</v>
      </c>
      <c r="E507">
        <v>879</v>
      </c>
      <c r="F507" s="32">
        <v>45274</v>
      </c>
      <c r="G507" t="s">
        <v>24</v>
      </c>
      <c r="H507">
        <v>136</v>
      </c>
      <c r="I507" t="str">
        <f>VLOOKUP(B507,товар!$A$1:$C$433,2,FALSE)</f>
        <v>Чай</v>
      </c>
      <c r="J507" s="22">
        <f t="shared" si="28"/>
        <v>271.18181818181819</v>
      </c>
      <c r="K507" s="24">
        <f t="shared" si="29"/>
        <v>8.0455916862219201E-2</v>
      </c>
      <c r="L507" t="str">
        <f>VLOOKUP(B507,товар!$A$1:$C$433,3,FALSE)</f>
        <v>Lipton</v>
      </c>
      <c r="M507" s="24">
        <f t="shared" si="30"/>
        <v>0.12623912603681986</v>
      </c>
      <c r="N507" s="29">
        <f t="shared" si="31"/>
        <v>260.15789473684208</v>
      </c>
      <c r="O507" s="32">
        <f>VLOOKUP(H507,клиенты!$A$2:$G$435,5,FALSE)</f>
        <v>44860</v>
      </c>
      <c r="P507">
        <f>Продажи[[#This Row],[дата создания чека]]-Продажи[[#This Row],[Дата регистрации клиента]]</f>
        <v>414</v>
      </c>
      <c r="Q507" t="str">
        <f>VLOOKUP(H507,Таблица3[],7,FALSE)</f>
        <v>Украина</v>
      </c>
    </row>
    <row r="508" spans="1:17" x14ac:dyDescent="0.3">
      <c r="A508">
        <v>507</v>
      </c>
      <c r="B508">
        <v>481</v>
      </c>
      <c r="C508">
        <v>63</v>
      </c>
      <c r="D508">
        <v>1</v>
      </c>
      <c r="E508">
        <v>63</v>
      </c>
      <c r="F508" s="32">
        <v>45301</v>
      </c>
      <c r="G508" t="s">
        <v>12</v>
      </c>
      <c r="H508">
        <v>388</v>
      </c>
      <c r="I508" t="str">
        <f>VLOOKUP(B508,товар!$A$1:$C$433,2,FALSE)</f>
        <v>Чипсы</v>
      </c>
      <c r="J508" s="22">
        <f t="shared" si="28"/>
        <v>273.72549019607845</v>
      </c>
      <c r="K508" s="24">
        <f t="shared" si="29"/>
        <v>-0.76984240687679084</v>
      </c>
      <c r="L508" t="str">
        <f>VLOOKUP(B508,товар!$A$1:$C$433,3,FALSE)</f>
        <v>Pringles</v>
      </c>
      <c r="M508" s="24">
        <f t="shared" si="30"/>
        <v>-0.77519116397621068</v>
      </c>
      <c r="N508" s="29">
        <f t="shared" si="31"/>
        <v>280.23809523809524</v>
      </c>
      <c r="O508" s="32">
        <f>VLOOKUP(H508,клиенты!$A$2:$G$435,5,FALSE)</f>
        <v>44581</v>
      </c>
      <c r="P508">
        <f>Продажи[[#This Row],[дата создания чека]]-Продажи[[#This Row],[Дата регистрации клиента]]</f>
        <v>720</v>
      </c>
      <c r="Q508" t="str">
        <f>VLOOKUP(H508,Таблица3[],7,FALSE)</f>
        <v>Россия</v>
      </c>
    </row>
    <row r="509" spans="1:17" x14ac:dyDescent="0.3">
      <c r="A509">
        <v>508</v>
      </c>
      <c r="B509">
        <v>403</v>
      </c>
      <c r="C509">
        <v>240</v>
      </c>
      <c r="D509">
        <v>1</v>
      </c>
      <c r="E509">
        <v>240</v>
      </c>
      <c r="F509" s="32">
        <v>45359</v>
      </c>
      <c r="G509" t="s">
        <v>10</v>
      </c>
      <c r="H509">
        <v>341</v>
      </c>
      <c r="I509" t="str">
        <f>VLOOKUP(B509,товар!$A$1:$C$433,2,FALSE)</f>
        <v>Чай</v>
      </c>
      <c r="J509" s="22">
        <f t="shared" si="28"/>
        <v>271.18181818181819</v>
      </c>
      <c r="K509" s="24">
        <f t="shared" si="29"/>
        <v>-0.11498491451558834</v>
      </c>
      <c r="L509" t="str">
        <f>VLOOKUP(B509,товар!$A$1:$C$433,3,FALSE)</f>
        <v>Ахмад</v>
      </c>
      <c r="M509" s="24">
        <f t="shared" si="30"/>
        <v>-1.3563501849568449E-2</v>
      </c>
      <c r="N509" s="29">
        <f t="shared" si="31"/>
        <v>243.3</v>
      </c>
      <c r="O509" s="32">
        <f>VLOOKUP(H509,клиенты!$A$2:$G$435,5,FALSE)</f>
        <v>44724</v>
      </c>
      <c r="P509">
        <f>Продажи[[#This Row],[дата создания чека]]-Продажи[[#This Row],[Дата регистрации клиента]]</f>
        <v>635</v>
      </c>
      <c r="Q509" t="str">
        <f>VLOOKUP(H509,Таблица3[],7,FALSE)</f>
        <v>Россия</v>
      </c>
    </row>
    <row r="510" spans="1:17" x14ac:dyDescent="0.3">
      <c r="A510">
        <v>509</v>
      </c>
      <c r="B510">
        <v>137</v>
      </c>
      <c r="C510">
        <v>432</v>
      </c>
      <c r="D510">
        <v>5</v>
      </c>
      <c r="E510">
        <v>2160</v>
      </c>
      <c r="F510" s="32">
        <v>45131</v>
      </c>
      <c r="G510" t="s">
        <v>22</v>
      </c>
      <c r="H510">
        <v>185</v>
      </c>
      <c r="I510" t="str">
        <f>VLOOKUP(B510,товар!$A$1:$C$433,2,FALSE)</f>
        <v>Фрукты</v>
      </c>
      <c r="J510" s="22">
        <f t="shared" si="28"/>
        <v>274.16279069767444</v>
      </c>
      <c r="K510" s="24">
        <f t="shared" si="29"/>
        <v>0.57570616676562891</v>
      </c>
      <c r="L510" t="str">
        <f>VLOOKUP(B510,товар!$A$1:$C$433,3,FALSE)</f>
        <v>Экзотик</v>
      </c>
      <c r="M510" s="24">
        <f t="shared" si="30"/>
        <v>0.70288248337028825</v>
      </c>
      <c r="N510" s="29">
        <f t="shared" si="31"/>
        <v>253.6875</v>
      </c>
      <c r="O510" s="32">
        <f>VLOOKUP(H510,клиенты!$A$2:$G$435,5,FALSE)</f>
        <v>44683</v>
      </c>
      <c r="P510">
        <f>Продажи[[#This Row],[дата создания чека]]-Продажи[[#This Row],[Дата регистрации клиента]]</f>
        <v>448</v>
      </c>
      <c r="Q510" t="str">
        <f>VLOOKUP(H510,Таблица3[],7,FALSE)</f>
        <v>Узбекистан</v>
      </c>
    </row>
    <row r="511" spans="1:17" x14ac:dyDescent="0.3">
      <c r="A511">
        <v>510</v>
      </c>
      <c r="B511">
        <v>246</v>
      </c>
      <c r="C511">
        <v>196</v>
      </c>
      <c r="D511">
        <v>5</v>
      </c>
      <c r="E511">
        <v>980</v>
      </c>
      <c r="F511" s="32">
        <v>45168</v>
      </c>
      <c r="G511" t="s">
        <v>15</v>
      </c>
      <c r="H511">
        <v>437</v>
      </c>
      <c r="I511" t="str">
        <f>VLOOKUP(B511,товар!$A$1:$C$433,2,FALSE)</f>
        <v>Сыр</v>
      </c>
      <c r="J511" s="22">
        <f t="shared" si="28"/>
        <v>262.63492063492066</v>
      </c>
      <c r="K511" s="24">
        <f t="shared" si="29"/>
        <v>-0.25371691043152433</v>
      </c>
      <c r="L511" t="str">
        <f>VLOOKUP(B511,товар!$A$1:$C$433,3,FALSE)</f>
        <v>President</v>
      </c>
      <c r="M511" s="24">
        <f t="shared" si="30"/>
        <v>-0.17896206655806379</v>
      </c>
      <c r="N511" s="29">
        <f t="shared" si="31"/>
        <v>238.72222222222223</v>
      </c>
      <c r="O511" s="32">
        <f>VLOOKUP(H511,клиенты!$A$2:$G$435,5,FALSE)</f>
        <v>44576</v>
      </c>
      <c r="P511">
        <f>Продажи[[#This Row],[дата создания чека]]-Продажи[[#This Row],[Дата регистрации клиента]]</f>
        <v>592</v>
      </c>
      <c r="Q511" t="str">
        <f>VLOOKUP(H511,Таблица3[],7,FALSE)</f>
        <v>Узбекистан</v>
      </c>
    </row>
    <row r="512" spans="1:17" x14ac:dyDescent="0.3">
      <c r="A512">
        <v>511</v>
      </c>
      <c r="B512">
        <v>4</v>
      </c>
      <c r="C512">
        <v>493</v>
      </c>
      <c r="D512">
        <v>4</v>
      </c>
      <c r="E512">
        <v>1972</v>
      </c>
      <c r="F512" s="32">
        <v>45155</v>
      </c>
      <c r="G512" t="s">
        <v>16</v>
      </c>
      <c r="H512">
        <v>263</v>
      </c>
      <c r="I512" t="str">
        <f>VLOOKUP(B512,товар!$A$1:$C$433,2,FALSE)</f>
        <v>Рис</v>
      </c>
      <c r="J512" s="22">
        <f t="shared" si="28"/>
        <v>258.375</v>
      </c>
      <c r="K512" s="24">
        <f t="shared" si="29"/>
        <v>0.90807934204160623</v>
      </c>
      <c r="L512" t="str">
        <f>VLOOKUP(B512,товар!$A$1:$C$433,3,FALSE)</f>
        <v>Белый Злат</v>
      </c>
      <c r="M512" s="24">
        <f t="shared" si="30"/>
        <v>0.82791712104689208</v>
      </c>
      <c r="N512" s="29">
        <f t="shared" si="31"/>
        <v>269.70588235294116</v>
      </c>
      <c r="O512" s="32">
        <f>VLOOKUP(H512,клиенты!$A$2:$G$435,5,FALSE)</f>
        <v>44612</v>
      </c>
      <c r="P512">
        <f>Продажи[[#This Row],[дата создания чека]]-Продажи[[#This Row],[Дата регистрации клиента]]</f>
        <v>543</v>
      </c>
      <c r="Q512" t="str">
        <f>VLOOKUP(H512,Таблица3[],7,FALSE)</f>
        <v>Таджикистан</v>
      </c>
    </row>
    <row r="513" spans="1:17" x14ac:dyDescent="0.3">
      <c r="A513">
        <v>512</v>
      </c>
      <c r="B513">
        <v>484</v>
      </c>
      <c r="C513">
        <v>436</v>
      </c>
      <c r="D513">
        <v>2</v>
      </c>
      <c r="E513">
        <v>872</v>
      </c>
      <c r="F513" s="32">
        <v>45405</v>
      </c>
      <c r="G513" t="s">
        <v>15</v>
      </c>
      <c r="H513">
        <v>358</v>
      </c>
      <c r="I513" t="str">
        <f>VLOOKUP(B513,товар!$A$1:$C$433,2,FALSE)</f>
        <v>Печенье</v>
      </c>
      <c r="J513" s="22">
        <f t="shared" si="28"/>
        <v>283.468085106383</v>
      </c>
      <c r="K513" s="24">
        <f t="shared" si="29"/>
        <v>0.53809202131652012</v>
      </c>
      <c r="L513" t="str">
        <f>VLOOKUP(B513,товар!$A$1:$C$433,3,FALSE)</f>
        <v>КДВ</v>
      </c>
      <c r="M513" s="24">
        <f t="shared" si="30"/>
        <v>0.34952380952380935</v>
      </c>
      <c r="N513" s="29">
        <f t="shared" si="31"/>
        <v>323.07692307692309</v>
      </c>
      <c r="O513" s="32">
        <f>VLOOKUP(H513,клиенты!$A$2:$G$435,5,FALSE)</f>
        <v>44771</v>
      </c>
      <c r="P513">
        <f>Продажи[[#This Row],[дата создания чека]]-Продажи[[#This Row],[Дата регистрации клиента]]</f>
        <v>634</v>
      </c>
      <c r="Q513" t="str">
        <f>VLOOKUP(H513,Таблица3[],7,FALSE)</f>
        <v>Украина</v>
      </c>
    </row>
    <row r="514" spans="1:17" x14ac:dyDescent="0.3">
      <c r="A514">
        <v>513</v>
      </c>
      <c r="B514">
        <v>60</v>
      </c>
      <c r="C514">
        <v>412</v>
      </c>
      <c r="D514">
        <v>5</v>
      </c>
      <c r="E514">
        <v>2060</v>
      </c>
      <c r="F514" s="32">
        <v>44930</v>
      </c>
      <c r="G514" t="s">
        <v>17</v>
      </c>
      <c r="H514">
        <v>377</v>
      </c>
      <c r="I514" t="str">
        <f>VLOOKUP(B514,товар!$A$1:$C$433,2,FALSE)</f>
        <v>Кофе</v>
      </c>
      <c r="J514" s="22">
        <f t="shared" ref="J514:J577" si="32">AVERAGEIF($I$2:$I$1001,I514,$C$2:$C$1001)</f>
        <v>249.02380952380952</v>
      </c>
      <c r="K514" s="24">
        <f t="shared" ref="K514:K577" si="33">C514/J514-1</f>
        <v>0.65446027344870461</v>
      </c>
      <c r="L514" t="str">
        <f>VLOOKUP(B514,товар!$A$1:$C$433,3,FALSE)</f>
        <v>Jacobs</v>
      </c>
      <c r="M514" s="24">
        <f t="shared" ref="M514:M577" si="34">C514/N514-1</f>
        <v>0.49161585365853666</v>
      </c>
      <c r="N514" s="29">
        <f t="shared" ref="N514:N577" si="35">AVERAGEIFS($C$2:$C$1001,$I$2:$I$1001,I514,$L$2:$L$1001,L514)</f>
        <v>276.21052631578948</v>
      </c>
      <c r="O514" s="32">
        <f>VLOOKUP(H514,клиенты!$A$2:$G$435,5,FALSE)</f>
        <v>44794</v>
      </c>
      <c r="P514">
        <f>Продажи[[#This Row],[дата создания чека]]-Продажи[[#This Row],[Дата регистрации клиента]]</f>
        <v>136</v>
      </c>
      <c r="Q514" t="str">
        <f>VLOOKUP(H514,Таблица3[],7,FALSE)</f>
        <v>Узбекистан</v>
      </c>
    </row>
    <row r="515" spans="1:17" x14ac:dyDescent="0.3">
      <c r="A515">
        <v>514</v>
      </c>
      <c r="B515">
        <v>477</v>
      </c>
      <c r="C515">
        <v>117</v>
      </c>
      <c r="D515">
        <v>3</v>
      </c>
      <c r="E515">
        <v>351</v>
      </c>
      <c r="F515" s="32">
        <v>45247</v>
      </c>
      <c r="G515" t="s">
        <v>23</v>
      </c>
      <c r="H515">
        <v>450</v>
      </c>
      <c r="I515" t="str">
        <f>VLOOKUP(B515,товар!$A$1:$C$433,2,FALSE)</f>
        <v>Макароны</v>
      </c>
      <c r="J515" s="22">
        <f t="shared" si="32"/>
        <v>265.47674418604652</v>
      </c>
      <c r="K515" s="24">
        <f t="shared" si="33"/>
        <v>-0.559283430423547</v>
      </c>
      <c r="L515" t="str">
        <f>VLOOKUP(B515,товар!$A$1:$C$433,3,FALSE)</f>
        <v>Борилла</v>
      </c>
      <c r="M515" s="24">
        <f t="shared" si="34"/>
        <v>-0.50481611208406307</v>
      </c>
      <c r="N515" s="29">
        <f t="shared" si="35"/>
        <v>236.27586206896552</v>
      </c>
      <c r="O515" s="32">
        <f>VLOOKUP(H515,клиенты!$A$2:$G$435,5,FALSE)</f>
        <v>44619</v>
      </c>
      <c r="P515">
        <f>Продажи[[#This Row],[дата создания чека]]-Продажи[[#This Row],[Дата регистрации клиента]]</f>
        <v>628</v>
      </c>
      <c r="Q515" t="str">
        <f>VLOOKUP(H515,Таблица3[],7,FALSE)</f>
        <v>Россия</v>
      </c>
    </row>
    <row r="516" spans="1:17" x14ac:dyDescent="0.3">
      <c r="A516">
        <v>515</v>
      </c>
      <c r="B516">
        <v>174</v>
      </c>
      <c r="C516">
        <v>301</v>
      </c>
      <c r="D516">
        <v>4</v>
      </c>
      <c r="E516">
        <v>1204</v>
      </c>
      <c r="F516" s="32">
        <v>45382</v>
      </c>
      <c r="G516" t="s">
        <v>14</v>
      </c>
      <c r="H516">
        <v>210</v>
      </c>
      <c r="I516" t="str">
        <f>VLOOKUP(B516,товар!$A$1:$C$433,2,FALSE)</f>
        <v>Чай</v>
      </c>
      <c r="J516" s="22">
        <f t="shared" si="32"/>
        <v>271.18181818181819</v>
      </c>
      <c r="K516" s="24">
        <f t="shared" si="33"/>
        <v>0.10995641971169956</v>
      </c>
      <c r="L516" t="str">
        <f>VLOOKUP(B516,товар!$A$1:$C$433,3,FALSE)</f>
        <v>Ахмад</v>
      </c>
      <c r="M516" s="24">
        <f t="shared" si="34"/>
        <v>0.23715577476366612</v>
      </c>
      <c r="N516" s="29">
        <f t="shared" si="35"/>
        <v>243.3</v>
      </c>
      <c r="O516" s="32">
        <f>VLOOKUP(H516,клиенты!$A$2:$G$435,5,FALSE)</f>
        <v>44602</v>
      </c>
      <c r="P516">
        <f>Продажи[[#This Row],[дата создания чека]]-Продажи[[#This Row],[Дата регистрации клиента]]</f>
        <v>780</v>
      </c>
      <c r="Q516" t="str">
        <f>VLOOKUP(H516,Таблица3[],7,FALSE)</f>
        <v>Узбекистан</v>
      </c>
    </row>
    <row r="517" spans="1:17" x14ac:dyDescent="0.3">
      <c r="A517">
        <v>516</v>
      </c>
      <c r="B517">
        <v>240</v>
      </c>
      <c r="C517">
        <v>156</v>
      </c>
      <c r="D517">
        <v>4</v>
      </c>
      <c r="E517">
        <v>624</v>
      </c>
      <c r="F517" s="32">
        <v>45317</v>
      </c>
      <c r="G517" t="s">
        <v>23</v>
      </c>
      <c r="H517">
        <v>67</v>
      </c>
      <c r="I517" t="str">
        <f>VLOOKUP(B517,товар!$A$1:$C$433,2,FALSE)</f>
        <v>Макароны</v>
      </c>
      <c r="J517" s="22">
        <f t="shared" si="32"/>
        <v>265.47674418604652</v>
      </c>
      <c r="K517" s="24">
        <f t="shared" si="33"/>
        <v>-0.41237790723139589</v>
      </c>
      <c r="L517" t="str">
        <f>VLOOKUP(B517,товар!$A$1:$C$433,3,FALSE)</f>
        <v>Борилла</v>
      </c>
      <c r="M517" s="24">
        <f t="shared" si="34"/>
        <v>-0.33975481611208413</v>
      </c>
      <c r="N517" s="29">
        <f t="shared" si="35"/>
        <v>236.27586206896552</v>
      </c>
      <c r="O517" s="32">
        <f>VLOOKUP(H517,клиенты!$A$2:$G$435,5,FALSE)</f>
        <v>44731</v>
      </c>
      <c r="P517">
        <f>Продажи[[#This Row],[дата создания чека]]-Продажи[[#This Row],[Дата регистрации клиента]]</f>
        <v>586</v>
      </c>
      <c r="Q517" t="str">
        <f>VLOOKUP(H517,Таблица3[],7,FALSE)</f>
        <v>Узбекистан</v>
      </c>
    </row>
    <row r="518" spans="1:17" x14ac:dyDescent="0.3">
      <c r="A518">
        <v>517</v>
      </c>
      <c r="B518">
        <v>299</v>
      </c>
      <c r="C518">
        <v>141</v>
      </c>
      <c r="D518">
        <v>4</v>
      </c>
      <c r="E518">
        <v>564</v>
      </c>
      <c r="F518" s="32">
        <v>45269</v>
      </c>
      <c r="G518" t="s">
        <v>18</v>
      </c>
      <c r="H518">
        <v>125</v>
      </c>
      <c r="I518" t="str">
        <f>VLOOKUP(B518,товар!$A$1:$C$433,2,FALSE)</f>
        <v>Чай</v>
      </c>
      <c r="J518" s="22">
        <f t="shared" si="32"/>
        <v>271.18181818181819</v>
      </c>
      <c r="K518" s="24">
        <f t="shared" si="33"/>
        <v>-0.48005363727790817</v>
      </c>
      <c r="L518" t="str">
        <f>VLOOKUP(B518,товар!$A$1:$C$433,3,FALSE)</f>
        <v>Lipton</v>
      </c>
      <c r="M518" s="24">
        <f t="shared" si="34"/>
        <v>-0.45802144446692283</v>
      </c>
      <c r="N518" s="29">
        <f t="shared" si="35"/>
        <v>260.15789473684208</v>
      </c>
      <c r="O518" s="32">
        <f>VLOOKUP(H518,клиенты!$A$2:$G$435,5,FALSE)</f>
        <v>44701</v>
      </c>
      <c r="P518">
        <f>Продажи[[#This Row],[дата создания чека]]-Продажи[[#This Row],[Дата регистрации клиента]]</f>
        <v>568</v>
      </c>
      <c r="Q518" t="str">
        <f>VLOOKUP(H518,Таблица3[],7,FALSE)</f>
        <v>Россия</v>
      </c>
    </row>
    <row r="519" spans="1:17" x14ac:dyDescent="0.3">
      <c r="A519">
        <v>518</v>
      </c>
      <c r="B519">
        <v>481</v>
      </c>
      <c r="C519">
        <v>463</v>
      </c>
      <c r="D519">
        <v>2</v>
      </c>
      <c r="E519">
        <v>926</v>
      </c>
      <c r="F519" s="32">
        <v>45171</v>
      </c>
      <c r="G519" t="s">
        <v>22</v>
      </c>
      <c r="H519">
        <v>213</v>
      </c>
      <c r="I519" t="str">
        <f>VLOOKUP(B519,товар!$A$1:$C$433,2,FALSE)</f>
        <v>Чипсы</v>
      </c>
      <c r="J519" s="22">
        <f t="shared" si="32"/>
        <v>273.72549019607845</v>
      </c>
      <c r="K519" s="24">
        <f t="shared" si="33"/>
        <v>0.69147564469914036</v>
      </c>
      <c r="L519" t="str">
        <f>VLOOKUP(B519,товар!$A$1:$C$433,3,FALSE)</f>
        <v>Pringles</v>
      </c>
      <c r="M519" s="24">
        <f t="shared" si="34"/>
        <v>0.65216652506372141</v>
      </c>
      <c r="N519" s="29">
        <f t="shared" si="35"/>
        <v>280.23809523809524</v>
      </c>
      <c r="O519" s="32">
        <f>VLOOKUP(H519,клиенты!$A$2:$G$435,5,FALSE)</f>
        <v>44733</v>
      </c>
      <c r="P519">
        <f>Продажи[[#This Row],[дата создания чека]]-Продажи[[#This Row],[Дата регистрации клиента]]</f>
        <v>438</v>
      </c>
      <c r="Q519" t="str">
        <f>VLOOKUP(H519,Таблица3[],7,FALSE)</f>
        <v>Узбекистан</v>
      </c>
    </row>
    <row r="520" spans="1:17" x14ac:dyDescent="0.3">
      <c r="A520">
        <v>519</v>
      </c>
      <c r="B520">
        <v>213</v>
      </c>
      <c r="C520">
        <v>432</v>
      </c>
      <c r="D520">
        <v>3</v>
      </c>
      <c r="E520">
        <v>1296</v>
      </c>
      <c r="F520" s="32">
        <v>45196</v>
      </c>
      <c r="G520" t="s">
        <v>21</v>
      </c>
      <c r="H520">
        <v>254</v>
      </c>
      <c r="I520" t="str">
        <f>VLOOKUP(B520,товар!$A$1:$C$433,2,FALSE)</f>
        <v>Сахар</v>
      </c>
      <c r="J520" s="22">
        <f t="shared" si="32"/>
        <v>252.76271186440678</v>
      </c>
      <c r="K520" s="24">
        <f t="shared" si="33"/>
        <v>0.70911285455642736</v>
      </c>
      <c r="L520" t="str">
        <f>VLOOKUP(B520,товар!$A$1:$C$433,3,FALSE)</f>
        <v>Продимекс</v>
      </c>
      <c r="M520" s="24">
        <f t="shared" si="34"/>
        <v>0.79625779625779636</v>
      </c>
      <c r="N520" s="29">
        <f t="shared" si="35"/>
        <v>240.5</v>
      </c>
      <c r="O520" s="32">
        <f>VLOOKUP(H520,клиенты!$A$2:$G$435,5,FALSE)</f>
        <v>44862</v>
      </c>
      <c r="P520">
        <f>Продажи[[#This Row],[дата создания чека]]-Продажи[[#This Row],[Дата регистрации клиента]]</f>
        <v>334</v>
      </c>
      <c r="Q520" t="str">
        <f>VLOOKUP(H520,Таблица3[],7,FALSE)</f>
        <v>Беларусь</v>
      </c>
    </row>
    <row r="521" spans="1:17" x14ac:dyDescent="0.3">
      <c r="A521">
        <v>520</v>
      </c>
      <c r="B521">
        <v>484</v>
      </c>
      <c r="C521">
        <v>238</v>
      </c>
      <c r="D521">
        <v>2</v>
      </c>
      <c r="E521">
        <v>476</v>
      </c>
      <c r="F521" s="32">
        <v>45364</v>
      </c>
      <c r="G521" t="s">
        <v>14</v>
      </c>
      <c r="H521">
        <v>252</v>
      </c>
      <c r="I521" t="str">
        <f>VLOOKUP(B521,товар!$A$1:$C$433,2,FALSE)</f>
        <v>Печенье</v>
      </c>
      <c r="J521" s="22">
        <f t="shared" si="32"/>
        <v>283.468085106383</v>
      </c>
      <c r="K521" s="24">
        <f t="shared" si="33"/>
        <v>-0.16039930946483527</v>
      </c>
      <c r="L521" t="str">
        <f>VLOOKUP(B521,товар!$A$1:$C$433,3,FALSE)</f>
        <v>КДВ</v>
      </c>
      <c r="M521" s="24">
        <f t="shared" si="34"/>
        <v>-0.26333333333333342</v>
      </c>
      <c r="N521" s="29">
        <f t="shared" si="35"/>
        <v>323.07692307692309</v>
      </c>
      <c r="O521" s="32">
        <f>VLOOKUP(H521,клиенты!$A$2:$G$435,5,FALSE)</f>
        <v>44643</v>
      </c>
      <c r="P521">
        <f>Продажи[[#This Row],[дата создания чека]]-Продажи[[#This Row],[Дата регистрации клиента]]</f>
        <v>721</v>
      </c>
      <c r="Q521" t="str">
        <f>VLOOKUP(H521,Таблица3[],7,FALSE)</f>
        <v>Россия</v>
      </c>
    </row>
    <row r="522" spans="1:17" x14ac:dyDescent="0.3">
      <c r="A522">
        <v>521</v>
      </c>
      <c r="B522">
        <v>479</v>
      </c>
      <c r="C522">
        <v>131</v>
      </c>
      <c r="D522">
        <v>5</v>
      </c>
      <c r="E522">
        <v>655</v>
      </c>
      <c r="F522" s="32">
        <v>44965</v>
      </c>
      <c r="G522" t="s">
        <v>12</v>
      </c>
      <c r="H522">
        <v>164</v>
      </c>
      <c r="I522" t="str">
        <f>VLOOKUP(B522,товар!$A$1:$C$433,2,FALSE)</f>
        <v>Овощи</v>
      </c>
      <c r="J522" s="22">
        <f t="shared" si="32"/>
        <v>250.48780487804879</v>
      </c>
      <c r="K522" s="24">
        <f t="shared" si="33"/>
        <v>-0.47702044790652387</v>
      </c>
      <c r="L522" t="str">
        <f>VLOOKUP(B522,товар!$A$1:$C$433,3,FALSE)</f>
        <v>Гавриш</v>
      </c>
      <c r="M522" s="24">
        <f t="shared" si="34"/>
        <v>-0.47106325706594887</v>
      </c>
      <c r="N522" s="29">
        <f t="shared" si="35"/>
        <v>247.66666666666666</v>
      </c>
      <c r="O522" s="32">
        <f>VLOOKUP(H522,клиенты!$A$2:$G$435,5,FALSE)</f>
        <v>44678</v>
      </c>
      <c r="P522">
        <f>Продажи[[#This Row],[дата создания чека]]-Продажи[[#This Row],[Дата регистрации клиента]]</f>
        <v>287</v>
      </c>
      <c r="Q522" t="str">
        <f>VLOOKUP(H522,Таблица3[],7,FALSE)</f>
        <v>Россия</v>
      </c>
    </row>
    <row r="523" spans="1:17" x14ac:dyDescent="0.3">
      <c r="A523">
        <v>522</v>
      </c>
      <c r="B523">
        <v>159</v>
      </c>
      <c r="C523">
        <v>225</v>
      </c>
      <c r="D523">
        <v>1</v>
      </c>
      <c r="E523">
        <v>225</v>
      </c>
      <c r="F523" s="32">
        <v>45016</v>
      </c>
      <c r="G523" t="s">
        <v>21</v>
      </c>
      <c r="H523">
        <v>258</v>
      </c>
      <c r="I523" t="str">
        <f>VLOOKUP(B523,товар!$A$1:$C$433,2,FALSE)</f>
        <v>Крупа</v>
      </c>
      <c r="J523" s="22">
        <f t="shared" si="32"/>
        <v>255.11627906976744</v>
      </c>
      <c r="K523" s="24">
        <f t="shared" si="33"/>
        <v>-0.11804922515952598</v>
      </c>
      <c r="L523" t="str">
        <f>VLOOKUP(B523,товар!$A$1:$C$433,3,FALSE)</f>
        <v>Националь</v>
      </c>
      <c r="M523" s="24">
        <f t="shared" si="34"/>
        <v>-0.1796875</v>
      </c>
      <c r="N523" s="29">
        <f t="shared" si="35"/>
        <v>274.28571428571428</v>
      </c>
      <c r="O523" s="32">
        <f>VLOOKUP(H523,клиенты!$A$2:$G$435,5,FALSE)</f>
        <v>44717</v>
      </c>
      <c r="P523">
        <f>Продажи[[#This Row],[дата создания чека]]-Продажи[[#This Row],[Дата регистрации клиента]]</f>
        <v>299</v>
      </c>
      <c r="Q523" t="str">
        <f>VLOOKUP(H523,Таблица3[],7,FALSE)</f>
        <v>Украина</v>
      </c>
    </row>
    <row r="524" spans="1:17" x14ac:dyDescent="0.3">
      <c r="A524">
        <v>523</v>
      </c>
      <c r="B524">
        <v>110</v>
      </c>
      <c r="C524">
        <v>279</v>
      </c>
      <c r="D524">
        <v>1</v>
      </c>
      <c r="E524">
        <v>279</v>
      </c>
      <c r="F524" s="32">
        <v>45311</v>
      </c>
      <c r="G524" t="s">
        <v>18</v>
      </c>
      <c r="H524">
        <v>290</v>
      </c>
      <c r="I524" t="str">
        <f>VLOOKUP(B524,товар!$A$1:$C$433,2,FALSE)</f>
        <v>Макароны</v>
      </c>
      <c r="J524" s="22">
        <f t="shared" si="32"/>
        <v>265.47674418604652</v>
      </c>
      <c r="K524" s="24">
        <f t="shared" si="33"/>
        <v>5.0939512066926484E-2</v>
      </c>
      <c r="L524" t="str">
        <f>VLOOKUP(B524,товар!$A$1:$C$433,3,FALSE)</f>
        <v>Паста Зара</v>
      </c>
      <c r="M524" s="24">
        <f t="shared" si="34"/>
        <v>8.4008987007913039E-3</v>
      </c>
      <c r="N524" s="29">
        <f t="shared" si="35"/>
        <v>276.67567567567568</v>
      </c>
      <c r="O524" s="32">
        <f>VLOOKUP(H524,клиенты!$A$2:$G$435,5,FALSE)</f>
        <v>44777</v>
      </c>
      <c r="P524">
        <f>Продажи[[#This Row],[дата создания чека]]-Продажи[[#This Row],[Дата регистрации клиента]]</f>
        <v>534</v>
      </c>
      <c r="Q524" t="str">
        <f>VLOOKUP(H524,Таблица3[],7,FALSE)</f>
        <v>Россия</v>
      </c>
    </row>
    <row r="525" spans="1:17" x14ac:dyDescent="0.3">
      <c r="A525">
        <v>524</v>
      </c>
      <c r="B525">
        <v>224</v>
      </c>
      <c r="C525">
        <v>161</v>
      </c>
      <c r="D525">
        <v>2</v>
      </c>
      <c r="E525">
        <v>322</v>
      </c>
      <c r="F525" s="32">
        <v>45177</v>
      </c>
      <c r="G525" t="s">
        <v>18</v>
      </c>
      <c r="H525">
        <v>336</v>
      </c>
      <c r="I525" t="str">
        <f>VLOOKUP(B525,товар!$A$1:$C$433,2,FALSE)</f>
        <v>Чипсы</v>
      </c>
      <c r="J525" s="22">
        <f t="shared" si="32"/>
        <v>273.72549019607845</v>
      </c>
      <c r="K525" s="24">
        <f t="shared" si="33"/>
        <v>-0.41181948424068771</v>
      </c>
      <c r="L525" t="str">
        <f>VLOOKUP(B525,товар!$A$1:$C$433,3,FALSE)</f>
        <v>Pringles</v>
      </c>
      <c r="M525" s="24">
        <f t="shared" si="34"/>
        <v>-0.4254885301614274</v>
      </c>
      <c r="N525" s="29">
        <f t="shared" si="35"/>
        <v>280.23809523809524</v>
      </c>
      <c r="O525" s="32">
        <f>VLOOKUP(H525,клиенты!$A$2:$G$435,5,FALSE)</f>
        <v>44856</v>
      </c>
      <c r="P525">
        <f>Продажи[[#This Row],[дата создания чека]]-Продажи[[#This Row],[Дата регистрации клиента]]</f>
        <v>321</v>
      </c>
      <c r="Q525" t="str">
        <f>VLOOKUP(H525,Таблица3[],7,FALSE)</f>
        <v>Узбекистан</v>
      </c>
    </row>
    <row r="526" spans="1:17" x14ac:dyDescent="0.3">
      <c r="A526">
        <v>525</v>
      </c>
      <c r="B526">
        <v>126</v>
      </c>
      <c r="C526">
        <v>267</v>
      </c>
      <c r="D526">
        <v>1</v>
      </c>
      <c r="E526">
        <v>267</v>
      </c>
      <c r="F526" s="32">
        <v>44989</v>
      </c>
      <c r="G526" t="s">
        <v>24</v>
      </c>
      <c r="H526">
        <v>437</v>
      </c>
      <c r="I526" t="str">
        <f>VLOOKUP(B526,товар!$A$1:$C$433,2,FALSE)</f>
        <v>Сахар</v>
      </c>
      <c r="J526" s="22">
        <f t="shared" si="32"/>
        <v>252.76271186440678</v>
      </c>
      <c r="K526" s="24">
        <f t="shared" si="33"/>
        <v>5.6326694830014068E-2</v>
      </c>
      <c r="L526" t="str">
        <f>VLOOKUP(B526,товар!$A$1:$C$433,3,FALSE)</f>
        <v>Русский сахар</v>
      </c>
      <c r="M526" s="24">
        <f t="shared" si="34"/>
        <v>-9.0016038492381822E-2</v>
      </c>
      <c r="N526" s="29">
        <f t="shared" si="35"/>
        <v>293.41176470588238</v>
      </c>
      <c r="O526" s="32">
        <f>VLOOKUP(H526,клиенты!$A$2:$G$435,5,FALSE)</f>
        <v>44576</v>
      </c>
      <c r="P526">
        <f>Продажи[[#This Row],[дата создания чека]]-Продажи[[#This Row],[Дата регистрации клиента]]</f>
        <v>413</v>
      </c>
      <c r="Q526" t="str">
        <f>VLOOKUP(H526,Таблица3[],7,FALSE)</f>
        <v>Узбекистан</v>
      </c>
    </row>
    <row r="527" spans="1:17" x14ac:dyDescent="0.3">
      <c r="A527">
        <v>526</v>
      </c>
      <c r="B527">
        <v>344</v>
      </c>
      <c r="C527">
        <v>110</v>
      </c>
      <c r="D527">
        <v>4</v>
      </c>
      <c r="E527">
        <v>440</v>
      </c>
      <c r="F527" s="32">
        <v>45284</v>
      </c>
      <c r="G527" t="s">
        <v>25</v>
      </c>
      <c r="H527">
        <v>294</v>
      </c>
      <c r="I527" t="str">
        <f>VLOOKUP(B527,товар!$A$1:$C$433,2,FALSE)</f>
        <v>Сок</v>
      </c>
      <c r="J527" s="22">
        <f t="shared" si="32"/>
        <v>268.60344827586209</v>
      </c>
      <c r="K527" s="24">
        <f t="shared" si="33"/>
        <v>-0.59047435650555236</v>
      </c>
      <c r="L527" t="str">
        <f>VLOOKUP(B527,товар!$A$1:$C$433,3,FALSE)</f>
        <v>Сады Придонья</v>
      </c>
      <c r="M527" s="24">
        <f t="shared" si="34"/>
        <v>-0.56723891273247495</v>
      </c>
      <c r="N527" s="29">
        <f t="shared" si="35"/>
        <v>254.18181818181819</v>
      </c>
      <c r="O527" s="32">
        <f>VLOOKUP(H527,клиенты!$A$2:$G$435,5,FALSE)</f>
        <v>44879</v>
      </c>
      <c r="P527">
        <f>Продажи[[#This Row],[дата создания чека]]-Продажи[[#This Row],[Дата регистрации клиента]]</f>
        <v>405</v>
      </c>
      <c r="Q527" t="str">
        <f>VLOOKUP(H527,Таблица3[],7,FALSE)</f>
        <v>Украина</v>
      </c>
    </row>
    <row r="528" spans="1:17" x14ac:dyDescent="0.3">
      <c r="A528">
        <v>527</v>
      </c>
      <c r="B528">
        <v>447</v>
      </c>
      <c r="C528">
        <v>316</v>
      </c>
      <c r="D528">
        <v>1</v>
      </c>
      <c r="E528">
        <v>316</v>
      </c>
      <c r="F528" s="32">
        <v>45121</v>
      </c>
      <c r="G528" t="s">
        <v>17</v>
      </c>
      <c r="H528">
        <v>297</v>
      </c>
      <c r="I528" t="str">
        <f>VLOOKUP(B528,товар!$A$1:$C$433,2,FALSE)</f>
        <v>Йогурт</v>
      </c>
      <c r="J528" s="22">
        <f t="shared" si="32"/>
        <v>263.25423728813558</v>
      </c>
      <c r="K528" s="24">
        <f t="shared" si="33"/>
        <v>0.20036054596961117</v>
      </c>
      <c r="L528" t="str">
        <f>VLOOKUP(B528,товар!$A$1:$C$433,3,FALSE)</f>
        <v>Эрманн</v>
      </c>
      <c r="M528" s="24">
        <f t="shared" si="34"/>
        <v>0.27162977867203209</v>
      </c>
      <c r="N528" s="29">
        <f t="shared" si="35"/>
        <v>248.5</v>
      </c>
      <c r="O528" s="32">
        <f>VLOOKUP(H528,клиенты!$A$2:$G$435,5,FALSE)</f>
        <v>44666</v>
      </c>
      <c r="P528">
        <f>Продажи[[#This Row],[дата создания чека]]-Продажи[[#This Row],[Дата регистрации клиента]]</f>
        <v>455</v>
      </c>
      <c r="Q528" t="str">
        <f>VLOOKUP(H528,Таблица3[],7,FALSE)</f>
        <v>Украина</v>
      </c>
    </row>
    <row r="529" spans="1:17" x14ac:dyDescent="0.3">
      <c r="A529">
        <v>528</v>
      </c>
      <c r="B529">
        <v>450</v>
      </c>
      <c r="C529">
        <v>228</v>
      </c>
      <c r="D529">
        <v>4</v>
      </c>
      <c r="E529">
        <v>912</v>
      </c>
      <c r="F529" s="32">
        <v>45193</v>
      </c>
      <c r="G529" t="s">
        <v>15</v>
      </c>
      <c r="H529">
        <v>27</v>
      </c>
      <c r="I529" t="str">
        <f>VLOOKUP(B529,товар!$A$1:$C$433,2,FALSE)</f>
        <v>Хлеб</v>
      </c>
      <c r="J529" s="22">
        <f t="shared" si="32"/>
        <v>300.31818181818181</v>
      </c>
      <c r="K529" s="24">
        <f t="shared" si="33"/>
        <v>-0.24080520659906157</v>
      </c>
      <c r="L529" t="str">
        <f>VLOOKUP(B529,товар!$A$1:$C$433,3,FALSE)</f>
        <v>Хлебный Дом</v>
      </c>
      <c r="M529" s="24">
        <f t="shared" si="34"/>
        <v>-0.19072408897302418</v>
      </c>
      <c r="N529" s="29">
        <f t="shared" si="35"/>
        <v>281.73333333333335</v>
      </c>
      <c r="O529" s="32">
        <f>VLOOKUP(H529,клиенты!$A$2:$G$435,5,FALSE)</f>
        <v>44586</v>
      </c>
      <c r="P529">
        <f>Продажи[[#This Row],[дата создания чека]]-Продажи[[#This Row],[Дата регистрации клиента]]</f>
        <v>607</v>
      </c>
      <c r="Q529" t="str">
        <f>VLOOKUP(H529,Таблица3[],7,FALSE)</f>
        <v>Украина</v>
      </c>
    </row>
    <row r="530" spans="1:17" x14ac:dyDescent="0.3">
      <c r="A530">
        <v>529</v>
      </c>
      <c r="B530">
        <v>60</v>
      </c>
      <c r="C530">
        <v>100</v>
      </c>
      <c r="D530">
        <v>1</v>
      </c>
      <c r="E530">
        <v>100</v>
      </c>
      <c r="F530" s="32">
        <v>45397</v>
      </c>
      <c r="G530" t="s">
        <v>27</v>
      </c>
      <c r="H530">
        <v>102</v>
      </c>
      <c r="I530" t="str">
        <f>VLOOKUP(B530,товар!$A$1:$C$433,2,FALSE)</f>
        <v>Кофе</v>
      </c>
      <c r="J530" s="22">
        <f t="shared" si="32"/>
        <v>249.02380952380952</v>
      </c>
      <c r="K530" s="24">
        <f t="shared" si="33"/>
        <v>-0.59843197246390667</v>
      </c>
      <c r="L530" t="str">
        <f>VLOOKUP(B530,товар!$A$1:$C$433,3,FALSE)</f>
        <v>Jacobs</v>
      </c>
      <c r="M530" s="24">
        <f t="shared" si="34"/>
        <v>-0.63795731707317072</v>
      </c>
      <c r="N530" s="29">
        <f t="shared" si="35"/>
        <v>276.21052631578948</v>
      </c>
      <c r="O530" s="32">
        <f>VLOOKUP(H530,клиенты!$A$2:$G$435,5,FALSE)</f>
        <v>44723</v>
      </c>
      <c r="P530">
        <f>Продажи[[#This Row],[дата создания чека]]-Продажи[[#This Row],[Дата регистрации клиента]]</f>
        <v>674</v>
      </c>
      <c r="Q530" t="str">
        <f>VLOOKUP(H530,Таблица3[],7,FALSE)</f>
        <v>Узбекистан</v>
      </c>
    </row>
    <row r="531" spans="1:17" x14ac:dyDescent="0.3">
      <c r="A531">
        <v>530</v>
      </c>
      <c r="B531">
        <v>42</v>
      </c>
      <c r="C531">
        <v>332</v>
      </c>
      <c r="D531">
        <v>2</v>
      </c>
      <c r="E531">
        <v>664</v>
      </c>
      <c r="F531" s="32">
        <v>45301</v>
      </c>
      <c r="G531" t="s">
        <v>8</v>
      </c>
      <c r="H531">
        <v>323</v>
      </c>
      <c r="I531" t="str">
        <f>VLOOKUP(B531,товар!$A$1:$C$433,2,FALSE)</f>
        <v>Рис</v>
      </c>
      <c r="J531" s="22">
        <f t="shared" si="32"/>
        <v>258.375</v>
      </c>
      <c r="K531" s="24">
        <f t="shared" si="33"/>
        <v>0.28495403967102084</v>
      </c>
      <c r="L531" t="str">
        <f>VLOOKUP(B531,товар!$A$1:$C$433,3,FALSE)</f>
        <v>Мистраль</v>
      </c>
      <c r="M531" s="24">
        <f t="shared" si="34"/>
        <v>0.82848151062155773</v>
      </c>
      <c r="N531" s="29">
        <f t="shared" si="35"/>
        <v>181.57142857142858</v>
      </c>
      <c r="O531" s="32">
        <f>VLOOKUP(H531,клиенты!$A$2:$G$435,5,FALSE)</f>
        <v>44821</v>
      </c>
      <c r="P531">
        <f>Продажи[[#This Row],[дата создания чека]]-Продажи[[#This Row],[Дата регистрации клиента]]</f>
        <v>480</v>
      </c>
      <c r="Q531" t="str">
        <f>VLOOKUP(H531,Таблица3[],7,FALSE)</f>
        <v>Таджикистан</v>
      </c>
    </row>
    <row r="532" spans="1:17" x14ac:dyDescent="0.3">
      <c r="A532">
        <v>531</v>
      </c>
      <c r="B532">
        <v>267</v>
      </c>
      <c r="C532">
        <v>65</v>
      </c>
      <c r="D532">
        <v>2</v>
      </c>
      <c r="E532">
        <v>130</v>
      </c>
      <c r="F532" s="32">
        <v>45142</v>
      </c>
      <c r="G532" t="s">
        <v>25</v>
      </c>
      <c r="H532">
        <v>53</v>
      </c>
      <c r="I532" t="str">
        <f>VLOOKUP(B532,товар!$A$1:$C$433,2,FALSE)</f>
        <v>Овощи</v>
      </c>
      <c r="J532" s="22">
        <f t="shared" si="32"/>
        <v>250.48780487804879</v>
      </c>
      <c r="K532" s="24">
        <f t="shared" si="33"/>
        <v>-0.740506329113924</v>
      </c>
      <c r="L532" t="str">
        <f>VLOOKUP(B532,товар!$A$1:$C$433,3,FALSE)</f>
        <v>Семко</v>
      </c>
      <c r="M532" s="24">
        <f t="shared" si="34"/>
        <v>-0.6875</v>
      </c>
      <c r="N532" s="29">
        <f t="shared" si="35"/>
        <v>208</v>
      </c>
      <c r="O532" s="32">
        <f>VLOOKUP(H532,клиенты!$A$2:$G$435,5,FALSE)</f>
        <v>44593</v>
      </c>
      <c r="P532">
        <f>Продажи[[#This Row],[дата создания чека]]-Продажи[[#This Row],[Дата регистрации клиента]]</f>
        <v>549</v>
      </c>
      <c r="Q532" t="str">
        <f>VLOOKUP(H532,Таблица3[],7,FALSE)</f>
        <v>Россия</v>
      </c>
    </row>
    <row r="533" spans="1:17" x14ac:dyDescent="0.3">
      <c r="A533">
        <v>532</v>
      </c>
      <c r="B533">
        <v>161</v>
      </c>
      <c r="C533">
        <v>489</v>
      </c>
      <c r="D533">
        <v>5</v>
      </c>
      <c r="E533">
        <v>2445</v>
      </c>
      <c r="F533" s="32">
        <v>45117</v>
      </c>
      <c r="G533" t="s">
        <v>13</v>
      </c>
      <c r="H533">
        <v>143</v>
      </c>
      <c r="I533" t="str">
        <f>VLOOKUP(B533,товар!$A$1:$C$433,2,FALSE)</f>
        <v>Молоко</v>
      </c>
      <c r="J533" s="22">
        <f t="shared" si="32"/>
        <v>294.95238095238096</v>
      </c>
      <c r="K533" s="24">
        <f t="shared" si="33"/>
        <v>0.65789473684210531</v>
      </c>
      <c r="L533" t="str">
        <f>VLOOKUP(B533,товар!$A$1:$C$433,3,FALSE)</f>
        <v>Простоквашино</v>
      </c>
      <c r="M533" s="24">
        <f t="shared" si="34"/>
        <v>0.53378956372968345</v>
      </c>
      <c r="N533" s="29">
        <f t="shared" si="35"/>
        <v>318.81818181818181</v>
      </c>
      <c r="O533" s="32">
        <f>VLOOKUP(H533,клиенты!$A$2:$G$435,5,FALSE)</f>
        <v>44601</v>
      </c>
      <c r="P533">
        <f>Продажи[[#This Row],[дата создания чека]]-Продажи[[#This Row],[Дата регистрации клиента]]</f>
        <v>516</v>
      </c>
      <c r="Q533" t="str">
        <f>VLOOKUP(H533,Таблица3[],7,FALSE)</f>
        <v>Россия</v>
      </c>
    </row>
    <row r="534" spans="1:17" x14ac:dyDescent="0.3">
      <c r="A534">
        <v>533</v>
      </c>
      <c r="B534">
        <v>83</v>
      </c>
      <c r="C534">
        <v>315</v>
      </c>
      <c r="D534">
        <v>2</v>
      </c>
      <c r="E534">
        <v>630</v>
      </c>
      <c r="F534" s="32">
        <v>45369</v>
      </c>
      <c r="G534" t="s">
        <v>16</v>
      </c>
      <c r="H534">
        <v>135</v>
      </c>
      <c r="I534" t="str">
        <f>VLOOKUP(B534,товар!$A$1:$C$433,2,FALSE)</f>
        <v>Сок</v>
      </c>
      <c r="J534" s="22">
        <f t="shared" si="32"/>
        <v>268.60344827586209</v>
      </c>
      <c r="K534" s="24">
        <f t="shared" si="33"/>
        <v>0.17273252455228172</v>
      </c>
      <c r="L534" t="str">
        <f>VLOOKUP(B534,товар!$A$1:$C$433,3,FALSE)</f>
        <v>Сады Придонья</v>
      </c>
      <c r="M534" s="24">
        <f t="shared" si="34"/>
        <v>0.23927038626609431</v>
      </c>
      <c r="N534" s="29">
        <f t="shared" si="35"/>
        <v>254.18181818181819</v>
      </c>
      <c r="O534" s="32">
        <f>VLOOKUP(H534,клиенты!$A$2:$G$435,5,FALSE)</f>
        <v>44602</v>
      </c>
      <c r="P534">
        <f>Продажи[[#This Row],[дата создания чека]]-Продажи[[#This Row],[Дата регистрации клиента]]</f>
        <v>767</v>
      </c>
      <c r="Q534" t="str">
        <f>VLOOKUP(H534,Таблица3[],7,FALSE)</f>
        <v>Россия</v>
      </c>
    </row>
    <row r="535" spans="1:17" x14ac:dyDescent="0.3">
      <c r="A535">
        <v>534</v>
      </c>
      <c r="B535">
        <v>315</v>
      </c>
      <c r="C535">
        <v>348</v>
      </c>
      <c r="D535">
        <v>2</v>
      </c>
      <c r="E535">
        <v>696</v>
      </c>
      <c r="F535" s="32">
        <v>45002</v>
      </c>
      <c r="G535" t="s">
        <v>12</v>
      </c>
      <c r="H535">
        <v>402</v>
      </c>
      <c r="I535" t="str">
        <f>VLOOKUP(B535,товар!$A$1:$C$433,2,FALSE)</f>
        <v>Йогурт</v>
      </c>
      <c r="J535" s="22">
        <f t="shared" si="32"/>
        <v>263.25423728813558</v>
      </c>
      <c r="K535" s="24">
        <f t="shared" si="33"/>
        <v>0.32191604429564769</v>
      </c>
      <c r="L535" t="str">
        <f>VLOOKUP(B535,товар!$A$1:$C$433,3,FALSE)</f>
        <v>Чудо</v>
      </c>
      <c r="M535" s="24">
        <f t="shared" si="34"/>
        <v>0.21212121212121193</v>
      </c>
      <c r="N535" s="29">
        <f t="shared" si="35"/>
        <v>287.10000000000002</v>
      </c>
      <c r="O535" s="32">
        <f>VLOOKUP(H535,клиенты!$A$2:$G$435,5,FALSE)</f>
        <v>44742</v>
      </c>
      <c r="P535">
        <f>Продажи[[#This Row],[дата создания чека]]-Продажи[[#This Row],[Дата регистрации клиента]]</f>
        <v>260</v>
      </c>
      <c r="Q535" t="str">
        <f>VLOOKUP(H535,Таблица3[],7,FALSE)</f>
        <v>Узбекистан</v>
      </c>
    </row>
    <row r="536" spans="1:17" x14ac:dyDescent="0.3">
      <c r="A536">
        <v>535</v>
      </c>
      <c r="B536">
        <v>121</v>
      </c>
      <c r="C536">
        <v>77</v>
      </c>
      <c r="D536">
        <v>1</v>
      </c>
      <c r="E536">
        <v>77</v>
      </c>
      <c r="F536" s="32">
        <v>45047</v>
      </c>
      <c r="G536" t="s">
        <v>11</v>
      </c>
      <c r="H536">
        <v>279</v>
      </c>
      <c r="I536" t="str">
        <f>VLOOKUP(B536,товар!$A$1:$C$433,2,FALSE)</f>
        <v>Чипсы</v>
      </c>
      <c r="J536" s="22">
        <f t="shared" si="32"/>
        <v>273.72549019607845</v>
      </c>
      <c r="K536" s="24">
        <f t="shared" si="33"/>
        <v>-0.71869627507163325</v>
      </c>
      <c r="L536" t="str">
        <f>VLOOKUP(B536,товар!$A$1:$C$433,3,FALSE)</f>
        <v>Pringles</v>
      </c>
      <c r="M536" s="24">
        <f t="shared" si="34"/>
        <v>-0.72523364485981312</v>
      </c>
      <c r="N536" s="29">
        <f t="shared" si="35"/>
        <v>280.23809523809524</v>
      </c>
      <c r="O536" s="32">
        <f>VLOOKUP(H536,клиенты!$A$2:$G$435,5,FALSE)</f>
        <v>44786</v>
      </c>
      <c r="P536">
        <f>Продажи[[#This Row],[дата создания чека]]-Продажи[[#This Row],[Дата регистрации клиента]]</f>
        <v>261</v>
      </c>
      <c r="Q536" t="str">
        <f>VLOOKUP(H536,Таблица3[],7,FALSE)</f>
        <v>Узбекистан</v>
      </c>
    </row>
    <row r="537" spans="1:17" x14ac:dyDescent="0.3">
      <c r="A537">
        <v>536</v>
      </c>
      <c r="B537">
        <v>371</v>
      </c>
      <c r="C537">
        <v>62</v>
      </c>
      <c r="D537">
        <v>5</v>
      </c>
      <c r="E537">
        <v>310</v>
      </c>
      <c r="F537" s="32">
        <v>45330</v>
      </c>
      <c r="G537" t="s">
        <v>10</v>
      </c>
      <c r="H537">
        <v>385</v>
      </c>
      <c r="I537" t="str">
        <f>VLOOKUP(B537,товар!$A$1:$C$433,2,FALSE)</f>
        <v>Сахар</v>
      </c>
      <c r="J537" s="22">
        <f t="shared" si="32"/>
        <v>252.76271186440678</v>
      </c>
      <c r="K537" s="24">
        <f t="shared" si="33"/>
        <v>-0.75471065513310531</v>
      </c>
      <c r="L537" t="str">
        <f>VLOOKUP(B537,товар!$A$1:$C$433,3,FALSE)</f>
        <v>Русский сахар</v>
      </c>
      <c r="M537" s="24">
        <f t="shared" si="34"/>
        <v>-0.78869286287089013</v>
      </c>
      <c r="N537" s="29">
        <f t="shared" si="35"/>
        <v>293.41176470588238</v>
      </c>
      <c r="O537" s="32">
        <f>VLOOKUP(H537,клиенты!$A$2:$G$435,5,FALSE)</f>
        <v>44753</v>
      </c>
      <c r="P537">
        <f>Продажи[[#This Row],[дата создания чека]]-Продажи[[#This Row],[Дата регистрации клиента]]</f>
        <v>577</v>
      </c>
      <c r="Q537" t="str">
        <f>VLOOKUP(H537,Таблица3[],7,FALSE)</f>
        <v>Украина</v>
      </c>
    </row>
    <row r="538" spans="1:17" x14ac:dyDescent="0.3">
      <c r="A538">
        <v>537</v>
      </c>
      <c r="B538">
        <v>169</v>
      </c>
      <c r="C538">
        <v>429</v>
      </c>
      <c r="D538">
        <v>2</v>
      </c>
      <c r="E538">
        <v>858</v>
      </c>
      <c r="F538" s="32">
        <v>45289</v>
      </c>
      <c r="G538" t="s">
        <v>26</v>
      </c>
      <c r="H538">
        <v>326</v>
      </c>
      <c r="I538" t="str">
        <f>VLOOKUP(B538,товар!$A$1:$C$433,2,FALSE)</f>
        <v>Фрукты</v>
      </c>
      <c r="J538" s="22">
        <f t="shared" si="32"/>
        <v>274.16279069767444</v>
      </c>
      <c r="K538" s="24">
        <f t="shared" si="33"/>
        <v>0.56476376282975638</v>
      </c>
      <c r="L538" t="str">
        <f>VLOOKUP(B538,товар!$A$1:$C$433,3,FALSE)</f>
        <v>Фруктовый Рай</v>
      </c>
      <c r="M538" s="24">
        <f t="shared" si="34"/>
        <v>0.66081000595592609</v>
      </c>
      <c r="N538" s="29">
        <f t="shared" si="35"/>
        <v>258.30769230769232</v>
      </c>
      <c r="O538" s="32">
        <f>VLOOKUP(H538,клиенты!$A$2:$G$435,5,FALSE)</f>
        <v>44655</v>
      </c>
      <c r="P538">
        <f>Продажи[[#This Row],[дата создания чека]]-Продажи[[#This Row],[Дата регистрации клиента]]</f>
        <v>634</v>
      </c>
      <c r="Q538" t="str">
        <f>VLOOKUP(H538,Таблица3[],7,FALSE)</f>
        <v>Россия</v>
      </c>
    </row>
    <row r="539" spans="1:17" x14ac:dyDescent="0.3">
      <c r="A539">
        <v>538</v>
      </c>
      <c r="B539">
        <v>433</v>
      </c>
      <c r="C539">
        <v>115</v>
      </c>
      <c r="D539">
        <v>4</v>
      </c>
      <c r="E539">
        <v>460</v>
      </c>
      <c r="F539" s="32">
        <v>45203</v>
      </c>
      <c r="G539" t="s">
        <v>25</v>
      </c>
      <c r="H539">
        <v>138</v>
      </c>
      <c r="I539" t="str">
        <f>VLOOKUP(B539,товар!$A$1:$C$433,2,FALSE)</f>
        <v>Рыба</v>
      </c>
      <c r="J539" s="22">
        <f t="shared" si="32"/>
        <v>258.5128205128205</v>
      </c>
      <c r="K539" s="24">
        <f t="shared" si="33"/>
        <v>-0.55514778813727439</v>
      </c>
      <c r="L539" t="str">
        <f>VLOOKUP(B539,товар!$A$1:$C$433,3,FALSE)</f>
        <v>Меридиан</v>
      </c>
      <c r="M539" s="24">
        <f t="shared" si="34"/>
        <v>-0.55879034078086209</v>
      </c>
      <c r="N539" s="29">
        <f t="shared" si="35"/>
        <v>260.64705882352939</v>
      </c>
      <c r="O539" s="32">
        <f>VLOOKUP(H539,клиенты!$A$2:$G$435,5,FALSE)</f>
        <v>44723</v>
      </c>
      <c r="P539">
        <f>Продажи[[#This Row],[дата создания чека]]-Продажи[[#This Row],[Дата регистрации клиента]]</f>
        <v>480</v>
      </c>
      <c r="Q539" t="str">
        <f>VLOOKUP(H539,Таблица3[],7,FALSE)</f>
        <v>Украина</v>
      </c>
    </row>
    <row r="540" spans="1:17" x14ac:dyDescent="0.3">
      <c r="A540">
        <v>539</v>
      </c>
      <c r="B540">
        <v>43</v>
      </c>
      <c r="C540">
        <v>158</v>
      </c>
      <c r="D540">
        <v>5</v>
      </c>
      <c r="E540">
        <v>790</v>
      </c>
      <c r="F540" s="32">
        <v>45397</v>
      </c>
      <c r="G540" t="s">
        <v>16</v>
      </c>
      <c r="H540">
        <v>271</v>
      </c>
      <c r="I540" t="str">
        <f>VLOOKUP(B540,товар!$A$1:$C$433,2,FALSE)</f>
        <v>Печенье</v>
      </c>
      <c r="J540" s="22">
        <f t="shared" si="32"/>
        <v>283.468085106383</v>
      </c>
      <c r="K540" s="24">
        <f t="shared" si="33"/>
        <v>-0.44261802897245373</v>
      </c>
      <c r="L540" t="str">
        <f>VLOOKUP(B540,товар!$A$1:$C$433,3,FALSE)</f>
        <v>КДВ</v>
      </c>
      <c r="M540" s="24">
        <f t="shared" si="34"/>
        <v>-0.51095238095238105</v>
      </c>
      <c r="N540" s="29">
        <f t="shared" si="35"/>
        <v>323.07692307692309</v>
      </c>
      <c r="O540" s="32">
        <f>VLOOKUP(H540,клиенты!$A$2:$G$435,5,FALSE)</f>
        <v>44892</v>
      </c>
      <c r="P540">
        <f>Продажи[[#This Row],[дата создания чека]]-Продажи[[#This Row],[Дата регистрации клиента]]</f>
        <v>505</v>
      </c>
      <c r="Q540" t="str">
        <f>VLOOKUP(H540,Таблица3[],7,FALSE)</f>
        <v>Беларусь</v>
      </c>
    </row>
    <row r="541" spans="1:17" x14ac:dyDescent="0.3">
      <c r="A541">
        <v>540</v>
      </c>
      <c r="B541">
        <v>453</v>
      </c>
      <c r="C541">
        <v>318</v>
      </c>
      <c r="D541">
        <v>4</v>
      </c>
      <c r="E541">
        <v>1272</v>
      </c>
      <c r="F541" s="32">
        <v>45355</v>
      </c>
      <c r="G541" t="s">
        <v>16</v>
      </c>
      <c r="H541">
        <v>408</v>
      </c>
      <c r="I541" t="str">
        <f>VLOOKUP(B541,товар!$A$1:$C$433,2,FALSE)</f>
        <v>Макароны</v>
      </c>
      <c r="J541" s="22">
        <f t="shared" si="32"/>
        <v>265.47674418604652</v>
      </c>
      <c r="K541" s="24">
        <f t="shared" si="33"/>
        <v>0.19784503525907748</v>
      </c>
      <c r="L541" t="str">
        <f>VLOOKUP(B541,товар!$A$1:$C$433,3,FALSE)</f>
        <v>Макфа</v>
      </c>
      <c r="M541" s="24">
        <f t="shared" si="34"/>
        <v>-3.4235229155162861E-2</v>
      </c>
      <c r="N541" s="29">
        <f t="shared" si="35"/>
        <v>329.27272727272725</v>
      </c>
      <c r="O541" s="32">
        <f>VLOOKUP(H541,клиенты!$A$2:$G$435,5,FALSE)</f>
        <v>44857</v>
      </c>
      <c r="P541">
        <f>Продажи[[#This Row],[дата создания чека]]-Продажи[[#This Row],[Дата регистрации клиента]]</f>
        <v>498</v>
      </c>
      <c r="Q541" t="str">
        <f>VLOOKUP(H541,Таблица3[],7,FALSE)</f>
        <v>Россия</v>
      </c>
    </row>
    <row r="542" spans="1:17" x14ac:dyDescent="0.3">
      <c r="A542">
        <v>541</v>
      </c>
      <c r="B542">
        <v>403</v>
      </c>
      <c r="C542">
        <v>184</v>
      </c>
      <c r="D542">
        <v>5</v>
      </c>
      <c r="E542">
        <v>920</v>
      </c>
      <c r="F542" s="32">
        <v>45378</v>
      </c>
      <c r="G542" t="s">
        <v>11</v>
      </c>
      <c r="H542">
        <v>444</v>
      </c>
      <c r="I542" t="str">
        <f>VLOOKUP(B542,товар!$A$1:$C$433,2,FALSE)</f>
        <v>Чай</v>
      </c>
      <c r="J542" s="22">
        <f t="shared" si="32"/>
        <v>271.18181818181819</v>
      </c>
      <c r="K542" s="24">
        <f t="shared" si="33"/>
        <v>-0.32148843446195108</v>
      </c>
      <c r="L542" t="str">
        <f>VLOOKUP(B542,товар!$A$1:$C$433,3,FALSE)</f>
        <v>Ахмад</v>
      </c>
      <c r="M542" s="24">
        <f t="shared" si="34"/>
        <v>-0.24373201808466916</v>
      </c>
      <c r="N542" s="29">
        <f t="shared" si="35"/>
        <v>243.3</v>
      </c>
      <c r="O542" s="32">
        <f>VLOOKUP(H542,клиенты!$A$2:$G$435,5,FALSE)</f>
        <v>44688</v>
      </c>
      <c r="P542">
        <f>Продажи[[#This Row],[дата создания чека]]-Продажи[[#This Row],[Дата регистрации клиента]]</f>
        <v>690</v>
      </c>
      <c r="Q542" t="str">
        <f>VLOOKUP(H542,Таблица3[],7,FALSE)</f>
        <v>Россия</v>
      </c>
    </row>
    <row r="543" spans="1:17" x14ac:dyDescent="0.3">
      <c r="A543">
        <v>542</v>
      </c>
      <c r="B543">
        <v>248</v>
      </c>
      <c r="C543">
        <v>497</v>
      </c>
      <c r="D543">
        <v>2</v>
      </c>
      <c r="E543">
        <v>994</v>
      </c>
      <c r="F543" s="32">
        <v>45051</v>
      </c>
      <c r="G543" t="s">
        <v>17</v>
      </c>
      <c r="H543">
        <v>116</v>
      </c>
      <c r="I543" t="str">
        <f>VLOOKUP(B543,товар!$A$1:$C$433,2,FALSE)</f>
        <v>Конфеты</v>
      </c>
      <c r="J543" s="22">
        <f t="shared" si="32"/>
        <v>267.85483870967744</v>
      </c>
      <c r="K543" s="24">
        <f t="shared" si="33"/>
        <v>0.85548262780755091</v>
      </c>
      <c r="L543" t="str">
        <f>VLOOKUP(B543,товар!$A$1:$C$433,3,FALSE)</f>
        <v>Красный Октябрь</v>
      </c>
      <c r="M543" s="24">
        <f t="shared" si="34"/>
        <v>0.81635449977158525</v>
      </c>
      <c r="N543" s="29">
        <f t="shared" si="35"/>
        <v>273.625</v>
      </c>
      <c r="O543" s="32">
        <f>VLOOKUP(H543,клиенты!$A$2:$G$435,5,FALSE)</f>
        <v>44643</v>
      </c>
      <c r="P543">
        <f>Продажи[[#This Row],[дата создания чека]]-Продажи[[#This Row],[Дата регистрации клиента]]</f>
        <v>408</v>
      </c>
      <c r="Q543" t="str">
        <f>VLOOKUP(H543,Таблица3[],7,FALSE)</f>
        <v>Россия</v>
      </c>
    </row>
    <row r="544" spans="1:17" x14ac:dyDescent="0.3">
      <c r="A544">
        <v>543</v>
      </c>
      <c r="B544">
        <v>492</v>
      </c>
      <c r="C544">
        <v>469</v>
      </c>
      <c r="D544">
        <v>4</v>
      </c>
      <c r="E544">
        <v>1876</v>
      </c>
      <c r="F544" s="32">
        <v>45386</v>
      </c>
      <c r="G544" t="s">
        <v>10</v>
      </c>
      <c r="H544">
        <v>38</v>
      </c>
      <c r="I544" t="str">
        <f>VLOOKUP(B544,товар!$A$1:$C$433,2,FALSE)</f>
        <v>Рыба</v>
      </c>
      <c r="J544" s="22">
        <f t="shared" si="32"/>
        <v>258.5128205128205</v>
      </c>
      <c r="K544" s="24">
        <f t="shared" si="33"/>
        <v>0.81422336837928988</v>
      </c>
      <c r="L544" t="str">
        <f>VLOOKUP(B544,товар!$A$1:$C$433,3,FALSE)</f>
        <v>Русское море</v>
      </c>
      <c r="M544" s="24">
        <f t="shared" si="34"/>
        <v>0.60250569476081983</v>
      </c>
      <c r="N544" s="29">
        <f t="shared" si="35"/>
        <v>292.66666666666669</v>
      </c>
      <c r="O544" s="32">
        <f>VLOOKUP(H544,клиенты!$A$2:$G$435,5,FALSE)</f>
        <v>44819</v>
      </c>
      <c r="P544">
        <f>Продажи[[#This Row],[дата создания чека]]-Продажи[[#This Row],[Дата регистрации клиента]]</f>
        <v>567</v>
      </c>
      <c r="Q544" t="str">
        <f>VLOOKUP(H544,Таблица3[],7,FALSE)</f>
        <v>Таджикистан</v>
      </c>
    </row>
    <row r="545" spans="1:17" x14ac:dyDescent="0.3">
      <c r="A545">
        <v>544</v>
      </c>
      <c r="B545">
        <v>428</v>
      </c>
      <c r="C545">
        <v>263</v>
      </c>
      <c r="D545">
        <v>4</v>
      </c>
      <c r="E545">
        <v>1052</v>
      </c>
      <c r="F545" s="32">
        <v>45385</v>
      </c>
      <c r="G545" t="s">
        <v>22</v>
      </c>
      <c r="H545">
        <v>136</v>
      </c>
      <c r="I545" t="str">
        <f>VLOOKUP(B545,товар!$A$1:$C$433,2,FALSE)</f>
        <v>Конфеты</v>
      </c>
      <c r="J545" s="22">
        <f t="shared" si="32"/>
        <v>267.85483870967744</v>
      </c>
      <c r="K545" s="24">
        <f t="shared" si="33"/>
        <v>-1.8124887095803066E-2</v>
      </c>
      <c r="L545" t="str">
        <f>VLOOKUP(B545,товар!$A$1:$C$433,3,FALSE)</f>
        <v>Бабаевский</v>
      </c>
      <c r="M545" s="24">
        <f t="shared" si="34"/>
        <v>5.0910167233979564E-2</v>
      </c>
      <c r="N545" s="29">
        <f t="shared" si="35"/>
        <v>250.25925925925927</v>
      </c>
      <c r="O545" s="32">
        <f>VLOOKUP(H545,клиенты!$A$2:$G$435,5,FALSE)</f>
        <v>44860</v>
      </c>
      <c r="P545">
        <f>Продажи[[#This Row],[дата создания чека]]-Продажи[[#This Row],[Дата регистрации клиента]]</f>
        <v>525</v>
      </c>
      <c r="Q545" t="str">
        <f>VLOOKUP(H545,Таблица3[],7,FALSE)</f>
        <v>Украина</v>
      </c>
    </row>
    <row r="546" spans="1:17" x14ac:dyDescent="0.3">
      <c r="A546">
        <v>545</v>
      </c>
      <c r="B546">
        <v>91</v>
      </c>
      <c r="C546">
        <v>335</v>
      </c>
      <c r="D546">
        <v>2</v>
      </c>
      <c r="E546">
        <v>670</v>
      </c>
      <c r="F546" s="32">
        <v>45186</v>
      </c>
      <c r="G546" t="s">
        <v>23</v>
      </c>
      <c r="H546">
        <v>310</v>
      </c>
      <c r="I546" t="str">
        <f>VLOOKUP(B546,товар!$A$1:$C$433,2,FALSE)</f>
        <v>Сыр</v>
      </c>
      <c r="J546" s="22">
        <f t="shared" si="32"/>
        <v>262.63492063492066</v>
      </c>
      <c r="K546" s="24">
        <f t="shared" si="33"/>
        <v>0.27553487247673147</v>
      </c>
      <c r="L546" t="str">
        <f>VLOOKUP(B546,товар!$A$1:$C$433,3,FALSE)</f>
        <v>Сырная долина</v>
      </c>
      <c r="M546" s="24">
        <f t="shared" si="34"/>
        <v>0.23616236162361615</v>
      </c>
      <c r="N546" s="29">
        <f t="shared" si="35"/>
        <v>271</v>
      </c>
      <c r="O546" s="32">
        <f>VLOOKUP(H546,клиенты!$A$2:$G$435,5,FALSE)</f>
        <v>44807</v>
      </c>
      <c r="P546">
        <f>Продажи[[#This Row],[дата создания чека]]-Продажи[[#This Row],[Дата регистрации клиента]]</f>
        <v>379</v>
      </c>
      <c r="Q546" t="str">
        <f>VLOOKUP(H546,Таблица3[],7,FALSE)</f>
        <v>Таджикистан</v>
      </c>
    </row>
    <row r="547" spans="1:17" x14ac:dyDescent="0.3">
      <c r="A547">
        <v>546</v>
      </c>
      <c r="B547">
        <v>122</v>
      </c>
      <c r="C547">
        <v>309</v>
      </c>
      <c r="D547">
        <v>3</v>
      </c>
      <c r="E547">
        <v>927</v>
      </c>
      <c r="F547" s="32">
        <v>45073</v>
      </c>
      <c r="G547" t="s">
        <v>19</v>
      </c>
      <c r="H547">
        <v>263</v>
      </c>
      <c r="I547" t="str">
        <f>VLOOKUP(B547,товар!$A$1:$C$433,2,FALSE)</f>
        <v>Фрукты</v>
      </c>
      <c r="J547" s="22">
        <f t="shared" si="32"/>
        <v>274.16279069767444</v>
      </c>
      <c r="K547" s="24">
        <f t="shared" si="33"/>
        <v>0.12706760539485962</v>
      </c>
      <c r="L547" t="str">
        <f>VLOOKUP(B547,товар!$A$1:$C$433,3,FALSE)</f>
        <v>Фрукты-Ягоды</v>
      </c>
      <c r="M547" s="24">
        <f t="shared" si="34"/>
        <v>0.10095011876484561</v>
      </c>
      <c r="N547" s="29">
        <f t="shared" si="35"/>
        <v>280.66666666666669</v>
      </c>
      <c r="O547" s="32">
        <f>VLOOKUP(H547,клиенты!$A$2:$G$435,5,FALSE)</f>
        <v>44612</v>
      </c>
      <c r="P547">
        <f>Продажи[[#This Row],[дата создания чека]]-Продажи[[#This Row],[Дата регистрации клиента]]</f>
        <v>461</v>
      </c>
      <c r="Q547" t="str">
        <f>VLOOKUP(H547,Таблица3[],7,FALSE)</f>
        <v>Таджикистан</v>
      </c>
    </row>
    <row r="548" spans="1:17" x14ac:dyDescent="0.3">
      <c r="A548">
        <v>547</v>
      </c>
      <c r="B548">
        <v>444</v>
      </c>
      <c r="C548">
        <v>59</v>
      </c>
      <c r="D548">
        <v>2</v>
      </c>
      <c r="E548">
        <v>118</v>
      </c>
      <c r="F548" s="32">
        <v>45263</v>
      </c>
      <c r="G548" t="s">
        <v>27</v>
      </c>
      <c r="H548">
        <v>381</v>
      </c>
      <c r="I548" t="str">
        <f>VLOOKUP(B548,товар!$A$1:$C$433,2,FALSE)</f>
        <v>Йогурт</v>
      </c>
      <c r="J548" s="22">
        <f t="shared" si="32"/>
        <v>263.25423728813558</v>
      </c>
      <c r="K548" s="24">
        <f t="shared" si="33"/>
        <v>-0.77588204996137011</v>
      </c>
      <c r="L548" t="str">
        <f>VLOOKUP(B548,товар!$A$1:$C$433,3,FALSE)</f>
        <v>Эрманн</v>
      </c>
      <c r="M548" s="24">
        <f t="shared" si="34"/>
        <v>-0.76257545271629779</v>
      </c>
      <c r="N548" s="29">
        <f t="shared" si="35"/>
        <v>248.5</v>
      </c>
      <c r="O548" s="32">
        <f>VLOOKUP(H548,клиенты!$A$2:$G$435,5,FALSE)</f>
        <v>44714</v>
      </c>
      <c r="P548">
        <f>Продажи[[#This Row],[дата создания чека]]-Продажи[[#This Row],[Дата регистрации клиента]]</f>
        <v>549</v>
      </c>
      <c r="Q548" t="str">
        <f>VLOOKUP(H548,Таблица3[],7,FALSE)</f>
        <v>Узбекистан</v>
      </c>
    </row>
    <row r="549" spans="1:17" x14ac:dyDescent="0.3">
      <c r="A549">
        <v>548</v>
      </c>
      <c r="B549">
        <v>334</v>
      </c>
      <c r="C549">
        <v>459</v>
      </c>
      <c r="D549">
        <v>5</v>
      </c>
      <c r="E549">
        <v>2295</v>
      </c>
      <c r="F549" s="32">
        <v>45146</v>
      </c>
      <c r="G549" t="s">
        <v>8</v>
      </c>
      <c r="H549">
        <v>167</v>
      </c>
      <c r="I549" t="str">
        <f>VLOOKUP(B549,товар!$A$1:$C$433,2,FALSE)</f>
        <v>Молоко</v>
      </c>
      <c r="J549" s="22">
        <f t="shared" si="32"/>
        <v>294.95238095238096</v>
      </c>
      <c r="K549" s="24">
        <f t="shared" si="33"/>
        <v>0.55618340329350979</v>
      </c>
      <c r="L549" t="str">
        <f>VLOOKUP(B549,товар!$A$1:$C$433,3,FALSE)</f>
        <v>Домик в деревне</v>
      </c>
      <c r="M549" s="24">
        <f t="shared" si="34"/>
        <v>0.67044076021027088</v>
      </c>
      <c r="N549" s="29">
        <f t="shared" si="35"/>
        <v>274.77777777777777</v>
      </c>
      <c r="O549" s="32">
        <f>VLOOKUP(H549,клиенты!$A$2:$G$435,5,FALSE)</f>
        <v>44563</v>
      </c>
      <c r="P549">
        <f>Продажи[[#This Row],[дата создания чека]]-Продажи[[#This Row],[Дата регистрации клиента]]</f>
        <v>583</v>
      </c>
      <c r="Q549" t="str">
        <f>VLOOKUP(H549,Таблица3[],7,FALSE)</f>
        <v>Узбекистан</v>
      </c>
    </row>
    <row r="550" spans="1:17" x14ac:dyDescent="0.3">
      <c r="A550">
        <v>549</v>
      </c>
      <c r="B550">
        <v>431</v>
      </c>
      <c r="C550">
        <v>149</v>
      </c>
      <c r="D550">
        <v>5</v>
      </c>
      <c r="E550">
        <v>745</v>
      </c>
      <c r="F550" s="32">
        <v>45271</v>
      </c>
      <c r="G550" t="s">
        <v>23</v>
      </c>
      <c r="H550">
        <v>12</v>
      </c>
      <c r="I550" t="str">
        <f>VLOOKUP(B550,товар!$A$1:$C$433,2,FALSE)</f>
        <v>Овощи</v>
      </c>
      <c r="J550" s="22">
        <f t="shared" si="32"/>
        <v>250.48780487804879</v>
      </c>
      <c r="K550" s="24">
        <f t="shared" si="33"/>
        <v>-0.40516066212268742</v>
      </c>
      <c r="L550" t="str">
        <f>VLOOKUP(B550,товар!$A$1:$C$433,3,FALSE)</f>
        <v>Гавриш</v>
      </c>
      <c r="M550" s="24">
        <f t="shared" si="34"/>
        <v>-0.39838492597577391</v>
      </c>
      <c r="N550" s="29">
        <f t="shared" si="35"/>
        <v>247.66666666666666</v>
      </c>
      <c r="O550" s="32">
        <f>VLOOKUP(H550,клиенты!$A$2:$G$435,5,FALSE)</f>
        <v>44842</v>
      </c>
      <c r="P550">
        <f>Продажи[[#This Row],[дата создания чека]]-Продажи[[#This Row],[Дата регистрации клиента]]</f>
        <v>429</v>
      </c>
      <c r="Q550" t="str">
        <f>VLOOKUP(H550,Таблица3[],7,FALSE)</f>
        <v>Беларусь</v>
      </c>
    </row>
    <row r="551" spans="1:17" x14ac:dyDescent="0.3">
      <c r="A551">
        <v>550</v>
      </c>
      <c r="B551">
        <v>62</v>
      </c>
      <c r="C551">
        <v>88</v>
      </c>
      <c r="D551">
        <v>1</v>
      </c>
      <c r="E551">
        <v>88</v>
      </c>
      <c r="F551" s="32">
        <v>44950</v>
      </c>
      <c r="G551" t="s">
        <v>14</v>
      </c>
      <c r="H551">
        <v>44</v>
      </c>
      <c r="I551" t="str">
        <f>VLOOKUP(B551,товар!$A$1:$C$433,2,FALSE)</f>
        <v>Рыба</v>
      </c>
      <c r="J551" s="22">
        <f t="shared" si="32"/>
        <v>258.5128205128205</v>
      </c>
      <c r="K551" s="24">
        <f t="shared" si="33"/>
        <v>-0.65959135092243604</v>
      </c>
      <c r="L551" t="str">
        <f>VLOOKUP(B551,товар!$A$1:$C$433,3,FALSE)</f>
        <v>Балтийский берег</v>
      </c>
      <c r="M551" s="24">
        <f t="shared" si="34"/>
        <v>-0.69643541586814872</v>
      </c>
      <c r="N551" s="29">
        <f t="shared" si="35"/>
        <v>289.88888888888891</v>
      </c>
      <c r="O551" s="32">
        <f>VLOOKUP(H551,клиенты!$A$2:$G$435,5,FALSE)</f>
        <v>44701</v>
      </c>
      <c r="P551">
        <f>Продажи[[#This Row],[дата создания чека]]-Продажи[[#This Row],[Дата регистрации клиента]]</f>
        <v>249</v>
      </c>
      <c r="Q551" t="str">
        <f>VLOOKUP(H551,Таблица3[],7,FALSE)</f>
        <v>Беларусь</v>
      </c>
    </row>
    <row r="552" spans="1:17" x14ac:dyDescent="0.3">
      <c r="A552">
        <v>551</v>
      </c>
      <c r="B552">
        <v>458</v>
      </c>
      <c r="C552">
        <v>79</v>
      </c>
      <c r="D552">
        <v>2</v>
      </c>
      <c r="E552">
        <v>158</v>
      </c>
      <c r="F552" s="32">
        <v>45023</v>
      </c>
      <c r="G552" t="s">
        <v>22</v>
      </c>
      <c r="H552">
        <v>133</v>
      </c>
      <c r="I552" t="str">
        <f>VLOOKUP(B552,товар!$A$1:$C$433,2,FALSE)</f>
        <v>Макароны</v>
      </c>
      <c r="J552" s="22">
        <f t="shared" si="32"/>
        <v>265.47674418604652</v>
      </c>
      <c r="K552" s="24">
        <f t="shared" si="33"/>
        <v>-0.70242214532871972</v>
      </c>
      <c r="L552" t="str">
        <f>VLOOKUP(B552,товар!$A$1:$C$433,3,FALSE)</f>
        <v>Борилла</v>
      </c>
      <c r="M552" s="24">
        <f t="shared" si="34"/>
        <v>-0.66564506713368354</v>
      </c>
      <c r="N552" s="29">
        <f t="shared" si="35"/>
        <v>236.27586206896552</v>
      </c>
      <c r="O552" s="32">
        <f>VLOOKUP(H552,клиенты!$A$2:$G$435,5,FALSE)</f>
        <v>44588</v>
      </c>
      <c r="P552">
        <f>Продажи[[#This Row],[дата создания чека]]-Продажи[[#This Row],[Дата регистрации клиента]]</f>
        <v>435</v>
      </c>
      <c r="Q552" t="str">
        <f>VLOOKUP(H552,Таблица3[],7,FALSE)</f>
        <v>Узбекистан</v>
      </c>
    </row>
    <row r="553" spans="1:17" x14ac:dyDescent="0.3">
      <c r="A553">
        <v>552</v>
      </c>
      <c r="B553">
        <v>119</v>
      </c>
      <c r="C553">
        <v>369</v>
      </c>
      <c r="D553">
        <v>2</v>
      </c>
      <c r="E553">
        <v>738</v>
      </c>
      <c r="F553" s="32">
        <v>45105</v>
      </c>
      <c r="G553" t="s">
        <v>20</v>
      </c>
      <c r="H553">
        <v>21</v>
      </c>
      <c r="I553" t="str">
        <f>VLOOKUP(B553,товар!$A$1:$C$433,2,FALSE)</f>
        <v>Печенье</v>
      </c>
      <c r="J553" s="22">
        <f t="shared" si="32"/>
        <v>283.468085106383</v>
      </c>
      <c r="K553" s="24">
        <f t="shared" si="33"/>
        <v>0.30173384372888989</v>
      </c>
      <c r="L553" t="str">
        <f>VLOOKUP(B553,товар!$A$1:$C$433,3,FALSE)</f>
        <v>КДВ</v>
      </c>
      <c r="M553" s="24">
        <f t="shared" si="34"/>
        <v>0.14214285714285713</v>
      </c>
      <c r="N553" s="29">
        <f t="shared" si="35"/>
        <v>323.07692307692309</v>
      </c>
      <c r="O553" s="32">
        <f>VLOOKUP(H553,клиенты!$A$2:$G$435,5,FALSE)</f>
        <v>44881</v>
      </c>
      <c r="P553">
        <f>Продажи[[#This Row],[дата создания чека]]-Продажи[[#This Row],[Дата регистрации клиента]]</f>
        <v>224</v>
      </c>
      <c r="Q553" t="str">
        <f>VLOOKUP(H553,Таблица3[],7,FALSE)</f>
        <v>Беларусь</v>
      </c>
    </row>
    <row r="554" spans="1:17" x14ac:dyDescent="0.3">
      <c r="A554">
        <v>553</v>
      </c>
      <c r="B554">
        <v>388</v>
      </c>
      <c r="C554">
        <v>107</v>
      </c>
      <c r="D554">
        <v>1</v>
      </c>
      <c r="E554">
        <v>107</v>
      </c>
      <c r="F554" s="32">
        <v>45137</v>
      </c>
      <c r="G554" t="s">
        <v>12</v>
      </c>
      <c r="H554">
        <v>179</v>
      </c>
      <c r="I554" t="str">
        <f>VLOOKUP(B554,товар!$A$1:$C$433,2,FALSE)</f>
        <v>Рыба</v>
      </c>
      <c r="J554" s="22">
        <f t="shared" si="32"/>
        <v>258.5128205128205</v>
      </c>
      <c r="K554" s="24">
        <f t="shared" si="33"/>
        <v>-0.5860940289625074</v>
      </c>
      <c r="L554" t="str">
        <f>VLOOKUP(B554,товар!$A$1:$C$433,3,FALSE)</f>
        <v>Меридиан</v>
      </c>
      <c r="M554" s="24">
        <f t="shared" si="34"/>
        <v>-0.58948318663958466</v>
      </c>
      <c r="N554" s="29">
        <f t="shared" si="35"/>
        <v>260.64705882352939</v>
      </c>
      <c r="O554" s="32">
        <f>VLOOKUP(H554,клиенты!$A$2:$G$435,5,FALSE)</f>
        <v>44833</v>
      </c>
      <c r="P554">
        <f>Продажи[[#This Row],[дата создания чека]]-Продажи[[#This Row],[Дата регистрации клиента]]</f>
        <v>304</v>
      </c>
      <c r="Q554" t="str">
        <f>VLOOKUP(H554,Таблица3[],7,FALSE)</f>
        <v>Россия</v>
      </c>
    </row>
    <row r="555" spans="1:17" x14ac:dyDescent="0.3">
      <c r="A555">
        <v>554</v>
      </c>
      <c r="B555">
        <v>303</v>
      </c>
      <c r="C555">
        <v>258</v>
      </c>
      <c r="D555">
        <v>4</v>
      </c>
      <c r="E555">
        <v>1032</v>
      </c>
      <c r="F555" s="32">
        <v>45076</v>
      </c>
      <c r="G555" t="s">
        <v>18</v>
      </c>
      <c r="H555">
        <v>300</v>
      </c>
      <c r="I555" t="str">
        <f>VLOOKUP(B555,товар!$A$1:$C$433,2,FALSE)</f>
        <v>Фрукты</v>
      </c>
      <c r="J555" s="22">
        <f t="shared" si="32"/>
        <v>274.16279069767444</v>
      </c>
      <c r="K555" s="24">
        <f t="shared" si="33"/>
        <v>-5.89532615149716E-2</v>
      </c>
      <c r="L555" t="str">
        <f>VLOOKUP(B555,товар!$A$1:$C$433,3,FALSE)</f>
        <v>Фруктовый Рай</v>
      </c>
      <c r="M555" s="24">
        <f t="shared" si="34"/>
        <v>-1.1911852293031711E-3</v>
      </c>
      <c r="N555" s="29">
        <f t="shared" si="35"/>
        <v>258.30769230769232</v>
      </c>
      <c r="O555" s="32">
        <f>VLOOKUP(H555,клиенты!$A$2:$G$435,5,FALSE)</f>
        <v>44824</v>
      </c>
      <c r="P555">
        <f>Продажи[[#This Row],[дата создания чека]]-Продажи[[#This Row],[Дата регистрации клиента]]</f>
        <v>252</v>
      </c>
      <c r="Q555" t="str">
        <f>VLOOKUP(H555,Таблица3[],7,FALSE)</f>
        <v>Украина</v>
      </c>
    </row>
    <row r="556" spans="1:17" x14ac:dyDescent="0.3">
      <c r="A556">
        <v>555</v>
      </c>
      <c r="B556">
        <v>160</v>
      </c>
      <c r="C556">
        <v>400</v>
      </c>
      <c r="D556">
        <v>3</v>
      </c>
      <c r="E556">
        <v>1200</v>
      </c>
      <c r="F556" s="32">
        <v>45181</v>
      </c>
      <c r="G556" t="s">
        <v>27</v>
      </c>
      <c r="H556">
        <v>134</v>
      </c>
      <c r="I556" t="str">
        <f>VLOOKUP(B556,товар!$A$1:$C$433,2,FALSE)</f>
        <v>Крупа</v>
      </c>
      <c r="J556" s="22">
        <f t="shared" si="32"/>
        <v>255.11627906976744</v>
      </c>
      <c r="K556" s="24">
        <f t="shared" si="33"/>
        <v>0.56791248860528709</v>
      </c>
      <c r="L556" t="str">
        <f>VLOOKUP(B556,товар!$A$1:$C$433,3,FALSE)</f>
        <v>Мистраль</v>
      </c>
      <c r="M556" s="24">
        <f t="shared" si="34"/>
        <v>0.59803318992009835</v>
      </c>
      <c r="N556" s="29">
        <f t="shared" si="35"/>
        <v>250.30769230769232</v>
      </c>
      <c r="O556" s="32">
        <f>VLOOKUP(H556,клиенты!$A$2:$G$435,5,FALSE)</f>
        <v>44753</v>
      </c>
      <c r="P556">
        <f>Продажи[[#This Row],[дата создания чека]]-Продажи[[#This Row],[Дата регистрации клиента]]</f>
        <v>428</v>
      </c>
      <c r="Q556" t="str">
        <f>VLOOKUP(H556,Таблица3[],7,FALSE)</f>
        <v>Россия</v>
      </c>
    </row>
    <row r="557" spans="1:17" x14ac:dyDescent="0.3">
      <c r="A557">
        <v>556</v>
      </c>
      <c r="B557">
        <v>66</v>
      </c>
      <c r="C557">
        <v>230</v>
      </c>
      <c r="D557">
        <v>2</v>
      </c>
      <c r="E557">
        <v>460</v>
      </c>
      <c r="F557" s="32">
        <v>45074</v>
      </c>
      <c r="G557" t="s">
        <v>21</v>
      </c>
      <c r="H557">
        <v>391</v>
      </c>
      <c r="I557" t="str">
        <f>VLOOKUP(B557,товар!$A$1:$C$433,2,FALSE)</f>
        <v>Кофе</v>
      </c>
      <c r="J557" s="22">
        <f t="shared" si="32"/>
        <v>249.02380952380952</v>
      </c>
      <c r="K557" s="24">
        <f t="shared" si="33"/>
        <v>-7.639353666698534E-2</v>
      </c>
      <c r="L557" t="str">
        <f>VLOOKUP(B557,товар!$A$1:$C$433,3,FALSE)</f>
        <v>Черная Карта</v>
      </c>
      <c r="M557" s="24">
        <f t="shared" si="34"/>
        <v>3.5103510351035094E-2</v>
      </c>
      <c r="N557" s="29">
        <f t="shared" si="35"/>
        <v>222.2</v>
      </c>
      <c r="O557" s="32">
        <f>VLOOKUP(H557,клиенты!$A$2:$G$435,5,FALSE)</f>
        <v>44675</v>
      </c>
      <c r="P557">
        <f>Продажи[[#This Row],[дата создания чека]]-Продажи[[#This Row],[Дата регистрации клиента]]</f>
        <v>399</v>
      </c>
      <c r="Q557" t="str">
        <f>VLOOKUP(H557,Таблица3[],7,FALSE)</f>
        <v>Таджикистан</v>
      </c>
    </row>
    <row r="558" spans="1:17" x14ac:dyDescent="0.3">
      <c r="A558">
        <v>557</v>
      </c>
      <c r="B558">
        <v>125</v>
      </c>
      <c r="C558">
        <v>187</v>
      </c>
      <c r="D558">
        <v>5</v>
      </c>
      <c r="E558">
        <v>935</v>
      </c>
      <c r="F558" s="32">
        <v>45027</v>
      </c>
      <c r="G558" t="s">
        <v>23</v>
      </c>
      <c r="H558">
        <v>54</v>
      </c>
      <c r="I558" t="str">
        <f>VLOOKUP(B558,товар!$A$1:$C$433,2,FALSE)</f>
        <v>Рис</v>
      </c>
      <c r="J558" s="22">
        <f t="shared" si="32"/>
        <v>258.375</v>
      </c>
      <c r="K558" s="24">
        <f t="shared" si="33"/>
        <v>-0.27624576681180457</v>
      </c>
      <c r="L558" t="str">
        <f>VLOOKUP(B558,товар!$A$1:$C$433,3,FALSE)</f>
        <v>Националь</v>
      </c>
      <c r="M558" s="24">
        <f t="shared" si="34"/>
        <v>0</v>
      </c>
      <c r="N558" s="29">
        <f t="shared" si="35"/>
        <v>187</v>
      </c>
      <c r="O558" s="32">
        <f>VLOOKUP(H558,клиенты!$A$2:$G$435,5,FALSE)</f>
        <v>44847</v>
      </c>
      <c r="P558">
        <f>Продажи[[#This Row],[дата создания чека]]-Продажи[[#This Row],[Дата регистрации клиента]]</f>
        <v>180</v>
      </c>
      <c r="Q558" t="str">
        <f>VLOOKUP(H558,Таблица3[],7,FALSE)</f>
        <v>Беларусь</v>
      </c>
    </row>
    <row r="559" spans="1:17" x14ac:dyDescent="0.3">
      <c r="A559">
        <v>558</v>
      </c>
      <c r="B559">
        <v>280</v>
      </c>
      <c r="C559">
        <v>234</v>
      </c>
      <c r="D559">
        <v>2</v>
      </c>
      <c r="E559">
        <v>468</v>
      </c>
      <c r="F559" s="32">
        <v>45088</v>
      </c>
      <c r="G559" t="s">
        <v>12</v>
      </c>
      <c r="H559">
        <v>19</v>
      </c>
      <c r="I559" t="str">
        <f>VLOOKUP(B559,товар!$A$1:$C$433,2,FALSE)</f>
        <v>Сыр</v>
      </c>
      <c r="J559" s="22">
        <f t="shared" si="32"/>
        <v>262.63492063492066</v>
      </c>
      <c r="K559" s="24">
        <f t="shared" si="33"/>
        <v>-0.10902937265804435</v>
      </c>
      <c r="L559" t="str">
        <f>VLOOKUP(B559,товар!$A$1:$C$433,3,FALSE)</f>
        <v>President</v>
      </c>
      <c r="M559" s="24">
        <f t="shared" si="34"/>
        <v>-1.9781242727484272E-2</v>
      </c>
      <c r="N559" s="29">
        <f t="shared" si="35"/>
        <v>238.72222222222223</v>
      </c>
      <c r="O559" s="32">
        <f>VLOOKUP(H559,клиенты!$A$2:$G$435,5,FALSE)</f>
        <v>44902</v>
      </c>
      <c r="P559">
        <f>Продажи[[#This Row],[дата создания чека]]-Продажи[[#This Row],[Дата регистрации клиента]]</f>
        <v>186</v>
      </c>
      <c r="Q559" t="str">
        <f>VLOOKUP(H559,Таблица3[],7,FALSE)</f>
        <v>Россия</v>
      </c>
    </row>
    <row r="560" spans="1:17" x14ac:dyDescent="0.3">
      <c r="A560">
        <v>559</v>
      </c>
      <c r="B560">
        <v>309</v>
      </c>
      <c r="C560">
        <v>368</v>
      </c>
      <c r="D560">
        <v>3</v>
      </c>
      <c r="E560">
        <v>1104</v>
      </c>
      <c r="F560" s="32">
        <v>44960</v>
      </c>
      <c r="G560" t="s">
        <v>15</v>
      </c>
      <c r="H560">
        <v>340</v>
      </c>
      <c r="I560" t="str">
        <f>VLOOKUP(B560,товар!$A$1:$C$433,2,FALSE)</f>
        <v>Конфеты</v>
      </c>
      <c r="J560" s="22">
        <f t="shared" si="32"/>
        <v>267.85483870967744</v>
      </c>
      <c r="K560" s="24">
        <f t="shared" si="33"/>
        <v>0.37387848497621468</v>
      </c>
      <c r="L560" t="str">
        <f>VLOOKUP(B560,товар!$A$1:$C$433,3,FALSE)</f>
        <v>Рот Фронт</v>
      </c>
      <c r="M560" s="24">
        <f t="shared" si="34"/>
        <v>0.27672228646951913</v>
      </c>
      <c r="N560" s="29">
        <f t="shared" si="35"/>
        <v>288.23809523809524</v>
      </c>
      <c r="O560" s="32">
        <f>VLOOKUP(H560,клиенты!$A$2:$G$435,5,FALSE)</f>
        <v>44896</v>
      </c>
      <c r="P560">
        <f>Продажи[[#This Row],[дата создания чека]]-Продажи[[#This Row],[Дата регистрации клиента]]</f>
        <v>64</v>
      </c>
      <c r="Q560" t="str">
        <f>VLOOKUP(H560,Таблица3[],7,FALSE)</f>
        <v>Россия</v>
      </c>
    </row>
    <row r="561" spans="1:17" x14ac:dyDescent="0.3">
      <c r="A561">
        <v>560</v>
      </c>
      <c r="B561">
        <v>317</v>
      </c>
      <c r="C561">
        <v>267</v>
      </c>
      <c r="D561">
        <v>3</v>
      </c>
      <c r="E561">
        <v>801</v>
      </c>
      <c r="F561" s="32">
        <v>45396</v>
      </c>
      <c r="G561" t="s">
        <v>26</v>
      </c>
      <c r="H561">
        <v>71</v>
      </c>
      <c r="I561" t="str">
        <f>VLOOKUP(B561,товар!$A$1:$C$433,2,FALSE)</f>
        <v>Сок</v>
      </c>
      <c r="J561" s="22">
        <f t="shared" si="32"/>
        <v>268.60344827586209</v>
      </c>
      <c r="K561" s="24">
        <f t="shared" si="33"/>
        <v>-5.9695744271135442E-3</v>
      </c>
      <c r="L561" t="str">
        <f>VLOOKUP(B561,товар!$A$1:$C$433,3,FALSE)</f>
        <v>Фруктовый сад</v>
      </c>
      <c r="M561" s="24">
        <f t="shared" si="34"/>
        <v>-5.3086556577634947E-2</v>
      </c>
      <c r="N561" s="29">
        <f t="shared" si="35"/>
        <v>281.96875</v>
      </c>
      <c r="O561" s="32">
        <f>VLOOKUP(H561,клиенты!$A$2:$G$435,5,FALSE)</f>
        <v>44762</v>
      </c>
      <c r="P561">
        <f>Продажи[[#This Row],[дата создания чека]]-Продажи[[#This Row],[Дата регистрации клиента]]</f>
        <v>634</v>
      </c>
      <c r="Q561" t="str">
        <f>VLOOKUP(H561,Таблица3[],7,FALSE)</f>
        <v>Украина</v>
      </c>
    </row>
    <row r="562" spans="1:17" x14ac:dyDescent="0.3">
      <c r="A562">
        <v>561</v>
      </c>
      <c r="B562">
        <v>260</v>
      </c>
      <c r="C562">
        <v>370</v>
      </c>
      <c r="D562">
        <v>5</v>
      </c>
      <c r="E562">
        <v>1850</v>
      </c>
      <c r="F562" s="32">
        <v>44958</v>
      </c>
      <c r="G562" t="s">
        <v>18</v>
      </c>
      <c r="H562">
        <v>102</v>
      </c>
      <c r="I562" t="str">
        <f>VLOOKUP(B562,товар!$A$1:$C$433,2,FALSE)</f>
        <v>Соль</v>
      </c>
      <c r="J562" s="22">
        <f t="shared" si="32"/>
        <v>264.8679245283019</v>
      </c>
      <c r="K562" s="24">
        <f t="shared" si="33"/>
        <v>0.39692263855250021</v>
      </c>
      <c r="L562" t="str">
        <f>VLOOKUP(B562,товар!$A$1:$C$433,3,FALSE)</f>
        <v>Экстра</v>
      </c>
      <c r="M562" s="24">
        <f t="shared" si="34"/>
        <v>0.15320067130184589</v>
      </c>
      <c r="N562" s="29">
        <f t="shared" si="35"/>
        <v>320.84615384615387</v>
      </c>
      <c r="O562" s="32">
        <f>VLOOKUP(H562,клиенты!$A$2:$G$435,5,FALSE)</f>
        <v>44723</v>
      </c>
      <c r="P562">
        <f>Продажи[[#This Row],[дата создания чека]]-Продажи[[#This Row],[Дата регистрации клиента]]</f>
        <v>235</v>
      </c>
      <c r="Q562" t="str">
        <f>VLOOKUP(H562,Таблица3[],7,FALSE)</f>
        <v>Узбекистан</v>
      </c>
    </row>
    <row r="563" spans="1:17" x14ac:dyDescent="0.3">
      <c r="A563">
        <v>562</v>
      </c>
      <c r="B563">
        <v>448</v>
      </c>
      <c r="C563">
        <v>170</v>
      </c>
      <c r="D563">
        <v>1</v>
      </c>
      <c r="E563">
        <v>170</v>
      </c>
      <c r="F563" s="32">
        <v>45075</v>
      </c>
      <c r="G563" t="s">
        <v>26</v>
      </c>
      <c r="H563">
        <v>43</v>
      </c>
      <c r="I563" t="str">
        <f>VLOOKUP(B563,товар!$A$1:$C$433,2,FALSE)</f>
        <v>Йогурт</v>
      </c>
      <c r="J563" s="22">
        <f t="shared" si="32"/>
        <v>263.25423728813558</v>
      </c>
      <c r="K563" s="24">
        <f t="shared" si="33"/>
        <v>-0.35423641514293069</v>
      </c>
      <c r="L563" t="str">
        <f>VLOOKUP(B563,товар!$A$1:$C$433,3,FALSE)</f>
        <v>Ростагроэкспорт</v>
      </c>
      <c r="M563" s="24">
        <f t="shared" si="34"/>
        <v>-0.34052960026986001</v>
      </c>
      <c r="N563" s="29">
        <f t="shared" si="35"/>
        <v>257.78260869565219</v>
      </c>
      <c r="O563" s="32">
        <f>VLOOKUP(H563,клиенты!$A$2:$G$435,5,FALSE)</f>
        <v>44912</v>
      </c>
      <c r="P563">
        <f>Продажи[[#This Row],[дата создания чека]]-Продажи[[#This Row],[Дата регистрации клиента]]</f>
        <v>163</v>
      </c>
      <c r="Q563" t="str">
        <f>VLOOKUP(H563,Таблица3[],7,FALSE)</f>
        <v>Россия</v>
      </c>
    </row>
    <row r="564" spans="1:17" x14ac:dyDescent="0.3">
      <c r="A564">
        <v>563</v>
      </c>
      <c r="B564">
        <v>158</v>
      </c>
      <c r="C564">
        <v>71</v>
      </c>
      <c r="D564">
        <v>2</v>
      </c>
      <c r="E564">
        <v>142</v>
      </c>
      <c r="F564" s="32">
        <v>45051</v>
      </c>
      <c r="G564" t="s">
        <v>13</v>
      </c>
      <c r="H564">
        <v>29</v>
      </c>
      <c r="I564" t="str">
        <f>VLOOKUP(B564,товар!$A$1:$C$433,2,FALSE)</f>
        <v>Сахар</v>
      </c>
      <c r="J564" s="22">
        <f t="shared" si="32"/>
        <v>252.76271186440678</v>
      </c>
      <c r="K564" s="24">
        <f t="shared" si="33"/>
        <v>-0.71910413732984646</v>
      </c>
      <c r="L564" t="str">
        <f>VLOOKUP(B564,товар!$A$1:$C$433,3,FALSE)</f>
        <v>Сладов</v>
      </c>
      <c r="M564" s="24">
        <f t="shared" si="34"/>
        <v>-0.7044950055493896</v>
      </c>
      <c r="N564" s="29">
        <f t="shared" si="35"/>
        <v>240.26666666666668</v>
      </c>
      <c r="O564" s="32">
        <f>VLOOKUP(H564,клиенты!$A$2:$G$435,5,FALSE)</f>
        <v>44704</v>
      </c>
      <c r="P564">
        <f>Продажи[[#This Row],[дата создания чека]]-Продажи[[#This Row],[Дата регистрации клиента]]</f>
        <v>347</v>
      </c>
      <c r="Q564" t="str">
        <f>VLOOKUP(H564,Таблица3[],7,FALSE)</f>
        <v>Россия</v>
      </c>
    </row>
    <row r="565" spans="1:17" x14ac:dyDescent="0.3">
      <c r="A565">
        <v>564</v>
      </c>
      <c r="B565">
        <v>274</v>
      </c>
      <c r="C565">
        <v>472</v>
      </c>
      <c r="D565">
        <v>3</v>
      </c>
      <c r="E565">
        <v>1416</v>
      </c>
      <c r="F565" s="32">
        <v>45408</v>
      </c>
      <c r="G565" t="s">
        <v>9</v>
      </c>
      <c r="H565">
        <v>272</v>
      </c>
      <c r="I565" t="str">
        <f>VLOOKUP(B565,товар!$A$1:$C$433,2,FALSE)</f>
        <v>Молоко</v>
      </c>
      <c r="J565" s="22">
        <f t="shared" si="32"/>
        <v>294.95238095238096</v>
      </c>
      <c r="K565" s="24">
        <f t="shared" si="33"/>
        <v>0.60025831449790124</v>
      </c>
      <c r="L565" t="str">
        <f>VLOOKUP(B565,товар!$A$1:$C$433,3,FALSE)</f>
        <v>Простоквашино</v>
      </c>
      <c r="M565" s="24">
        <f t="shared" si="34"/>
        <v>0.48046763615625898</v>
      </c>
      <c r="N565" s="29">
        <f t="shared" si="35"/>
        <v>318.81818181818181</v>
      </c>
      <c r="O565" s="32">
        <f>VLOOKUP(H565,клиенты!$A$2:$G$435,5,FALSE)</f>
        <v>44668</v>
      </c>
      <c r="P565">
        <f>Продажи[[#This Row],[дата создания чека]]-Продажи[[#This Row],[Дата регистрации клиента]]</f>
        <v>740</v>
      </c>
      <c r="Q565" t="str">
        <f>VLOOKUP(H565,Таблица3[],7,FALSE)</f>
        <v>Таджикистан</v>
      </c>
    </row>
    <row r="566" spans="1:17" x14ac:dyDescent="0.3">
      <c r="A566">
        <v>565</v>
      </c>
      <c r="B566">
        <v>471</v>
      </c>
      <c r="C566">
        <v>294</v>
      </c>
      <c r="D566">
        <v>2</v>
      </c>
      <c r="E566">
        <v>588</v>
      </c>
      <c r="F566" s="32">
        <v>45112</v>
      </c>
      <c r="G566" t="s">
        <v>11</v>
      </c>
      <c r="H566">
        <v>370</v>
      </c>
      <c r="I566" t="str">
        <f>VLOOKUP(B566,товар!$A$1:$C$433,2,FALSE)</f>
        <v>Овощи</v>
      </c>
      <c r="J566" s="22">
        <f t="shared" si="32"/>
        <v>250.48780487804879</v>
      </c>
      <c r="K566" s="24">
        <f t="shared" si="33"/>
        <v>0.17370983446932819</v>
      </c>
      <c r="L566" t="str">
        <f>VLOOKUP(B566,товар!$A$1:$C$433,3,FALSE)</f>
        <v>Зеленая грядка</v>
      </c>
      <c r="M566" s="24">
        <f t="shared" si="34"/>
        <v>0.8467336683417086</v>
      </c>
      <c r="N566" s="29">
        <f t="shared" si="35"/>
        <v>159.19999999999999</v>
      </c>
      <c r="O566" s="32">
        <f>VLOOKUP(H566,клиенты!$A$2:$G$435,5,FALSE)</f>
        <v>44726</v>
      </c>
      <c r="P566">
        <f>Продажи[[#This Row],[дата создания чека]]-Продажи[[#This Row],[Дата регистрации клиента]]</f>
        <v>386</v>
      </c>
      <c r="Q566" t="str">
        <f>VLOOKUP(H566,Таблица3[],7,FALSE)</f>
        <v>Таджикистан</v>
      </c>
    </row>
    <row r="567" spans="1:17" x14ac:dyDescent="0.3">
      <c r="A567">
        <v>566</v>
      </c>
      <c r="B567">
        <v>398</v>
      </c>
      <c r="C567">
        <v>65</v>
      </c>
      <c r="D567">
        <v>4</v>
      </c>
      <c r="E567">
        <v>260</v>
      </c>
      <c r="F567" s="32">
        <v>45055</v>
      </c>
      <c r="G567" t="s">
        <v>15</v>
      </c>
      <c r="H567">
        <v>165</v>
      </c>
      <c r="I567" t="str">
        <f>VLOOKUP(B567,товар!$A$1:$C$433,2,FALSE)</f>
        <v>Сок</v>
      </c>
      <c r="J567" s="22">
        <f t="shared" si="32"/>
        <v>268.60344827586209</v>
      </c>
      <c r="K567" s="24">
        <f t="shared" si="33"/>
        <v>-0.75800757429873555</v>
      </c>
      <c r="L567" t="str">
        <f>VLOOKUP(B567,товар!$A$1:$C$433,3,FALSE)</f>
        <v>Фруктовый сад</v>
      </c>
      <c r="M567" s="24">
        <f t="shared" si="34"/>
        <v>-0.7694780006649673</v>
      </c>
      <c r="N567" s="29">
        <f t="shared" si="35"/>
        <v>281.96875</v>
      </c>
      <c r="O567" s="32">
        <f>VLOOKUP(H567,клиенты!$A$2:$G$435,5,FALSE)</f>
        <v>44599</v>
      </c>
      <c r="P567">
        <f>Продажи[[#This Row],[дата создания чека]]-Продажи[[#This Row],[Дата регистрации клиента]]</f>
        <v>456</v>
      </c>
      <c r="Q567" t="str">
        <f>VLOOKUP(H567,Таблица3[],7,FALSE)</f>
        <v>Таджикистан</v>
      </c>
    </row>
    <row r="568" spans="1:17" x14ac:dyDescent="0.3">
      <c r="A568">
        <v>567</v>
      </c>
      <c r="B568">
        <v>395</v>
      </c>
      <c r="C568">
        <v>454</v>
      </c>
      <c r="D568">
        <v>5</v>
      </c>
      <c r="E568">
        <v>2270</v>
      </c>
      <c r="F568" s="32">
        <v>45278</v>
      </c>
      <c r="G568" t="s">
        <v>12</v>
      </c>
      <c r="H568">
        <v>147</v>
      </c>
      <c r="I568" t="str">
        <f>VLOOKUP(B568,товар!$A$1:$C$433,2,FALSE)</f>
        <v>Соль</v>
      </c>
      <c r="J568" s="22">
        <f t="shared" si="32"/>
        <v>264.8679245283019</v>
      </c>
      <c r="K568" s="24">
        <f t="shared" si="33"/>
        <v>0.71406183216982466</v>
      </c>
      <c r="L568" t="str">
        <f>VLOOKUP(B568,товар!$A$1:$C$433,3,FALSE)</f>
        <v>Славянская</v>
      </c>
      <c r="M568" s="24">
        <f t="shared" si="34"/>
        <v>0.91628561378825202</v>
      </c>
      <c r="N568" s="29">
        <f t="shared" si="35"/>
        <v>236.91666666666666</v>
      </c>
      <c r="O568" s="32">
        <f>VLOOKUP(H568,клиенты!$A$2:$G$435,5,FALSE)</f>
        <v>44827</v>
      </c>
      <c r="P568">
        <f>Продажи[[#This Row],[дата создания чека]]-Продажи[[#This Row],[Дата регистрации клиента]]</f>
        <v>451</v>
      </c>
      <c r="Q568" t="str">
        <f>VLOOKUP(H568,Таблица3[],7,FALSE)</f>
        <v>Россия</v>
      </c>
    </row>
    <row r="569" spans="1:17" x14ac:dyDescent="0.3">
      <c r="A569">
        <v>568</v>
      </c>
      <c r="B569">
        <v>424</v>
      </c>
      <c r="C569">
        <v>472</v>
      </c>
      <c r="D569">
        <v>3</v>
      </c>
      <c r="E569">
        <v>1416</v>
      </c>
      <c r="F569" s="32">
        <v>45423</v>
      </c>
      <c r="G569" t="s">
        <v>22</v>
      </c>
      <c r="H569">
        <v>181</v>
      </c>
      <c r="I569" t="str">
        <f>VLOOKUP(B569,товар!$A$1:$C$433,2,FALSE)</f>
        <v>Печенье</v>
      </c>
      <c r="J569" s="22">
        <f t="shared" si="32"/>
        <v>283.468085106383</v>
      </c>
      <c r="K569" s="24">
        <f t="shared" si="33"/>
        <v>0.66509044509494841</v>
      </c>
      <c r="L569" t="str">
        <f>VLOOKUP(B569,товар!$A$1:$C$433,3,FALSE)</f>
        <v>КДВ</v>
      </c>
      <c r="M569" s="24">
        <f t="shared" si="34"/>
        <v>0.46095238095238078</v>
      </c>
      <c r="N569" s="29">
        <f t="shared" si="35"/>
        <v>323.07692307692309</v>
      </c>
      <c r="O569" s="32">
        <f>VLOOKUP(H569,клиенты!$A$2:$G$435,5,FALSE)</f>
        <v>44568</v>
      </c>
      <c r="P569">
        <f>Продажи[[#This Row],[дата создания чека]]-Продажи[[#This Row],[Дата регистрации клиента]]</f>
        <v>855</v>
      </c>
      <c r="Q569" t="str">
        <f>VLOOKUP(H569,Таблица3[],7,FALSE)</f>
        <v>Украина</v>
      </c>
    </row>
    <row r="570" spans="1:17" x14ac:dyDescent="0.3">
      <c r="A570">
        <v>569</v>
      </c>
      <c r="B570">
        <v>474</v>
      </c>
      <c r="C570">
        <v>261</v>
      </c>
      <c r="D570">
        <v>2</v>
      </c>
      <c r="E570">
        <v>522</v>
      </c>
      <c r="F570" s="32">
        <v>45382</v>
      </c>
      <c r="G570" t="s">
        <v>27</v>
      </c>
      <c r="H570">
        <v>88</v>
      </c>
      <c r="I570" t="str">
        <f>VLOOKUP(B570,товар!$A$1:$C$433,2,FALSE)</f>
        <v>Молоко</v>
      </c>
      <c r="J570" s="22">
        <f t="shared" si="32"/>
        <v>294.95238095238096</v>
      </c>
      <c r="K570" s="24">
        <f t="shared" si="33"/>
        <v>-0.11511139812721993</v>
      </c>
      <c r="L570" t="str">
        <f>VLOOKUP(B570,товар!$A$1:$C$433,3,FALSE)</f>
        <v>Простоквашино</v>
      </c>
      <c r="M570" s="24">
        <f t="shared" si="34"/>
        <v>-0.18135158254918737</v>
      </c>
      <c r="N570" s="29">
        <f t="shared" si="35"/>
        <v>318.81818181818181</v>
      </c>
      <c r="O570" s="32">
        <f>VLOOKUP(H570,клиенты!$A$2:$G$435,5,FALSE)</f>
        <v>44630</v>
      </c>
      <c r="P570">
        <f>Продажи[[#This Row],[дата создания чека]]-Продажи[[#This Row],[Дата регистрации клиента]]</f>
        <v>752</v>
      </c>
      <c r="Q570" t="str">
        <f>VLOOKUP(H570,Таблица3[],7,FALSE)</f>
        <v>Украина</v>
      </c>
    </row>
    <row r="571" spans="1:17" x14ac:dyDescent="0.3">
      <c r="A571">
        <v>570</v>
      </c>
      <c r="B571">
        <v>346</v>
      </c>
      <c r="C571">
        <v>390</v>
      </c>
      <c r="D571">
        <v>5</v>
      </c>
      <c r="E571">
        <v>1950</v>
      </c>
      <c r="F571" s="32">
        <v>45402</v>
      </c>
      <c r="G571" t="s">
        <v>20</v>
      </c>
      <c r="H571">
        <v>10</v>
      </c>
      <c r="I571" t="str">
        <f>VLOOKUP(B571,товар!$A$1:$C$433,2,FALSE)</f>
        <v>Чай</v>
      </c>
      <c r="J571" s="22">
        <f t="shared" si="32"/>
        <v>271.18181818181819</v>
      </c>
      <c r="K571" s="24">
        <f t="shared" si="33"/>
        <v>0.43814951391216894</v>
      </c>
      <c r="L571" t="str">
        <f>VLOOKUP(B571,товар!$A$1:$C$433,3,FALSE)</f>
        <v>Greenfield</v>
      </c>
      <c r="M571" s="24">
        <f t="shared" si="34"/>
        <v>0.33811603243917654</v>
      </c>
      <c r="N571" s="29">
        <f t="shared" si="35"/>
        <v>291.45454545454544</v>
      </c>
      <c r="O571" s="32">
        <f>VLOOKUP(H571,клиенты!$A$2:$G$435,5,FALSE)</f>
        <v>44881</v>
      </c>
      <c r="P571">
        <f>Продажи[[#This Row],[дата создания чека]]-Продажи[[#This Row],[Дата регистрации клиента]]</f>
        <v>521</v>
      </c>
      <c r="Q571" t="str">
        <f>VLOOKUP(H571,Таблица3[],7,FALSE)</f>
        <v>Украина</v>
      </c>
    </row>
    <row r="572" spans="1:17" x14ac:dyDescent="0.3">
      <c r="A572">
        <v>571</v>
      </c>
      <c r="B572">
        <v>132</v>
      </c>
      <c r="C572">
        <v>497</v>
      </c>
      <c r="D572">
        <v>4</v>
      </c>
      <c r="E572">
        <v>1988</v>
      </c>
      <c r="F572" s="32">
        <v>44987</v>
      </c>
      <c r="G572" t="s">
        <v>27</v>
      </c>
      <c r="H572">
        <v>364</v>
      </c>
      <c r="I572" t="str">
        <f>VLOOKUP(B572,товар!$A$1:$C$433,2,FALSE)</f>
        <v>Рыба</v>
      </c>
      <c r="J572" s="22">
        <f t="shared" si="32"/>
        <v>258.5128205128205</v>
      </c>
      <c r="K572" s="24">
        <f t="shared" si="33"/>
        <v>0.92253521126760574</v>
      </c>
      <c r="L572" t="str">
        <f>VLOOKUP(B572,товар!$A$1:$C$433,3,FALSE)</f>
        <v>Меридиан</v>
      </c>
      <c r="M572" s="24">
        <f t="shared" si="34"/>
        <v>0.90679304897314394</v>
      </c>
      <c r="N572" s="29">
        <f t="shared" si="35"/>
        <v>260.64705882352939</v>
      </c>
      <c r="O572" s="32">
        <f>VLOOKUP(H572,клиенты!$A$2:$G$435,5,FALSE)</f>
        <v>44883</v>
      </c>
      <c r="P572">
        <f>Продажи[[#This Row],[дата создания чека]]-Продажи[[#This Row],[Дата регистрации клиента]]</f>
        <v>104</v>
      </c>
      <c r="Q572" t="str">
        <f>VLOOKUP(H572,Таблица3[],7,FALSE)</f>
        <v>Россия</v>
      </c>
    </row>
    <row r="573" spans="1:17" x14ac:dyDescent="0.3">
      <c r="A573">
        <v>572</v>
      </c>
      <c r="B573">
        <v>17</v>
      </c>
      <c r="C573">
        <v>363</v>
      </c>
      <c r="D573">
        <v>4</v>
      </c>
      <c r="E573">
        <v>1452</v>
      </c>
      <c r="F573" s="32">
        <v>45191</v>
      </c>
      <c r="G573" t="s">
        <v>20</v>
      </c>
      <c r="H573">
        <v>277</v>
      </c>
      <c r="I573" t="str">
        <f>VLOOKUP(B573,товар!$A$1:$C$433,2,FALSE)</f>
        <v>Кофе</v>
      </c>
      <c r="J573" s="22">
        <f t="shared" si="32"/>
        <v>249.02380952380952</v>
      </c>
      <c r="K573" s="24">
        <f t="shared" si="33"/>
        <v>0.45769193995601887</v>
      </c>
      <c r="L573" t="str">
        <f>VLOOKUP(B573,товар!$A$1:$C$433,3,FALSE)</f>
        <v>Jacobs</v>
      </c>
      <c r="M573" s="24">
        <f t="shared" si="34"/>
        <v>0.31421493902439024</v>
      </c>
      <c r="N573" s="29">
        <f t="shared" si="35"/>
        <v>276.21052631578948</v>
      </c>
      <c r="O573" s="32">
        <f>VLOOKUP(H573,клиенты!$A$2:$G$435,5,FALSE)</f>
        <v>44750</v>
      </c>
      <c r="P573">
        <f>Продажи[[#This Row],[дата создания чека]]-Продажи[[#This Row],[Дата регистрации клиента]]</f>
        <v>441</v>
      </c>
      <c r="Q573" t="str">
        <f>VLOOKUP(H573,Таблица3[],7,FALSE)</f>
        <v>Россия</v>
      </c>
    </row>
    <row r="574" spans="1:17" x14ac:dyDescent="0.3">
      <c r="A574">
        <v>573</v>
      </c>
      <c r="B574">
        <v>63</v>
      </c>
      <c r="C574">
        <v>251</v>
      </c>
      <c r="D574">
        <v>1</v>
      </c>
      <c r="E574">
        <v>251</v>
      </c>
      <c r="F574" s="32">
        <v>45087</v>
      </c>
      <c r="G574" t="s">
        <v>19</v>
      </c>
      <c r="H574">
        <v>214</v>
      </c>
      <c r="I574" t="str">
        <f>VLOOKUP(B574,товар!$A$1:$C$433,2,FALSE)</f>
        <v>Рыба</v>
      </c>
      <c r="J574" s="22">
        <f t="shared" si="32"/>
        <v>258.5128205128205</v>
      </c>
      <c r="K574" s="24">
        <f t="shared" si="33"/>
        <v>-2.9061694108311831E-2</v>
      </c>
      <c r="L574" t="str">
        <f>VLOOKUP(B574,товар!$A$1:$C$433,3,FALSE)</f>
        <v>Балтийский берег</v>
      </c>
      <c r="M574" s="24">
        <f t="shared" si="34"/>
        <v>-0.13415101571483334</v>
      </c>
      <c r="N574" s="29">
        <f t="shared" si="35"/>
        <v>289.88888888888891</v>
      </c>
      <c r="O574" s="32">
        <f>VLOOKUP(H574,клиенты!$A$2:$G$435,5,FALSE)</f>
        <v>44601</v>
      </c>
      <c r="P574">
        <f>Продажи[[#This Row],[дата создания чека]]-Продажи[[#This Row],[Дата регистрации клиента]]</f>
        <v>486</v>
      </c>
      <c r="Q574" t="str">
        <f>VLOOKUP(H574,Таблица3[],7,FALSE)</f>
        <v>Россия</v>
      </c>
    </row>
    <row r="575" spans="1:17" x14ac:dyDescent="0.3">
      <c r="A575">
        <v>574</v>
      </c>
      <c r="B575">
        <v>89</v>
      </c>
      <c r="C575">
        <v>492</v>
      </c>
      <c r="D575">
        <v>2</v>
      </c>
      <c r="E575">
        <v>984</v>
      </c>
      <c r="F575" s="32">
        <v>44935</v>
      </c>
      <c r="G575" t="s">
        <v>17</v>
      </c>
      <c r="H575">
        <v>402</v>
      </c>
      <c r="I575" t="str">
        <f>VLOOKUP(B575,товар!$A$1:$C$433,2,FALSE)</f>
        <v>Конфеты</v>
      </c>
      <c r="J575" s="22">
        <f t="shared" si="32"/>
        <v>267.85483870967744</v>
      </c>
      <c r="K575" s="24">
        <f t="shared" si="33"/>
        <v>0.83681580056602622</v>
      </c>
      <c r="L575" t="str">
        <f>VLOOKUP(B575,товар!$A$1:$C$433,3,FALSE)</f>
        <v>Рот Фронт</v>
      </c>
      <c r="M575" s="24">
        <f t="shared" si="34"/>
        <v>0.70692218734511814</v>
      </c>
      <c r="N575" s="29">
        <f t="shared" si="35"/>
        <v>288.23809523809524</v>
      </c>
      <c r="O575" s="32">
        <f>VLOOKUP(H575,клиенты!$A$2:$G$435,5,FALSE)</f>
        <v>44742</v>
      </c>
      <c r="P575">
        <f>Продажи[[#This Row],[дата создания чека]]-Продажи[[#This Row],[Дата регистрации клиента]]</f>
        <v>193</v>
      </c>
      <c r="Q575" t="str">
        <f>VLOOKUP(H575,Таблица3[],7,FALSE)</f>
        <v>Узбекистан</v>
      </c>
    </row>
    <row r="576" spans="1:17" x14ac:dyDescent="0.3">
      <c r="A576">
        <v>575</v>
      </c>
      <c r="B576">
        <v>260</v>
      </c>
      <c r="C576">
        <v>449</v>
      </c>
      <c r="D576">
        <v>1</v>
      </c>
      <c r="E576">
        <v>449</v>
      </c>
      <c r="F576" s="32">
        <v>45025</v>
      </c>
      <c r="G576" t="s">
        <v>24</v>
      </c>
      <c r="H576">
        <v>490</v>
      </c>
      <c r="I576" t="str">
        <f>VLOOKUP(B576,товар!$A$1:$C$433,2,FALSE)</f>
        <v>Соль</v>
      </c>
      <c r="J576" s="22">
        <f t="shared" si="32"/>
        <v>264.8679245283019</v>
      </c>
      <c r="K576" s="24">
        <f t="shared" si="33"/>
        <v>0.69518449921641245</v>
      </c>
      <c r="L576" t="str">
        <f>VLOOKUP(B576,товар!$A$1:$C$433,3,FALSE)</f>
        <v>Экстра</v>
      </c>
      <c r="M576" s="24">
        <f t="shared" si="34"/>
        <v>0.39942459841764566</v>
      </c>
      <c r="N576" s="29">
        <f t="shared" si="35"/>
        <v>320.84615384615387</v>
      </c>
      <c r="O576" s="32">
        <f>VLOOKUP(H576,клиенты!$A$2:$G$435,5,FALSE)</f>
        <v>44603</v>
      </c>
      <c r="P576">
        <f>Продажи[[#This Row],[дата создания чека]]-Продажи[[#This Row],[Дата регистрации клиента]]</f>
        <v>422</v>
      </c>
      <c r="Q576" t="str">
        <f>VLOOKUP(H576,Таблица3[],7,FALSE)</f>
        <v>Россия</v>
      </c>
    </row>
    <row r="577" spans="1:17" x14ac:dyDescent="0.3">
      <c r="A577">
        <v>576</v>
      </c>
      <c r="B577">
        <v>27</v>
      </c>
      <c r="C577">
        <v>193</v>
      </c>
      <c r="D577">
        <v>1</v>
      </c>
      <c r="E577">
        <v>193</v>
      </c>
      <c r="F577" s="32">
        <v>45061</v>
      </c>
      <c r="G577" t="s">
        <v>15</v>
      </c>
      <c r="H577">
        <v>151</v>
      </c>
      <c r="I577" t="str">
        <f>VLOOKUP(B577,товар!$A$1:$C$433,2,FALSE)</f>
        <v>Макароны</v>
      </c>
      <c r="J577" s="22">
        <f t="shared" si="32"/>
        <v>265.47674418604652</v>
      </c>
      <c r="K577" s="24">
        <f t="shared" si="33"/>
        <v>-0.27300600061320135</v>
      </c>
      <c r="L577" t="str">
        <f>VLOOKUP(B577,товар!$A$1:$C$433,3,FALSE)</f>
        <v>Паста Зара</v>
      </c>
      <c r="M577" s="24">
        <f t="shared" si="34"/>
        <v>-0.30243235322848494</v>
      </c>
      <c r="N577" s="29">
        <f t="shared" si="35"/>
        <v>276.67567567567568</v>
      </c>
      <c r="O577" s="32">
        <f>VLOOKUP(H577,клиенты!$A$2:$G$435,5,FALSE)</f>
        <v>44923</v>
      </c>
      <c r="P577">
        <f>Продажи[[#This Row],[дата создания чека]]-Продажи[[#This Row],[Дата регистрации клиента]]</f>
        <v>138</v>
      </c>
      <c r="Q577" t="str">
        <f>VLOOKUP(H577,Таблица3[],7,FALSE)</f>
        <v>Беларусь</v>
      </c>
    </row>
    <row r="578" spans="1:17" x14ac:dyDescent="0.3">
      <c r="A578">
        <v>577</v>
      </c>
      <c r="B578">
        <v>221</v>
      </c>
      <c r="C578">
        <v>406</v>
      </c>
      <c r="D578">
        <v>3</v>
      </c>
      <c r="E578">
        <v>1218</v>
      </c>
      <c r="F578" s="32">
        <v>44999</v>
      </c>
      <c r="G578" t="s">
        <v>27</v>
      </c>
      <c r="H578">
        <v>409</v>
      </c>
      <c r="I578" t="str">
        <f>VLOOKUP(B578,товар!$A$1:$C$433,2,FALSE)</f>
        <v>Чипсы</v>
      </c>
      <c r="J578" s="22">
        <f t="shared" ref="J578:J641" si="36">AVERAGEIF($I$2:$I$1001,I578,$C$2:$C$1001)</f>
        <v>273.72549019607845</v>
      </c>
      <c r="K578" s="24">
        <f t="shared" ref="K578:K641" si="37">C578/J578-1</f>
        <v>0.48323782234957013</v>
      </c>
      <c r="L578" t="str">
        <f>VLOOKUP(B578,товар!$A$1:$C$433,3,FALSE)</f>
        <v>Pringles</v>
      </c>
      <c r="M578" s="24">
        <f t="shared" ref="M578:M641" si="38">C578/N578-1</f>
        <v>0.44876805437553102</v>
      </c>
      <c r="N578" s="29">
        <f t="shared" ref="N578:N641" si="39">AVERAGEIFS($C$2:$C$1001,$I$2:$I$1001,I578,$L$2:$L$1001,L578)</f>
        <v>280.23809523809524</v>
      </c>
      <c r="O578" s="32">
        <f>VLOOKUP(H578,клиенты!$A$2:$G$435,5,FALSE)</f>
        <v>44869</v>
      </c>
      <c r="P578">
        <f>Продажи[[#This Row],[дата создания чека]]-Продажи[[#This Row],[Дата регистрации клиента]]</f>
        <v>130</v>
      </c>
      <c r="Q578" t="str">
        <f>VLOOKUP(H578,Таблица3[],7,FALSE)</f>
        <v>Украина</v>
      </c>
    </row>
    <row r="579" spans="1:17" x14ac:dyDescent="0.3">
      <c r="A579">
        <v>578</v>
      </c>
      <c r="B579">
        <v>127</v>
      </c>
      <c r="C579">
        <v>384</v>
      </c>
      <c r="D579">
        <v>2</v>
      </c>
      <c r="E579">
        <v>768</v>
      </c>
      <c r="F579" s="32">
        <v>45010</v>
      </c>
      <c r="G579" t="s">
        <v>19</v>
      </c>
      <c r="H579">
        <v>348</v>
      </c>
      <c r="I579" t="str">
        <f>VLOOKUP(B579,товар!$A$1:$C$433,2,FALSE)</f>
        <v>Овощи</v>
      </c>
      <c r="J579" s="22">
        <f t="shared" si="36"/>
        <v>250.48780487804879</v>
      </c>
      <c r="K579" s="24">
        <f t="shared" si="37"/>
        <v>0.53300876338851011</v>
      </c>
      <c r="L579" t="str">
        <f>VLOOKUP(B579,товар!$A$1:$C$433,3,FALSE)</f>
        <v>Семко</v>
      </c>
      <c r="M579" s="24">
        <f t="shared" si="38"/>
        <v>0.84615384615384626</v>
      </c>
      <c r="N579" s="29">
        <f t="shared" si="39"/>
        <v>208</v>
      </c>
      <c r="O579" s="32">
        <f>VLOOKUP(H579,клиенты!$A$2:$G$435,5,FALSE)</f>
        <v>44569</v>
      </c>
      <c r="P579">
        <f>Продажи[[#This Row],[дата создания чека]]-Продажи[[#This Row],[Дата регистрации клиента]]</f>
        <v>441</v>
      </c>
      <c r="Q579" t="str">
        <f>VLOOKUP(H579,Таблица3[],7,FALSE)</f>
        <v>Украина</v>
      </c>
    </row>
    <row r="580" spans="1:17" x14ac:dyDescent="0.3">
      <c r="A580">
        <v>579</v>
      </c>
      <c r="B580">
        <v>464</v>
      </c>
      <c r="C580">
        <v>356</v>
      </c>
      <c r="D580">
        <v>4</v>
      </c>
      <c r="E580">
        <v>1424</v>
      </c>
      <c r="F580" s="32">
        <v>45031</v>
      </c>
      <c r="G580" t="s">
        <v>19</v>
      </c>
      <c r="H580">
        <v>255</v>
      </c>
      <c r="I580" t="str">
        <f>VLOOKUP(B580,товар!$A$1:$C$433,2,FALSE)</f>
        <v>Сыр</v>
      </c>
      <c r="J580" s="22">
        <f t="shared" si="36"/>
        <v>262.63492063492066</v>
      </c>
      <c r="K580" s="24">
        <f t="shared" si="37"/>
        <v>0.35549377493049672</v>
      </c>
      <c r="L580" t="str">
        <f>VLOOKUP(B580,товар!$A$1:$C$433,3,FALSE)</f>
        <v>Сырная долина</v>
      </c>
      <c r="M580" s="24">
        <f t="shared" si="38"/>
        <v>0.31365313653136528</v>
      </c>
      <c r="N580" s="29">
        <f t="shared" si="39"/>
        <v>271</v>
      </c>
      <c r="O580" s="32">
        <f>VLOOKUP(H580,клиенты!$A$2:$G$435,5,FALSE)</f>
        <v>44793</v>
      </c>
      <c r="P580">
        <f>Продажи[[#This Row],[дата создания чека]]-Продажи[[#This Row],[Дата регистрации клиента]]</f>
        <v>238</v>
      </c>
      <c r="Q580" t="str">
        <f>VLOOKUP(H580,Таблица3[],7,FALSE)</f>
        <v>Украина</v>
      </c>
    </row>
    <row r="581" spans="1:17" x14ac:dyDescent="0.3">
      <c r="A581">
        <v>580</v>
      </c>
      <c r="B581">
        <v>426</v>
      </c>
      <c r="C581">
        <v>438</v>
      </c>
      <c r="D581">
        <v>1</v>
      </c>
      <c r="E581">
        <v>438</v>
      </c>
      <c r="F581" s="32">
        <v>44932</v>
      </c>
      <c r="G581" t="s">
        <v>10</v>
      </c>
      <c r="H581">
        <v>27</v>
      </c>
      <c r="I581" t="str">
        <f>VLOOKUP(B581,товар!$A$1:$C$433,2,FALSE)</f>
        <v>Печенье</v>
      </c>
      <c r="J581" s="22">
        <f t="shared" si="36"/>
        <v>283.468085106383</v>
      </c>
      <c r="K581" s="24">
        <f t="shared" si="37"/>
        <v>0.54514748930421075</v>
      </c>
      <c r="L581" t="str">
        <f>VLOOKUP(B581,товар!$A$1:$C$433,3,FALSE)</f>
        <v>Посиделкино</v>
      </c>
      <c r="M581" s="24">
        <f t="shared" si="38"/>
        <v>0.36178631995477684</v>
      </c>
      <c r="N581" s="29">
        <f t="shared" si="39"/>
        <v>321.63636363636363</v>
      </c>
      <c r="O581" s="32">
        <f>VLOOKUP(H581,клиенты!$A$2:$G$435,5,FALSE)</f>
        <v>44586</v>
      </c>
      <c r="P581">
        <f>Продажи[[#This Row],[дата создания чека]]-Продажи[[#This Row],[Дата регистрации клиента]]</f>
        <v>346</v>
      </c>
      <c r="Q581" t="str">
        <f>VLOOKUP(H581,Таблица3[],7,FALSE)</f>
        <v>Украина</v>
      </c>
    </row>
    <row r="582" spans="1:17" x14ac:dyDescent="0.3">
      <c r="A582">
        <v>581</v>
      </c>
      <c r="B582">
        <v>224</v>
      </c>
      <c r="C582">
        <v>232</v>
      </c>
      <c r="D582">
        <v>5</v>
      </c>
      <c r="E582">
        <v>1160</v>
      </c>
      <c r="F582" s="32">
        <v>45332</v>
      </c>
      <c r="G582" t="s">
        <v>27</v>
      </c>
      <c r="H582">
        <v>219</v>
      </c>
      <c r="I582" t="str">
        <f>VLOOKUP(B582,товар!$A$1:$C$433,2,FALSE)</f>
        <v>Чипсы</v>
      </c>
      <c r="J582" s="22">
        <f t="shared" si="36"/>
        <v>273.72549019607845</v>
      </c>
      <c r="K582" s="24">
        <f t="shared" si="37"/>
        <v>-0.15243553008596</v>
      </c>
      <c r="L582" t="str">
        <f>VLOOKUP(B582,товар!$A$1:$C$433,3,FALSE)</f>
        <v>Pringles</v>
      </c>
      <c r="M582" s="24">
        <f t="shared" si="38"/>
        <v>-0.17213254035683945</v>
      </c>
      <c r="N582" s="29">
        <f t="shared" si="39"/>
        <v>280.23809523809524</v>
      </c>
      <c r="O582" s="32">
        <f>VLOOKUP(H582,клиенты!$A$2:$G$435,5,FALSE)</f>
        <v>44585</v>
      </c>
      <c r="P582">
        <f>Продажи[[#This Row],[дата создания чека]]-Продажи[[#This Row],[Дата регистрации клиента]]</f>
        <v>747</v>
      </c>
      <c r="Q582" t="str">
        <f>VLOOKUP(H582,Таблица3[],7,FALSE)</f>
        <v>Таджикистан</v>
      </c>
    </row>
    <row r="583" spans="1:17" x14ac:dyDescent="0.3">
      <c r="A583">
        <v>582</v>
      </c>
      <c r="B583">
        <v>198</v>
      </c>
      <c r="C583">
        <v>383</v>
      </c>
      <c r="D583">
        <v>2</v>
      </c>
      <c r="E583">
        <v>766</v>
      </c>
      <c r="F583" s="32">
        <v>45393</v>
      </c>
      <c r="G583" t="s">
        <v>13</v>
      </c>
      <c r="H583">
        <v>272</v>
      </c>
      <c r="I583" t="str">
        <f>VLOOKUP(B583,товар!$A$1:$C$433,2,FALSE)</f>
        <v>Мясо</v>
      </c>
      <c r="J583" s="22">
        <f t="shared" si="36"/>
        <v>271.74545454545455</v>
      </c>
      <c r="K583" s="24">
        <f t="shared" si="37"/>
        <v>0.40940719925063562</v>
      </c>
      <c r="L583" t="str">
        <f>VLOOKUP(B583,товар!$A$1:$C$433,3,FALSE)</f>
        <v>Мираторг</v>
      </c>
      <c r="M583" s="24">
        <f t="shared" si="38"/>
        <v>0.2097920505396158</v>
      </c>
      <c r="N583" s="29">
        <f t="shared" si="39"/>
        <v>316.58333333333331</v>
      </c>
      <c r="O583" s="32">
        <f>VLOOKUP(H583,клиенты!$A$2:$G$435,5,FALSE)</f>
        <v>44668</v>
      </c>
      <c r="P583">
        <f>Продажи[[#This Row],[дата создания чека]]-Продажи[[#This Row],[Дата регистрации клиента]]</f>
        <v>725</v>
      </c>
      <c r="Q583" t="str">
        <f>VLOOKUP(H583,Таблица3[],7,FALSE)</f>
        <v>Таджикистан</v>
      </c>
    </row>
    <row r="584" spans="1:17" x14ac:dyDescent="0.3">
      <c r="A584">
        <v>583</v>
      </c>
      <c r="B584">
        <v>233</v>
      </c>
      <c r="C584">
        <v>419</v>
      </c>
      <c r="D584">
        <v>5</v>
      </c>
      <c r="E584">
        <v>2095</v>
      </c>
      <c r="F584" s="32">
        <v>45304</v>
      </c>
      <c r="G584" t="s">
        <v>25</v>
      </c>
      <c r="H584">
        <v>388</v>
      </c>
      <c r="I584" t="str">
        <f>VLOOKUP(B584,товар!$A$1:$C$433,2,FALSE)</f>
        <v>Йогурт</v>
      </c>
      <c r="J584" s="22">
        <f t="shared" si="36"/>
        <v>263.25423728813558</v>
      </c>
      <c r="K584" s="24">
        <f t="shared" si="37"/>
        <v>0.59161730620654129</v>
      </c>
      <c r="L584" t="str">
        <f>VLOOKUP(B584,товар!$A$1:$C$433,3,FALSE)</f>
        <v>Ростагроэкспорт</v>
      </c>
      <c r="M584" s="24">
        <f t="shared" si="38"/>
        <v>0.62540057345252142</v>
      </c>
      <c r="N584" s="29">
        <f t="shared" si="39"/>
        <v>257.78260869565219</v>
      </c>
      <c r="O584" s="32">
        <f>VLOOKUP(H584,клиенты!$A$2:$G$435,5,FALSE)</f>
        <v>44581</v>
      </c>
      <c r="P584">
        <f>Продажи[[#This Row],[дата создания чека]]-Продажи[[#This Row],[Дата регистрации клиента]]</f>
        <v>723</v>
      </c>
      <c r="Q584" t="str">
        <f>VLOOKUP(H584,Таблица3[],7,FALSE)</f>
        <v>Россия</v>
      </c>
    </row>
    <row r="585" spans="1:17" x14ac:dyDescent="0.3">
      <c r="A585">
        <v>584</v>
      </c>
      <c r="B585">
        <v>355</v>
      </c>
      <c r="C585">
        <v>210</v>
      </c>
      <c r="D585">
        <v>1</v>
      </c>
      <c r="E585">
        <v>210</v>
      </c>
      <c r="F585" s="32">
        <v>45213</v>
      </c>
      <c r="G585" t="s">
        <v>14</v>
      </c>
      <c r="H585">
        <v>446</v>
      </c>
      <c r="I585" t="str">
        <f>VLOOKUP(B585,товар!$A$1:$C$433,2,FALSE)</f>
        <v>Кофе</v>
      </c>
      <c r="J585" s="22">
        <f t="shared" si="36"/>
        <v>249.02380952380952</v>
      </c>
      <c r="K585" s="24">
        <f t="shared" si="37"/>
        <v>-0.15670714217420401</v>
      </c>
      <c r="L585" t="str">
        <f>VLOOKUP(B585,товар!$A$1:$C$433,3,FALSE)</f>
        <v>Jacobs</v>
      </c>
      <c r="M585" s="24">
        <f t="shared" si="38"/>
        <v>-0.23971036585365857</v>
      </c>
      <c r="N585" s="29">
        <f t="shared" si="39"/>
        <v>276.21052631578948</v>
      </c>
      <c r="O585" s="32">
        <f>VLOOKUP(H585,клиенты!$A$2:$G$435,5,FALSE)</f>
        <v>44671</v>
      </c>
      <c r="P585">
        <f>Продажи[[#This Row],[дата создания чека]]-Продажи[[#This Row],[Дата регистрации клиента]]</f>
        <v>542</v>
      </c>
      <c r="Q585" t="str">
        <f>VLOOKUP(H585,Таблица3[],7,FALSE)</f>
        <v>Таджикистан</v>
      </c>
    </row>
    <row r="586" spans="1:17" x14ac:dyDescent="0.3">
      <c r="A586">
        <v>585</v>
      </c>
      <c r="B586">
        <v>118</v>
      </c>
      <c r="C586">
        <v>214</v>
      </c>
      <c r="D586">
        <v>2</v>
      </c>
      <c r="E586">
        <v>428</v>
      </c>
      <c r="F586" s="32">
        <v>45058</v>
      </c>
      <c r="G586" t="s">
        <v>14</v>
      </c>
      <c r="H586">
        <v>138</v>
      </c>
      <c r="I586" t="str">
        <f>VLOOKUP(B586,товар!$A$1:$C$433,2,FALSE)</f>
        <v>Сахар</v>
      </c>
      <c r="J586" s="22">
        <f t="shared" si="36"/>
        <v>252.76271186440678</v>
      </c>
      <c r="K586" s="24">
        <f t="shared" si="37"/>
        <v>-0.15335613223362166</v>
      </c>
      <c r="L586" t="str">
        <f>VLOOKUP(B586,товар!$A$1:$C$433,3,FALSE)</f>
        <v>Продимекс</v>
      </c>
      <c r="M586" s="24">
        <f t="shared" si="38"/>
        <v>-0.11018711018711014</v>
      </c>
      <c r="N586" s="29">
        <f t="shared" si="39"/>
        <v>240.5</v>
      </c>
      <c r="O586" s="32">
        <f>VLOOKUP(H586,клиенты!$A$2:$G$435,5,FALSE)</f>
        <v>44723</v>
      </c>
      <c r="P586">
        <f>Продажи[[#This Row],[дата создания чека]]-Продажи[[#This Row],[Дата регистрации клиента]]</f>
        <v>335</v>
      </c>
      <c r="Q586" t="str">
        <f>VLOOKUP(H586,Таблица3[],7,FALSE)</f>
        <v>Украина</v>
      </c>
    </row>
    <row r="587" spans="1:17" x14ac:dyDescent="0.3">
      <c r="A587">
        <v>586</v>
      </c>
      <c r="B587">
        <v>414</v>
      </c>
      <c r="C587">
        <v>115</v>
      </c>
      <c r="D587">
        <v>2</v>
      </c>
      <c r="E587">
        <v>230</v>
      </c>
      <c r="F587" s="32">
        <v>45094</v>
      </c>
      <c r="G587" t="s">
        <v>12</v>
      </c>
      <c r="H587">
        <v>402</v>
      </c>
      <c r="I587" t="str">
        <f>VLOOKUP(B587,товар!$A$1:$C$433,2,FALSE)</f>
        <v>Фрукты</v>
      </c>
      <c r="J587" s="22">
        <f t="shared" si="36"/>
        <v>274.16279069767444</v>
      </c>
      <c r="K587" s="24">
        <f t="shared" si="37"/>
        <v>-0.58054118245822384</v>
      </c>
      <c r="L587" t="str">
        <f>VLOOKUP(B587,товар!$A$1:$C$433,3,FALSE)</f>
        <v>Экзотик</v>
      </c>
      <c r="M587" s="24">
        <f t="shared" si="38"/>
        <v>-0.54668637595466862</v>
      </c>
      <c r="N587" s="29">
        <f t="shared" si="39"/>
        <v>253.6875</v>
      </c>
      <c r="O587" s="32">
        <f>VLOOKUP(H587,клиенты!$A$2:$G$435,5,FALSE)</f>
        <v>44742</v>
      </c>
      <c r="P587">
        <f>Продажи[[#This Row],[дата создания чека]]-Продажи[[#This Row],[Дата регистрации клиента]]</f>
        <v>352</v>
      </c>
      <c r="Q587" t="str">
        <f>VLOOKUP(H587,Таблица3[],7,FALSE)</f>
        <v>Узбекистан</v>
      </c>
    </row>
    <row r="588" spans="1:17" x14ac:dyDescent="0.3">
      <c r="A588">
        <v>587</v>
      </c>
      <c r="B588">
        <v>405</v>
      </c>
      <c r="C588">
        <v>340</v>
      </c>
      <c r="D588">
        <v>1</v>
      </c>
      <c r="E588">
        <v>340</v>
      </c>
      <c r="F588" s="32">
        <v>45213</v>
      </c>
      <c r="G588" t="s">
        <v>11</v>
      </c>
      <c r="H588">
        <v>351</v>
      </c>
      <c r="I588" t="str">
        <f>VLOOKUP(B588,товар!$A$1:$C$433,2,FALSE)</f>
        <v>Хлеб</v>
      </c>
      <c r="J588" s="22">
        <f t="shared" si="36"/>
        <v>300.31818181818181</v>
      </c>
      <c r="K588" s="24">
        <f t="shared" si="37"/>
        <v>0.1321325866505223</v>
      </c>
      <c r="L588" t="str">
        <f>VLOOKUP(B588,товар!$A$1:$C$433,3,FALSE)</f>
        <v>Каравай</v>
      </c>
      <c r="M588" s="24">
        <f t="shared" si="38"/>
        <v>2.6673376950176131E-2</v>
      </c>
      <c r="N588" s="29">
        <f t="shared" si="39"/>
        <v>331.16666666666669</v>
      </c>
      <c r="O588" s="32">
        <f>VLOOKUP(H588,клиенты!$A$2:$G$435,5,FALSE)</f>
        <v>44863</v>
      </c>
      <c r="P588">
        <f>Продажи[[#This Row],[дата создания чека]]-Продажи[[#This Row],[Дата регистрации клиента]]</f>
        <v>350</v>
      </c>
      <c r="Q588" t="str">
        <f>VLOOKUP(H588,Таблица3[],7,FALSE)</f>
        <v>Россия</v>
      </c>
    </row>
    <row r="589" spans="1:17" x14ac:dyDescent="0.3">
      <c r="A589">
        <v>588</v>
      </c>
      <c r="B589">
        <v>313</v>
      </c>
      <c r="C589">
        <v>392</v>
      </c>
      <c r="D589">
        <v>5</v>
      </c>
      <c r="E589">
        <v>1960</v>
      </c>
      <c r="F589" s="32">
        <v>45109</v>
      </c>
      <c r="G589" t="s">
        <v>8</v>
      </c>
      <c r="H589">
        <v>40</v>
      </c>
      <c r="I589" t="str">
        <f>VLOOKUP(B589,товар!$A$1:$C$433,2,FALSE)</f>
        <v>Конфеты</v>
      </c>
      <c r="J589" s="22">
        <f t="shared" si="36"/>
        <v>267.85483870967744</v>
      </c>
      <c r="K589" s="24">
        <f t="shared" si="37"/>
        <v>0.46347925573553317</v>
      </c>
      <c r="L589" t="str">
        <f>VLOOKUP(B589,товар!$A$1:$C$433,3,FALSE)</f>
        <v>Бабаевский</v>
      </c>
      <c r="M589" s="24">
        <f t="shared" si="38"/>
        <v>0.56637561047802265</v>
      </c>
      <c r="N589" s="29">
        <f t="shared" si="39"/>
        <v>250.25925925925927</v>
      </c>
      <c r="O589" s="32">
        <f>VLOOKUP(H589,клиенты!$A$2:$G$435,5,FALSE)</f>
        <v>44855</v>
      </c>
      <c r="P589">
        <f>Продажи[[#This Row],[дата создания чека]]-Продажи[[#This Row],[Дата регистрации клиента]]</f>
        <v>254</v>
      </c>
      <c r="Q589" t="str">
        <f>VLOOKUP(H589,Таблица3[],7,FALSE)</f>
        <v>Россия</v>
      </c>
    </row>
    <row r="590" spans="1:17" x14ac:dyDescent="0.3">
      <c r="A590">
        <v>589</v>
      </c>
      <c r="B590">
        <v>113</v>
      </c>
      <c r="C590">
        <v>378</v>
      </c>
      <c r="D590">
        <v>1</v>
      </c>
      <c r="E590">
        <v>378</v>
      </c>
      <c r="F590" s="32">
        <v>45277</v>
      </c>
      <c r="G590" t="s">
        <v>10</v>
      </c>
      <c r="H590">
        <v>19</v>
      </c>
      <c r="I590" t="str">
        <f>VLOOKUP(B590,товар!$A$1:$C$433,2,FALSE)</f>
        <v>Сок</v>
      </c>
      <c r="J590" s="22">
        <f t="shared" si="36"/>
        <v>268.60344827586209</v>
      </c>
      <c r="K590" s="24">
        <f t="shared" si="37"/>
        <v>0.4072790294627382</v>
      </c>
      <c r="L590" t="str">
        <f>VLOOKUP(B590,товар!$A$1:$C$433,3,FALSE)</f>
        <v>Добрый</v>
      </c>
      <c r="M590" s="24">
        <f t="shared" si="38"/>
        <v>0.55672032946462013</v>
      </c>
      <c r="N590" s="29">
        <f t="shared" si="39"/>
        <v>242.81818181818181</v>
      </c>
      <c r="O590" s="32">
        <f>VLOOKUP(H590,клиенты!$A$2:$G$435,5,FALSE)</f>
        <v>44902</v>
      </c>
      <c r="P590">
        <f>Продажи[[#This Row],[дата создания чека]]-Продажи[[#This Row],[Дата регистрации клиента]]</f>
        <v>375</v>
      </c>
      <c r="Q590" t="str">
        <f>VLOOKUP(H590,Таблица3[],7,FALSE)</f>
        <v>Россия</v>
      </c>
    </row>
    <row r="591" spans="1:17" x14ac:dyDescent="0.3">
      <c r="A591">
        <v>590</v>
      </c>
      <c r="B591">
        <v>474</v>
      </c>
      <c r="C591">
        <v>204</v>
      </c>
      <c r="D591">
        <v>2</v>
      </c>
      <c r="E591">
        <v>408</v>
      </c>
      <c r="F591" s="32">
        <v>45349</v>
      </c>
      <c r="G591" t="s">
        <v>23</v>
      </c>
      <c r="H591">
        <v>153</v>
      </c>
      <c r="I591" t="str">
        <f>VLOOKUP(B591,товар!$A$1:$C$433,2,FALSE)</f>
        <v>Молоко</v>
      </c>
      <c r="J591" s="22">
        <f t="shared" si="36"/>
        <v>294.95238095238096</v>
      </c>
      <c r="K591" s="24">
        <f t="shared" si="37"/>
        <v>-0.30836293186955122</v>
      </c>
      <c r="L591" t="str">
        <f>VLOOKUP(B591,товар!$A$1:$C$433,3,FALSE)</f>
        <v>Простоквашино</v>
      </c>
      <c r="M591" s="24">
        <f t="shared" si="38"/>
        <v>-0.36013686911890508</v>
      </c>
      <c r="N591" s="29">
        <f t="shared" si="39"/>
        <v>318.81818181818181</v>
      </c>
      <c r="O591" s="32">
        <f>VLOOKUP(H591,клиенты!$A$2:$G$435,5,FALSE)</f>
        <v>44802</v>
      </c>
      <c r="P591">
        <f>Продажи[[#This Row],[дата создания чека]]-Продажи[[#This Row],[Дата регистрации клиента]]</f>
        <v>547</v>
      </c>
      <c r="Q591" t="str">
        <f>VLOOKUP(H591,Таблица3[],7,FALSE)</f>
        <v>Россия</v>
      </c>
    </row>
    <row r="592" spans="1:17" x14ac:dyDescent="0.3">
      <c r="A592">
        <v>591</v>
      </c>
      <c r="B592">
        <v>361</v>
      </c>
      <c r="C592">
        <v>69</v>
      </c>
      <c r="D592">
        <v>1</v>
      </c>
      <c r="E592">
        <v>69</v>
      </c>
      <c r="F592" s="32">
        <v>45021</v>
      </c>
      <c r="G592" t="s">
        <v>27</v>
      </c>
      <c r="H592">
        <v>355</v>
      </c>
      <c r="I592" t="str">
        <f>VLOOKUP(B592,товар!$A$1:$C$433,2,FALSE)</f>
        <v>Мясо</v>
      </c>
      <c r="J592" s="22">
        <f t="shared" si="36"/>
        <v>271.74545454545455</v>
      </c>
      <c r="K592" s="24">
        <f t="shared" si="37"/>
        <v>-0.74608590927338425</v>
      </c>
      <c r="L592" t="str">
        <f>VLOOKUP(B592,товар!$A$1:$C$433,3,FALSE)</f>
        <v>Сава</v>
      </c>
      <c r="M592" s="24">
        <f t="shared" si="38"/>
        <v>-0.67577092511013215</v>
      </c>
      <c r="N592" s="29">
        <f t="shared" si="39"/>
        <v>212.8125</v>
      </c>
      <c r="O592" s="32">
        <f>VLOOKUP(H592,клиенты!$A$2:$G$435,5,FALSE)</f>
        <v>44631</v>
      </c>
      <c r="P592">
        <f>Продажи[[#This Row],[дата создания чека]]-Продажи[[#This Row],[Дата регистрации клиента]]</f>
        <v>390</v>
      </c>
      <c r="Q592" t="str">
        <f>VLOOKUP(H592,Таблица3[],7,FALSE)</f>
        <v>Россия</v>
      </c>
    </row>
    <row r="593" spans="1:17" x14ac:dyDescent="0.3">
      <c r="A593">
        <v>592</v>
      </c>
      <c r="B593">
        <v>291</v>
      </c>
      <c r="C593">
        <v>455</v>
      </c>
      <c r="D593">
        <v>5</v>
      </c>
      <c r="E593">
        <v>2275</v>
      </c>
      <c r="F593" s="32">
        <v>45142</v>
      </c>
      <c r="G593" t="s">
        <v>18</v>
      </c>
      <c r="H593">
        <v>245</v>
      </c>
      <c r="I593" t="str">
        <f>VLOOKUP(B593,товар!$A$1:$C$433,2,FALSE)</f>
        <v>Рыба</v>
      </c>
      <c r="J593" s="22">
        <f t="shared" si="36"/>
        <v>258.5128205128205</v>
      </c>
      <c r="K593" s="24">
        <f t="shared" si="37"/>
        <v>0.76006744693513206</v>
      </c>
      <c r="L593" t="str">
        <f>VLOOKUP(B593,товар!$A$1:$C$433,3,FALSE)</f>
        <v>Балтийский берег</v>
      </c>
      <c r="M593" s="24">
        <f t="shared" si="38"/>
        <v>0.56956688386354903</v>
      </c>
      <c r="N593" s="29">
        <f t="shared" si="39"/>
        <v>289.88888888888891</v>
      </c>
      <c r="O593" s="32">
        <f>VLOOKUP(H593,клиенты!$A$2:$G$435,5,FALSE)</f>
        <v>44695</v>
      </c>
      <c r="P593">
        <f>Продажи[[#This Row],[дата создания чека]]-Продажи[[#This Row],[Дата регистрации клиента]]</f>
        <v>447</v>
      </c>
      <c r="Q593" t="str">
        <f>VLOOKUP(H593,Таблица3[],7,FALSE)</f>
        <v>Узбекистан</v>
      </c>
    </row>
    <row r="594" spans="1:17" x14ac:dyDescent="0.3">
      <c r="A594">
        <v>593</v>
      </c>
      <c r="B594">
        <v>360</v>
      </c>
      <c r="C594">
        <v>137</v>
      </c>
      <c r="D594">
        <v>2</v>
      </c>
      <c r="E594">
        <v>274</v>
      </c>
      <c r="F594" s="32">
        <v>45318</v>
      </c>
      <c r="G594" t="s">
        <v>22</v>
      </c>
      <c r="H594">
        <v>80</v>
      </c>
      <c r="I594" t="str">
        <f>VLOOKUP(B594,товар!$A$1:$C$433,2,FALSE)</f>
        <v>Соль</v>
      </c>
      <c r="J594" s="22">
        <f t="shared" si="36"/>
        <v>264.8679245283019</v>
      </c>
      <c r="K594" s="24">
        <f t="shared" si="37"/>
        <v>-0.48276107707650662</v>
      </c>
      <c r="L594" t="str">
        <f>VLOOKUP(B594,товар!$A$1:$C$433,3,FALSE)</f>
        <v>Славянская</v>
      </c>
      <c r="M594" s="24">
        <f t="shared" si="38"/>
        <v>-0.42173760112557157</v>
      </c>
      <c r="N594" s="29">
        <f t="shared" si="39"/>
        <v>236.91666666666666</v>
      </c>
      <c r="O594" s="32">
        <f>VLOOKUP(H594,клиенты!$A$2:$G$435,5,FALSE)</f>
        <v>44623</v>
      </c>
      <c r="P594">
        <f>Продажи[[#This Row],[дата создания чека]]-Продажи[[#This Row],[Дата регистрации клиента]]</f>
        <v>695</v>
      </c>
      <c r="Q594" t="str">
        <f>VLOOKUP(H594,Таблица3[],7,FALSE)</f>
        <v>Беларусь</v>
      </c>
    </row>
    <row r="595" spans="1:17" x14ac:dyDescent="0.3">
      <c r="A595">
        <v>594</v>
      </c>
      <c r="B595">
        <v>182</v>
      </c>
      <c r="C595">
        <v>152</v>
      </c>
      <c r="D595">
        <v>3</v>
      </c>
      <c r="E595">
        <v>456</v>
      </c>
      <c r="F595" s="32">
        <v>45053</v>
      </c>
      <c r="G595" t="s">
        <v>22</v>
      </c>
      <c r="H595">
        <v>466</v>
      </c>
      <c r="I595" t="str">
        <f>VLOOKUP(B595,товар!$A$1:$C$433,2,FALSE)</f>
        <v>Соль</v>
      </c>
      <c r="J595" s="22">
        <f t="shared" si="36"/>
        <v>264.8679245283019</v>
      </c>
      <c r="K595" s="24">
        <f t="shared" si="37"/>
        <v>-0.42612907821627011</v>
      </c>
      <c r="L595" t="str">
        <f>VLOOKUP(B595,товар!$A$1:$C$433,3,FALSE)</f>
        <v>Экстра</v>
      </c>
      <c r="M595" s="24">
        <f t="shared" si="38"/>
        <v>-0.5262526971949173</v>
      </c>
      <c r="N595" s="29">
        <f t="shared" si="39"/>
        <v>320.84615384615387</v>
      </c>
      <c r="O595" s="32">
        <f>VLOOKUP(H595,клиенты!$A$2:$G$435,5,FALSE)</f>
        <v>44772</v>
      </c>
      <c r="P595">
        <f>Продажи[[#This Row],[дата создания чека]]-Продажи[[#This Row],[Дата регистрации клиента]]</f>
        <v>281</v>
      </c>
      <c r="Q595" t="str">
        <f>VLOOKUP(H595,Таблица3[],7,FALSE)</f>
        <v>Беларусь</v>
      </c>
    </row>
    <row r="596" spans="1:17" x14ac:dyDescent="0.3">
      <c r="A596">
        <v>595</v>
      </c>
      <c r="B596">
        <v>490</v>
      </c>
      <c r="C596">
        <v>170</v>
      </c>
      <c r="D596">
        <v>5</v>
      </c>
      <c r="E596">
        <v>850</v>
      </c>
      <c r="F596" s="32">
        <v>45058</v>
      </c>
      <c r="G596" t="s">
        <v>17</v>
      </c>
      <c r="H596">
        <v>317</v>
      </c>
      <c r="I596" t="str">
        <f>VLOOKUP(B596,товар!$A$1:$C$433,2,FALSE)</f>
        <v>Сыр</v>
      </c>
      <c r="J596" s="22">
        <f t="shared" si="36"/>
        <v>262.63492063492066</v>
      </c>
      <c r="K596" s="24">
        <f t="shared" si="37"/>
        <v>-0.35271364680285267</v>
      </c>
      <c r="L596" t="str">
        <f>VLOOKUP(B596,товар!$A$1:$C$433,3,FALSE)</f>
        <v>Сырная долина</v>
      </c>
      <c r="M596" s="24">
        <f t="shared" si="38"/>
        <v>-0.37269372693726932</v>
      </c>
      <c r="N596" s="29">
        <f t="shared" si="39"/>
        <v>271</v>
      </c>
      <c r="O596" s="32">
        <f>VLOOKUP(H596,клиенты!$A$2:$G$435,5,FALSE)</f>
        <v>44770</v>
      </c>
      <c r="P596">
        <f>Продажи[[#This Row],[дата создания чека]]-Продажи[[#This Row],[Дата регистрации клиента]]</f>
        <v>288</v>
      </c>
      <c r="Q596" t="str">
        <f>VLOOKUP(H596,Таблица3[],7,FALSE)</f>
        <v>Россия</v>
      </c>
    </row>
    <row r="597" spans="1:17" x14ac:dyDescent="0.3">
      <c r="A597">
        <v>596</v>
      </c>
      <c r="B597">
        <v>215</v>
      </c>
      <c r="C597">
        <v>496</v>
      </c>
      <c r="D597">
        <v>2</v>
      </c>
      <c r="E597">
        <v>992</v>
      </c>
      <c r="F597" s="32">
        <v>45404</v>
      </c>
      <c r="G597" t="s">
        <v>12</v>
      </c>
      <c r="H597">
        <v>342</v>
      </c>
      <c r="I597" t="str">
        <f>VLOOKUP(B597,товар!$A$1:$C$433,2,FALSE)</f>
        <v>Сок</v>
      </c>
      <c r="J597" s="22">
        <f t="shared" si="36"/>
        <v>268.60344827586209</v>
      </c>
      <c r="K597" s="24">
        <f t="shared" si="37"/>
        <v>0.84658835612041838</v>
      </c>
      <c r="L597" t="str">
        <f>VLOOKUP(B597,товар!$A$1:$C$433,3,FALSE)</f>
        <v>Фруктовый сад</v>
      </c>
      <c r="M597" s="24">
        <f t="shared" si="38"/>
        <v>0.75906017954117266</v>
      </c>
      <c r="N597" s="29">
        <f t="shared" si="39"/>
        <v>281.96875</v>
      </c>
      <c r="O597" s="32">
        <f>VLOOKUP(H597,клиенты!$A$2:$G$435,5,FALSE)</f>
        <v>44570</v>
      </c>
      <c r="P597">
        <f>Продажи[[#This Row],[дата создания чека]]-Продажи[[#This Row],[Дата регистрации клиента]]</f>
        <v>834</v>
      </c>
      <c r="Q597" t="str">
        <f>VLOOKUP(H597,Таблица3[],7,FALSE)</f>
        <v>Таджикистан</v>
      </c>
    </row>
    <row r="598" spans="1:17" x14ac:dyDescent="0.3">
      <c r="A598">
        <v>597</v>
      </c>
      <c r="B598">
        <v>137</v>
      </c>
      <c r="C598">
        <v>411</v>
      </c>
      <c r="D598">
        <v>1</v>
      </c>
      <c r="E598">
        <v>411</v>
      </c>
      <c r="F598" s="32">
        <v>45192</v>
      </c>
      <c r="G598" t="s">
        <v>27</v>
      </c>
      <c r="H598">
        <v>130</v>
      </c>
      <c r="I598" t="str">
        <f>VLOOKUP(B598,товар!$A$1:$C$433,2,FALSE)</f>
        <v>Фрукты</v>
      </c>
      <c r="J598" s="22">
        <f t="shared" si="36"/>
        <v>274.16279069767444</v>
      </c>
      <c r="K598" s="24">
        <f t="shared" si="37"/>
        <v>0.49910933921452183</v>
      </c>
      <c r="L598" t="str">
        <f>VLOOKUP(B598,товар!$A$1:$C$433,3,FALSE)</f>
        <v>Экзотик</v>
      </c>
      <c r="M598" s="24">
        <f t="shared" si="38"/>
        <v>0.62010347376201036</v>
      </c>
      <c r="N598" s="29">
        <f t="shared" si="39"/>
        <v>253.6875</v>
      </c>
      <c r="O598" s="32">
        <f>VLOOKUP(H598,клиенты!$A$2:$G$435,5,FALSE)</f>
        <v>44863</v>
      </c>
      <c r="P598">
        <f>Продажи[[#This Row],[дата создания чека]]-Продажи[[#This Row],[Дата регистрации клиента]]</f>
        <v>329</v>
      </c>
      <c r="Q598" t="str">
        <f>VLOOKUP(H598,Таблица3[],7,FALSE)</f>
        <v>Таджикистан</v>
      </c>
    </row>
    <row r="599" spans="1:17" x14ac:dyDescent="0.3">
      <c r="A599">
        <v>598</v>
      </c>
      <c r="B599">
        <v>75</v>
      </c>
      <c r="C599">
        <v>240</v>
      </c>
      <c r="D599">
        <v>4</v>
      </c>
      <c r="E599">
        <v>960</v>
      </c>
      <c r="F599" s="32">
        <v>45148</v>
      </c>
      <c r="G599" t="s">
        <v>22</v>
      </c>
      <c r="H599">
        <v>53</v>
      </c>
      <c r="I599" t="str">
        <f>VLOOKUP(B599,товар!$A$1:$C$433,2,FALSE)</f>
        <v>Печенье</v>
      </c>
      <c r="J599" s="22">
        <f t="shared" si="36"/>
        <v>283.468085106383</v>
      </c>
      <c r="K599" s="24">
        <f t="shared" si="37"/>
        <v>-0.15334384147714486</v>
      </c>
      <c r="L599" t="str">
        <f>VLOOKUP(B599,товар!$A$1:$C$433,3,FALSE)</f>
        <v>Белогорье</v>
      </c>
      <c r="M599" s="24">
        <f t="shared" si="38"/>
        <v>-3.8076152304609256E-2</v>
      </c>
      <c r="N599" s="29">
        <f t="shared" si="39"/>
        <v>249.5</v>
      </c>
      <c r="O599" s="32">
        <f>VLOOKUP(H599,клиенты!$A$2:$G$435,5,FALSE)</f>
        <v>44593</v>
      </c>
      <c r="P599">
        <f>Продажи[[#This Row],[дата создания чека]]-Продажи[[#This Row],[Дата регистрации клиента]]</f>
        <v>555</v>
      </c>
      <c r="Q599" t="str">
        <f>VLOOKUP(H599,Таблица3[],7,FALSE)</f>
        <v>Россия</v>
      </c>
    </row>
    <row r="600" spans="1:17" x14ac:dyDescent="0.3">
      <c r="A600">
        <v>599</v>
      </c>
      <c r="B600">
        <v>359</v>
      </c>
      <c r="C600">
        <v>302</v>
      </c>
      <c r="D600">
        <v>4</v>
      </c>
      <c r="E600">
        <v>1208</v>
      </c>
      <c r="F600" s="32">
        <v>45195</v>
      </c>
      <c r="G600" t="s">
        <v>22</v>
      </c>
      <c r="H600">
        <v>122</v>
      </c>
      <c r="I600" t="str">
        <f>VLOOKUP(B600,товар!$A$1:$C$433,2,FALSE)</f>
        <v>Мясо</v>
      </c>
      <c r="J600" s="22">
        <f t="shared" si="36"/>
        <v>271.74545454545455</v>
      </c>
      <c r="K600" s="24">
        <f t="shared" si="37"/>
        <v>0.11133413622373878</v>
      </c>
      <c r="L600" t="str">
        <f>VLOOKUP(B600,товар!$A$1:$C$433,3,FALSE)</f>
        <v>Мираторг</v>
      </c>
      <c r="M600" s="24">
        <f t="shared" si="38"/>
        <v>-4.6064753882600673E-2</v>
      </c>
      <c r="N600" s="29">
        <f t="shared" si="39"/>
        <v>316.58333333333331</v>
      </c>
      <c r="O600" s="32">
        <f>VLOOKUP(H600,клиенты!$A$2:$G$435,5,FALSE)</f>
        <v>44683</v>
      </c>
      <c r="P600">
        <f>Продажи[[#This Row],[дата создания чека]]-Продажи[[#This Row],[Дата регистрации клиента]]</f>
        <v>512</v>
      </c>
      <c r="Q600" t="str">
        <f>VLOOKUP(H600,Таблица3[],7,FALSE)</f>
        <v>Беларусь</v>
      </c>
    </row>
    <row r="601" spans="1:17" x14ac:dyDescent="0.3">
      <c r="A601">
        <v>600</v>
      </c>
      <c r="B601">
        <v>364</v>
      </c>
      <c r="C601">
        <v>138</v>
      </c>
      <c r="D601">
        <v>4</v>
      </c>
      <c r="E601">
        <v>552</v>
      </c>
      <c r="F601" s="32">
        <v>45256</v>
      </c>
      <c r="G601" t="s">
        <v>22</v>
      </c>
      <c r="H601">
        <v>199</v>
      </c>
      <c r="I601" t="str">
        <f>VLOOKUP(B601,товар!$A$1:$C$433,2,FALSE)</f>
        <v>Сахар</v>
      </c>
      <c r="J601" s="22">
        <f t="shared" si="36"/>
        <v>252.76271186440678</v>
      </c>
      <c r="K601" s="24">
        <f t="shared" si="37"/>
        <v>-0.45403339368336348</v>
      </c>
      <c r="L601" t="str">
        <f>VLOOKUP(B601,товар!$A$1:$C$433,3,FALSE)</f>
        <v>Русский сахар</v>
      </c>
      <c r="M601" s="24">
        <f t="shared" si="38"/>
        <v>-0.52967121090617486</v>
      </c>
      <c r="N601" s="29">
        <f t="shared" si="39"/>
        <v>293.41176470588238</v>
      </c>
      <c r="O601" s="32">
        <f>VLOOKUP(H601,клиенты!$A$2:$G$435,5,FALSE)</f>
        <v>44715</v>
      </c>
      <c r="P601">
        <f>Продажи[[#This Row],[дата создания чека]]-Продажи[[#This Row],[Дата регистрации клиента]]</f>
        <v>541</v>
      </c>
      <c r="Q601" t="str">
        <f>VLOOKUP(H601,Таблица3[],7,FALSE)</f>
        <v>Узбекистан</v>
      </c>
    </row>
    <row r="602" spans="1:17" x14ac:dyDescent="0.3">
      <c r="A602">
        <v>601</v>
      </c>
      <c r="B602">
        <v>197</v>
      </c>
      <c r="C602">
        <v>309</v>
      </c>
      <c r="D602">
        <v>4</v>
      </c>
      <c r="E602">
        <v>1236</v>
      </c>
      <c r="F602" s="32">
        <v>45212</v>
      </c>
      <c r="G602" t="s">
        <v>15</v>
      </c>
      <c r="H602">
        <v>52</v>
      </c>
      <c r="I602" t="str">
        <f>VLOOKUP(B602,товар!$A$1:$C$433,2,FALSE)</f>
        <v>Печенье</v>
      </c>
      <c r="J602" s="22">
        <f t="shared" si="36"/>
        <v>283.468085106383</v>
      </c>
      <c r="K602" s="24">
        <f t="shared" si="37"/>
        <v>9.0069804098175998E-2</v>
      </c>
      <c r="L602" t="str">
        <f>VLOOKUP(B602,товар!$A$1:$C$433,3,FALSE)</f>
        <v>Юбилейное</v>
      </c>
      <c r="M602" s="24">
        <f t="shared" si="38"/>
        <v>0.32934990439770551</v>
      </c>
      <c r="N602" s="29">
        <f t="shared" si="39"/>
        <v>232.44444444444446</v>
      </c>
      <c r="O602" s="32">
        <f>VLOOKUP(H602,клиенты!$A$2:$G$435,5,FALSE)</f>
        <v>44917</v>
      </c>
      <c r="P602">
        <f>Продажи[[#This Row],[дата создания чека]]-Продажи[[#This Row],[Дата регистрации клиента]]</f>
        <v>295</v>
      </c>
      <c r="Q602" t="str">
        <f>VLOOKUP(H602,Таблица3[],7,FALSE)</f>
        <v>Россия</v>
      </c>
    </row>
    <row r="603" spans="1:17" x14ac:dyDescent="0.3">
      <c r="A603">
        <v>602</v>
      </c>
      <c r="B603">
        <v>157</v>
      </c>
      <c r="C603">
        <v>473</v>
      </c>
      <c r="D603">
        <v>5</v>
      </c>
      <c r="E603">
        <v>2365</v>
      </c>
      <c r="F603" s="32">
        <v>45012</v>
      </c>
      <c r="G603" t="s">
        <v>22</v>
      </c>
      <c r="H603">
        <v>477</v>
      </c>
      <c r="I603" t="str">
        <f>VLOOKUP(B603,товар!$A$1:$C$433,2,FALSE)</f>
        <v>Сыр</v>
      </c>
      <c r="J603" s="22">
        <f t="shared" si="36"/>
        <v>262.63492063492066</v>
      </c>
      <c r="K603" s="24">
        <f t="shared" si="37"/>
        <v>0.80097908860147449</v>
      </c>
      <c r="L603" t="str">
        <f>VLOOKUP(B603,товар!$A$1:$C$433,3,FALSE)</f>
        <v>President</v>
      </c>
      <c r="M603" s="24">
        <f t="shared" si="38"/>
        <v>0.98138235978589705</v>
      </c>
      <c r="N603" s="29">
        <f t="shared" si="39"/>
        <v>238.72222222222223</v>
      </c>
      <c r="O603" s="32">
        <f>VLOOKUP(H603,клиенты!$A$2:$G$435,5,FALSE)</f>
        <v>44738</v>
      </c>
      <c r="P603">
        <f>Продажи[[#This Row],[дата создания чека]]-Продажи[[#This Row],[Дата регистрации клиента]]</f>
        <v>274</v>
      </c>
      <c r="Q603" t="str">
        <f>VLOOKUP(H603,Таблица3[],7,FALSE)</f>
        <v>Узбекистан</v>
      </c>
    </row>
    <row r="604" spans="1:17" x14ac:dyDescent="0.3">
      <c r="A604">
        <v>603</v>
      </c>
      <c r="B604">
        <v>105</v>
      </c>
      <c r="C604">
        <v>187</v>
      </c>
      <c r="D604">
        <v>1</v>
      </c>
      <c r="E604">
        <v>187</v>
      </c>
      <c r="F604" s="32">
        <v>45038</v>
      </c>
      <c r="G604" t="s">
        <v>19</v>
      </c>
      <c r="H604">
        <v>24</v>
      </c>
      <c r="I604" t="str">
        <f>VLOOKUP(B604,товар!$A$1:$C$433,2,FALSE)</f>
        <v>Фрукты</v>
      </c>
      <c r="J604" s="22">
        <f t="shared" si="36"/>
        <v>274.16279069767444</v>
      </c>
      <c r="K604" s="24">
        <f t="shared" si="37"/>
        <v>-0.31792348799728565</v>
      </c>
      <c r="L604" t="str">
        <f>VLOOKUP(B604,товар!$A$1:$C$433,3,FALSE)</f>
        <v>Фрукты-Ягоды</v>
      </c>
      <c r="M604" s="24">
        <f t="shared" si="38"/>
        <v>-0.333729216152019</v>
      </c>
      <c r="N604" s="29">
        <f t="shared" si="39"/>
        <v>280.66666666666669</v>
      </c>
      <c r="O604" s="32">
        <f>VLOOKUP(H604,клиенты!$A$2:$G$435,5,FALSE)</f>
        <v>44609</v>
      </c>
      <c r="P604">
        <f>Продажи[[#This Row],[дата создания чека]]-Продажи[[#This Row],[Дата регистрации клиента]]</f>
        <v>429</v>
      </c>
      <c r="Q604" t="str">
        <f>VLOOKUP(H604,Таблица3[],7,FALSE)</f>
        <v>Узбекистан</v>
      </c>
    </row>
    <row r="605" spans="1:17" x14ac:dyDescent="0.3">
      <c r="A605">
        <v>604</v>
      </c>
      <c r="B605">
        <v>479</v>
      </c>
      <c r="C605">
        <v>314</v>
      </c>
      <c r="D605">
        <v>3</v>
      </c>
      <c r="E605">
        <v>942</v>
      </c>
      <c r="F605" s="32">
        <v>45429</v>
      </c>
      <c r="G605" t="s">
        <v>16</v>
      </c>
      <c r="H605">
        <v>293</v>
      </c>
      <c r="I605" t="str">
        <f>VLOOKUP(B605,товар!$A$1:$C$433,2,FALSE)</f>
        <v>Овощи</v>
      </c>
      <c r="J605" s="22">
        <f t="shared" si="36"/>
        <v>250.48780487804879</v>
      </c>
      <c r="K605" s="24">
        <f t="shared" si="37"/>
        <v>0.25355404089581302</v>
      </c>
      <c r="L605" t="str">
        <f>VLOOKUP(B605,товар!$A$1:$C$433,3,FALSE)</f>
        <v>Гавриш</v>
      </c>
      <c r="M605" s="24">
        <f t="shared" si="38"/>
        <v>0.26783310901749657</v>
      </c>
      <c r="N605" s="29">
        <f t="shared" si="39"/>
        <v>247.66666666666666</v>
      </c>
      <c r="O605" s="32">
        <f>VLOOKUP(H605,клиенты!$A$2:$G$435,5,FALSE)</f>
        <v>44573</v>
      </c>
      <c r="P605">
        <f>Продажи[[#This Row],[дата создания чека]]-Продажи[[#This Row],[Дата регистрации клиента]]</f>
        <v>856</v>
      </c>
      <c r="Q605" t="str">
        <f>VLOOKUP(H605,Таблица3[],7,FALSE)</f>
        <v>Беларусь</v>
      </c>
    </row>
    <row r="606" spans="1:17" x14ac:dyDescent="0.3">
      <c r="A606">
        <v>605</v>
      </c>
      <c r="B606">
        <v>285</v>
      </c>
      <c r="C606">
        <v>122</v>
      </c>
      <c r="D606">
        <v>5</v>
      </c>
      <c r="E606">
        <v>610</v>
      </c>
      <c r="F606" s="32">
        <v>44959</v>
      </c>
      <c r="G606" t="s">
        <v>17</v>
      </c>
      <c r="H606">
        <v>447</v>
      </c>
      <c r="I606" t="str">
        <f>VLOOKUP(B606,товар!$A$1:$C$433,2,FALSE)</f>
        <v>Макароны</v>
      </c>
      <c r="J606" s="22">
        <f t="shared" si="36"/>
        <v>265.47674418604652</v>
      </c>
      <c r="K606" s="24">
        <f t="shared" si="37"/>
        <v>-0.5404493889886558</v>
      </c>
      <c r="L606" t="str">
        <f>VLOOKUP(B606,товар!$A$1:$C$433,3,FALSE)</f>
        <v>Паста Зара</v>
      </c>
      <c r="M606" s="24">
        <f t="shared" si="38"/>
        <v>-0.55905050307707338</v>
      </c>
      <c r="N606" s="29">
        <f t="shared" si="39"/>
        <v>276.67567567567568</v>
      </c>
      <c r="O606" s="32">
        <f>VLOOKUP(H606,клиенты!$A$2:$G$435,5,FALSE)</f>
        <v>44898</v>
      </c>
      <c r="P606">
        <f>Продажи[[#This Row],[дата создания чека]]-Продажи[[#This Row],[Дата регистрации клиента]]</f>
        <v>61</v>
      </c>
      <c r="Q606" t="str">
        <f>VLOOKUP(H606,Таблица3[],7,FALSE)</f>
        <v>Таджикистан</v>
      </c>
    </row>
    <row r="607" spans="1:17" x14ac:dyDescent="0.3">
      <c r="A607">
        <v>606</v>
      </c>
      <c r="B607">
        <v>93</v>
      </c>
      <c r="C607">
        <v>184</v>
      </c>
      <c r="D607">
        <v>2</v>
      </c>
      <c r="E607">
        <v>368</v>
      </c>
      <c r="F607" s="32">
        <v>45187</v>
      </c>
      <c r="G607" t="s">
        <v>19</v>
      </c>
      <c r="H607">
        <v>163</v>
      </c>
      <c r="I607" t="str">
        <f>VLOOKUP(B607,товар!$A$1:$C$433,2,FALSE)</f>
        <v>Чай</v>
      </c>
      <c r="J607" s="22">
        <f t="shared" si="36"/>
        <v>271.18181818181819</v>
      </c>
      <c r="K607" s="24">
        <f t="shared" si="37"/>
        <v>-0.32148843446195108</v>
      </c>
      <c r="L607" t="str">
        <f>VLOOKUP(B607,товар!$A$1:$C$433,3,FALSE)</f>
        <v>Greenfield</v>
      </c>
      <c r="M607" s="24">
        <f t="shared" si="38"/>
        <v>-0.36868371802869615</v>
      </c>
      <c r="N607" s="29">
        <f t="shared" si="39"/>
        <v>291.45454545454544</v>
      </c>
      <c r="O607" s="32">
        <f>VLOOKUP(H607,клиенты!$A$2:$G$435,5,FALSE)</f>
        <v>44571</v>
      </c>
      <c r="P607">
        <f>Продажи[[#This Row],[дата создания чека]]-Продажи[[#This Row],[Дата регистрации клиента]]</f>
        <v>616</v>
      </c>
      <c r="Q607" t="str">
        <f>VLOOKUP(H607,Таблица3[],7,FALSE)</f>
        <v>Узбекистан</v>
      </c>
    </row>
    <row r="608" spans="1:17" x14ac:dyDescent="0.3">
      <c r="A608">
        <v>607</v>
      </c>
      <c r="B608">
        <v>199</v>
      </c>
      <c r="C608">
        <v>172</v>
      </c>
      <c r="D608">
        <v>3</v>
      </c>
      <c r="E608">
        <v>516</v>
      </c>
      <c r="F608" s="32">
        <v>45223</v>
      </c>
      <c r="G608" t="s">
        <v>22</v>
      </c>
      <c r="H608">
        <v>421</v>
      </c>
      <c r="I608" t="str">
        <f>VLOOKUP(B608,товар!$A$1:$C$433,2,FALSE)</f>
        <v>Макароны</v>
      </c>
      <c r="J608" s="22">
        <f t="shared" si="36"/>
        <v>265.47674418604652</v>
      </c>
      <c r="K608" s="24">
        <f t="shared" si="37"/>
        <v>-0.35210897463974422</v>
      </c>
      <c r="L608" t="str">
        <f>VLOOKUP(B608,товар!$A$1:$C$433,3,FALSE)</f>
        <v>Борилла</v>
      </c>
      <c r="M608" s="24">
        <f t="shared" si="38"/>
        <v>-0.27203736135434908</v>
      </c>
      <c r="N608" s="29">
        <f t="shared" si="39"/>
        <v>236.27586206896552</v>
      </c>
      <c r="O608" s="32">
        <f>VLOOKUP(H608,клиенты!$A$2:$G$435,5,FALSE)</f>
        <v>44620</v>
      </c>
      <c r="P608">
        <f>Продажи[[#This Row],[дата создания чека]]-Продажи[[#This Row],[Дата регистрации клиента]]</f>
        <v>603</v>
      </c>
      <c r="Q608" t="str">
        <f>VLOOKUP(H608,Таблица3[],7,FALSE)</f>
        <v>Россия</v>
      </c>
    </row>
    <row r="609" spans="1:17" x14ac:dyDescent="0.3">
      <c r="A609">
        <v>608</v>
      </c>
      <c r="B609">
        <v>122</v>
      </c>
      <c r="C609">
        <v>482</v>
      </c>
      <c r="D609">
        <v>4</v>
      </c>
      <c r="E609">
        <v>1928</v>
      </c>
      <c r="F609" s="32">
        <v>45038</v>
      </c>
      <c r="G609" t="s">
        <v>23</v>
      </c>
      <c r="H609">
        <v>320</v>
      </c>
      <c r="I609" t="str">
        <f>VLOOKUP(B609,товар!$A$1:$C$433,2,FALSE)</f>
        <v>Фрукты</v>
      </c>
      <c r="J609" s="22">
        <f t="shared" si="36"/>
        <v>274.16279069767444</v>
      </c>
      <c r="K609" s="24">
        <f t="shared" si="37"/>
        <v>0.75807956569683599</v>
      </c>
      <c r="L609" t="str">
        <f>VLOOKUP(B609,товар!$A$1:$C$433,3,FALSE)</f>
        <v>Фрукты-Ягоды</v>
      </c>
      <c r="M609" s="24">
        <f t="shared" si="38"/>
        <v>0.71733966745843225</v>
      </c>
      <c r="N609" s="29">
        <f t="shared" si="39"/>
        <v>280.66666666666669</v>
      </c>
      <c r="O609" s="32">
        <f>VLOOKUP(H609,клиенты!$A$2:$G$435,5,FALSE)</f>
        <v>44869</v>
      </c>
      <c r="P609">
        <f>Продажи[[#This Row],[дата создания чека]]-Продажи[[#This Row],[Дата регистрации клиента]]</f>
        <v>169</v>
      </c>
      <c r="Q609" t="str">
        <f>VLOOKUP(H609,Таблица3[],7,FALSE)</f>
        <v>Беларусь</v>
      </c>
    </row>
    <row r="610" spans="1:17" x14ac:dyDescent="0.3">
      <c r="A610">
        <v>609</v>
      </c>
      <c r="B610">
        <v>415</v>
      </c>
      <c r="C610">
        <v>350</v>
      </c>
      <c r="D610">
        <v>1</v>
      </c>
      <c r="E610">
        <v>350</v>
      </c>
      <c r="F610" s="32">
        <v>45358</v>
      </c>
      <c r="G610" t="s">
        <v>8</v>
      </c>
      <c r="H610">
        <v>199</v>
      </c>
      <c r="I610" t="str">
        <f>VLOOKUP(B610,товар!$A$1:$C$433,2,FALSE)</f>
        <v>Чипсы</v>
      </c>
      <c r="J610" s="22">
        <f t="shared" si="36"/>
        <v>273.72549019607845</v>
      </c>
      <c r="K610" s="24">
        <f t="shared" si="37"/>
        <v>0.27865329512893977</v>
      </c>
      <c r="L610" t="str">
        <f>VLOOKUP(B610,товар!$A$1:$C$433,3,FALSE)</f>
        <v>Pringles</v>
      </c>
      <c r="M610" s="24">
        <f t="shared" si="38"/>
        <v>0.24893797790994054</v>
      </c>
      <c r="N610" s="29">
        <f t="shared" si="39"/>
        <v>280.23809523809524</v>
      </c>
      <c r="O610" s="32">
        <f>VLOOKUP(H610,клиенты!$A$2:$G$435,5,FALSE)</f>
        <v>44715</v>
      </c>
      <c r="P610">
        <f>Продажи[[#This Row],[дата создания чека]]-Продажи[[#This Row],[Дата регистрации клиента]]</f>
        <v>643</v>
      </c>
      <c r="Q610" t="str">
        <f>VLOOKUP(H610,Таблица3[],7,FALSE)</f>
        <v>Узбекистан</v>
      </c>
    </row>
    <row r="611" spans="1:17" x14ac:dyDescent="0.3">
      <c r="A611">
        <v>610</v>
      </c>
      <c r="B611">
        <v>315</v>
      </c>
      <c r="C611">
        <v>232</v>
      </c>
      <c r="D611">
        <v>1</v>
      </c>
      <c r="E611">
        <v>232</v>
      </c>
      <c r="F611" s="32">
        <v>44929</v>
      </c>
      <c r="G611" t="s">
        <v>13</v>
      </c>
      <c r="H611">
        <v>247</v>
      </c>
      <c r="I611" t="str">
        <f>VLOOKUP(B611,товар!$A$1:$C$433,2,FALSE)</f>
        <v>Йогурт</v>
      </c>
      <c r="J611" s="22">
        <f t="shared" si="36"/>
        <v>263.25423728813558</v>
      </c>
      <c r="K611" s="24">
        <f t="shared" si="37"/>
        <v>-0.11872263713623488</v>
      </c>
      <c r="L611" t="str">
        <f>VLOOKUP(B611,товар!$A$1:$C$433,3,FALSE)</f>
        <v>Чудо</v>
      </c>
      <c r="M611" s="24">
        <f t="shared" si="38"/>
        <v>-0.19191919191919193</v>
      </c>
      <c r="N611" s="29">
        <f t="shared" si="39"/>
        <v>287.10000000000002</v>
      </c>
      <c r="O611" s="32">
        <f>VLOOKUP(H611,клиенты!$A$2:$G$435,5,FALSE)</f>
        <v>44762</v>
      </c>
      <c r="P611">
        <f>Продажи[[#This Row],[дата создания чека]]-Продажи[[#This Row],[Дата регистрации клиента]]</f>
        <v>167</v>
      </c>
      <c r="Q611" t="str">
        <f>VLOOKUP(H611,Таблица3[],7,FALSE)</f>
        <v>Узбекистан</v>
      </c>
    </row>
    <row r="612" spans="1:17" x14ac:dyDescent="0.3">
      <c r="A612">
        <v>611</v>
      </c>
      <c r="B612">
        <v>25</v>
      </c>
      <c r="C612">
        <v>222</v>
      </c>
      <c r="D612">
        <v>1</v>
      </c>
      <c r="E612">
        <v>222</v>
      </c>
      <c r="F612" s="32">
        <v>45245</v>
      </c>
      <c r="G612" t="s">
        <v>11</v>
      </c>
      <c r="H612">
        <v>364</v>
      </c>
      <c r="I612" t="str">
        <f>VLOOKUP(B612,товар!$A$1:$C$433,2,FALSE)</f>
        <v>Чипсы</v>
      </c>
      <c r="J612" s="22">
        <f t="shared" si="36"/>
        <v>273.72549019607845</v>
      </c>
      <c r="K612" s="24">
        <f t="shared" si="37"/>
        <v>-0.18896848137535827</v>
      </c>
      <c r="L612" t="str">
        <f>VLOOKUP(B612,товар!$A$1:$C$433,3,FALSE)</f>
        <v>Русская картошка</v>
      </c>
      <c r="M612" s="24">
        <f t="shared" si="38"/>
        <v>-8.2012405237767094E-2</v>
      </c>
      <c r="N612" s="29">
        <f t="shared" si="39"/>
        <v>241.83333333333334</v>
      </c>
      <c r="O612" s="32">
        <f>VLOOKUP(H612,клиенты!$A$2:$G$435,5,FALSE)</f>
        <v>44883</v>
      </c>
      <c r="P612">
        <f>Продажи[[#This Row],[дата создания чека]]-Продажи[[#This Row],[Дата регистрации клиента]]</f>
        <v>362</v>
      </c>
      <c r="Q612" t="str">
        <f>VLOOKUP(H612,Таблица3[],7,FALSE)</f>
        <v>Россия</v>
      </c>
    </row>
    <row r="613" spans="1:17" x14ac:dyDescent="0.3">
      <c r="A613">
        <v>612</v>
      </c>
      <c r="B613">
        <v>207</v>
      </c>
      <c r="C613">
        <v>152</v>
      </c>
      <c r="D613">
        <v>3</v>
      </c>
      <c r="E613">
        <v>456</v>
      </c>
      <c r="F613" s="32">
        <v>45222</v>
      </c>
      <c r="G613" t="s">
        <v>11</v>
      </c>
      <c r="H613">
        <v>173</v>
      </c>
      <c r="I613" t="str">
        <f>VLOOKUP(B613,товар!$A$1:$C$433,2,FALSE)</f>
        <v>Сахар</v>
      </c>
      <c r="J613" s="22">
        <f t="shared" si="36"/>
        <v>252.76271186440678</v>
      </c>
      <c r="K613" s="24">
        <f t="shared" si="37"/>
        <v>-0.39864547710051634</v>
      </c>
      <c r="L613" t="str">
        <f>VLOOKUP(B613,товар!$A$1:$C$433,3,FALSE)</f>
        <v>Агросахар</v>
      </c>
      <c r="M613" s="24">
        <f t="shared" si="38"/>
        <v>-0.29583057577763072</v>
      </c>
      <c r="N613" s="29">
        <f t="shared" si="39"/>
        <v>215.85714285714286</v>
      </c>
      <c r="O613" s="32">
        <f>VLOOKUP(H613,клиенты!$A$2:$G$435,5,FALSE)</f>
        <v>44673</v>
      </c>
      <c r="P613">
        <f>Продажи[[#This Row],[дата создания чека]]-Продажи[[#This Row],[Дата регистрации клиента]]</f>
        <v>549</v>
      </c>
      <c r="Q613" t="str">
        <f>VLOOKUP(H613,Таблица3[],7,FALSE)</f>
        <v>Россия</v>
      </c>
    </row>
    <row r="614" spans="1:17" x14ac:dyDescent="0.3">
      <c r="A614">
        <v>613</v>
      </c>
      <c r="B614">
        <v>180</v>
      </c>
      <c r="C614">
        <v>284</v>
      </c>
      <c r="D614">
        <v>1</v>
      </c>
      <c r="E614">
        <v>284</v>
      </c>
      <c r="F614" s="32">
        <v>45267</v>
      </c>
      <c r="G614" t="s">
        <v>9</v>
      </c>
      <c r="H614">
        <v>485</v>
      </c>
      <c r="I614" t="str">
        <f>VLOOKUP(B614,товар!$A$1:$C$433,2,FALSE)</f>
        <v>Чипсы</v>
      </c>
      <c r="J614" s="22">
        <f t="shared" si="36"/>
        <v>273.72549019607845</v>
      </c>
      <c r="K614" s="24">
        <f t="shared" si="37"/>
        <v>3.7535816618911033E-2</v>
      </c>
      <c r="L614" t="str">
        <f>VLOOKUP(B614,товар!$A$1:$C$433,3,FALSE)</f>
        <v>Русская картошка</v>
      </c>
      <c r="M614" s="24">
        <f t="shared" si="38"/>
        <v>0.17436250861474845</v>
      </c>
      <c r="N614" s="29">
        <f t="shared" si="39"/>
        <v>241.83333333333334</v>
      </c>
      <c r="O614" s="32">
        <f>VLOOKUP(H614,клиенты!$A$2:$G$435,5,FALSE)</f>
        <v>44723</v>
      </c>
      <c r="P614">
        <f>Продажи[[#This Row],[дата создания чека]]-Продажи[[#This Row],[Дата регистрации клиента]]</f>
        <v>544</v>
      </c>
      <c r="Q614" t="str">
        <f>VLOOKUP(H614,Таблица3[],7,FALSE)</f>
        <v>Россия</v>
      </c>
    </row>
    <row r="615" spans="1:17" x14ac:dyDescent="0.3">
      <c r="A615">
        <v>614</v>
      </c>
      <c r="B615">
        <v>117</v>
      </c>
      <c r="C615">
        <v>208</v>
      </c>
      <c r="D615">
        <v>3</v>
      </c>
      <c r="E615">
        <v>624</v>
      </c>
      <c r="F615" s="32">
        <v>45397</v>
      </c>
      <c r="G615" t="s">
        <v>8</v>
      </c>
      <c r="H615">
        <v>401</v>
      </c>
      <c r="I615" t="str">
        <f>VLOOKUP(B615,товар!$A$1:$C$433,2,FALSE)</f>
        <v>Макароны</v>
      </c>
      <c r="J615" s="22">
        <f t="shared" si="36"/>
        <v>265.47674418604652</v>
      </c>
      <c r="K615" s="24">
        <f t="shared" si="37"/>
        <v>-0.21650387630852785</v>
      </c>
      <c r="L615" t="str">
        <f>VLOOKUP(B615,товар!$A$1:$C$433,3,FALSE)</f>
        <v>Роллтон</v>
      </c>
      <c r="M615" s="24">
        <f t="shared" si="38"/>
        <v>-0.11698113207547167</v>
      </c>
      <c r="N615" s="29">
        <f t="shared" si="39"/>
        <v>235.55555555555554</v>
      </c>
      <c r="O615" s="32">
        <f>VLOOKUP(H615,клиенты!$A$2:$G$435,5,FALSE)</f>
        <v>44856</v>
      </c>
      <c r="P615">
        <f>Продажи[[#This Row],[дата создания чека]]-Продажи[[#This Row],[Дата регистрации клиента]]</f>
        <v>541</v>
      </c>
      <c r="Q615" t="str">
        <f>VLOOKUP(H615,Таблица3[],7,FALSE)</f>
        <v>Россия</v>
      </c>
    </row>
    <row r="616" spans="1:17" x14ac:dyDescent="0.3">
      <c r="A616">
        <v>615</v>
      </c>
      <c r="B616">
        <v>211</v>
      </c>
      <c r="C616">
        <v>338</v>
      </c>
      <c r="D616">
        <v>4</v>
      </c>
      <c r="E616">
        <v>1352</v>
      </c>
      <c r="F616" s="32">
        <v>45227</v>
      </c>
      <c r="G616" t="s">
        <v>11</v>
      </c>
      <c r="H616">
        <v>379</v>
      </c>
      <c r="I616" t="str">
        <f>VLOOKUP(B616,товар!$A$1:$C$433,2,FALSE)</f>
        <v>Овощи</v>
      </c>
      <c r="J616" s="22">
        <f t="shared" si="36"/>
        <v>250.48780487804879</v>
      </c>
      <c r="K616" s="24">
        <f t="shared" si="37"/>
        <v>0.3493670886075948</v>
      </c>
      <c r="L616" t="str">
        <f>VLOOKUP(B616,товар!$A$1:$C$433,3,FALSE)</f>
        <v>Овощной ряд</v>
      </c>
      <c r="M616" s="24">
        <f t="shared" si="38"/>
        <v>0.11248789932236214</v>
      </c>
      <c r="N616" s="29">
        <f t="shared" si="39"/>
        <v>303.8235294117647</v>
      </c>
      <c r="O616" s="32">
        <f>VLOOKUP(H616,клиенты!$A$2:$G$435,5,FALSE)</f>
        <v>44581</v>
      </c>
      <c r="P616">
        <f>Продажи[[#This Row],[дата создания чека]]-Продажи[[#This Row],[Дата регистрации клиента]]</f>
        <v>646</v>
      </c>
      <c r="Q616" t="str">
        <f>VLOOKUP(H616,Таблица3[],7,FALSE)</f>
        <v>Таджикистан</v>
      </c>
    </row>
    <row r="617" spans="1:17" x14ac:dyDescent="0.3">
      <c r="A617">
        <v>616</v>
      </c>
      <c r="B617">
        <v>26</v>
      </c>
      <c r="C617">
        <v>143</v>
      </c>
      <c r="D617">
        <v>2</v>
      </c>
      <c r="E617">
        <v>286</v>
      </c>
      <c r="F617" s="32">
        <v>45397</v>
      </c>
      <c r="G617" t="s">
        <v>22</v>
      </c>
      <c r="H617">
        <v>183</v>
      </c>
      <c r="I617" t="str">
        <f>VLOOKUP(B617,товар!$A$1:$C$433,2,FALSE)</f>
        <v>Мясо</v>
      </c>
      <c r="J617" s="22">
        <f t="shared" si="36"/>
        <v>271.74545454545455</v>
      </c>
      <c r="K617" s="24">
        <f t="shared" si="37"/>
        <v>-0.47377224675498464</v>
      </c>
      <c r="L617" t="str">
        <f>VLOOKUP(B617,товар!$A$1:$C$433,3,FALSE)</f>
        <v>Сава</v>
      </c>
      <c r="M617" s="24">
        <f t="shared" si="38"/>
        <v>-0.32804698972099855</v>
      </c>
      <c r="N617" s="29">
        <f t="shared" si="39"/>
        <v>212.8125</v>
      </c>
      <c r="O617" s="32">
        <f>VLOOKUP(H617,клиенты!$A$2:$G$435,5,FALSE)</f>
        <v>44900</v>
      </c>
      <c r="P617">
        <f>Продажи[[#This Row],[дата создания чека]]-Продажи[[#This Row],[Дата регистрации клиента]]</f>
        <v>497</v>
      </c>
      <c r="Q617" t="str">
        <f>VLOOKUP(H617,Таблица3[],7,FALSE)</f>
        <v>Таджикистан</v>
      </c>
    </row>
    <row r="618" spans="1:17" x14ac:dyDescent="0.3">
      <c r="A618">
        <v>617</v>
      </c>
      <c r="B618">
        <v>22</v>
      </c>
      <c r="C618">
        <v>217</v>
      </c>
      <c r="D618">
        <v>3</v>
      </c>
      <c r="E618">
        <v>651</v>
      </c>
      <c r="F618" s="32">
        <v>45094</v>
      </c>
      <c r="G618" t="s">
        <v>20</v>
      </c>
      <c r="H618">
        <v>37</v>
      </c>
      <c r="I618" t="str">
        <f>VLOOKUP(B618,товар!$A$1:$C$433,2,FALSE)</f>
        <v>Конфеты</v>
      </c>
      <c r="J618" s="22">
        <f t="shared" si="36"/>
        <v>267.85483870967744</v>
      </c>
      <c r="K618" s="24">
        <f t="shared" si="37"/>
        <v>-0.18985969771782985</v>
      </c>
      <c r="L618" t="str">
        <f>VLOOKUP(B618,товар!$A$1:$C$433,3,FALSE)</f>
        <v>Бабаевский</v>
      </c>
      <c r="M618" s="24">
        <f t="shared" si="38"/>
        <v>-0.13289921562823737</v>
      </c>
      <c r="N618" s="29">
        <f t="shared" si="39"/>
        <v>250.25925925925927</v>
      </c>
      <c r="O618" s="32">
        <f>VLOOKUP(H618,клиенты!$A$2:$G$435,5,FALSE)</f>
        <v>44728</v>
      </c>
      <c r="P618">
        <f>Продажи[[#This Row],[дата создания чека]]-Продажи[[#This Row],[Дата регистрации клиента]]</f>
        <v>366</v>
      </c>
      <c r="Q618" t="str">
        <f>VLOOKUP(H618,Таблица3[],7,FALSE)</f>
        <v>Украина</v>
      </c>
    </row>
    <row r="619" spans="1:17" x14ac:dyDescent="0.3">
      <c r="A619">
        <v>618</v>
      </c>
      <c r="B619">
        <v>150</v>
      </c>
      <c r="C619">
        <v>347</v>
      </c>
      <c r="D619">
        <v>3</v>
      </c>
      <c r="E619">
        <v>1041</v>
      </c>
      <c r="F619" s="32">
        <v>44979</v>
      </c>
      <c r="G619" t="s">
        <v>10</v>
      </c>
      <c r="H619">
        <v>201</v>
      </c>
      <c r="I619" t="str">
        <f>VLOOKUP(B619,товар!$A$1:$C$433,2,FALSE)</f>
        <v>Рыба</v>
      </c>
      <c r="J619" s="22">
        <f t="shared" si="36"/>
        <v>258.5128205128205</v>
      </c>
      <c r="K619" s="24">
        <f t="shared" si="37"/>
        <v>0.34229319579448525</v>
      </c>
      <c r="L619" t="str">
        <f>VLOOKUP(B619,товар!$A$1:$C$433,3,FALSE)</f>
        <v>Меридиан</v>
      </c>
      <c r="M619" s="24">
        <f t="shared" si="38"/>
        <v>0.33130218912209441</v>
      </c>
      <c r="N619" s="29">
        <f t="shared" si="39"/>
        <v>260.64705882352939</v>
      </c>
      <c r="O619" s="32">
        <f>VLOOKUP(H619,клиенты!$A$2:$G$435,5,FALSE)</f>
        <v>44843</v>
      </c>
      <c r="P619">
        <f>Продажи[[#This Row],[дата создания чека]]-Продажи[[#This Row],[Дата регистрации клиента]]</f>
        <v>136</v>
      </c>
      <c r="Q619" t="str">
        <f>VLOOKUP(H619,Таблица3[],7,FALSE)</f>
        <v>Таджикистан</v>
      </c>
    </row>
    <row r="620" spans="1:17" x14ac:dyDescent="0.3">
      <c r="A620">
        <v>619</v>
      </c>
      <c r="B620">
        <v>268</v>
      </c>
      <c r="C620">
        <v>55</v>
      </c>
      <c r="D620">
        <v>2</v>
      </c>
      <c r="E620">
        <v>110</v>
      </c>
      <c r="F620" s="32">
        <v>45213</v>
      </c>
      <c r="G620" t="s">
        <v>19</v>
      </c>
      <c r="H620">
        <v>424</v>
      </c>
      <c r="I620" t="str">
        <f>VLOOKUP(B620,товар!$A$1:$C$433,2,FALSE)</f>
        <v>Рис</v>
      </c>
      <c r="J620" s="22">
        <f t="shared" si="36"/>
        <v>258.375</v>
      </c>
      <c r="K620" s="24">
        <f t="shared" si="37"/>
        <v>-0.78713110788582485</v>
      </c>
      <c r="L620" t="str">
        <f>VLOOKUP(B620,товар!$A$1:$C$433,3,FALSE)</f>
        <v>Мистраль</v>
      </c>
      <c r="M620" s="24">
        <f t="shared" si="38"/>
        <v>-0.69708890637293464</v>
      </c>
      <c r="N620" s="29">
        <f t="shared" si="39"/>
        <v>181.57142857142858</v>
      </c>
      <c r="O620" s="32">
        <f>VLOOKUP(H620,клиенты!$A$2:$G$435,5,FALSE)</f>
        <v>44585</v>
      </c>
      <c r="P620">
        <f>Продажи[[#This Row],[дата создания чека]]-Продажи[[#This Row],[Дата регистрации клиента]]</f>
        <v>628</v>
      </c>
      <c r="Q620" t="str">
        <f>VLOOKUP(H620,Таблица3[],7,FALSE)</f>
        <v>Россия</v>
      </c>
    </row>
    <row r="621" spans="1:17" x14ac:dyDescent="0.3">
      <c r="A621">
        <v>620</v>
      </c>
      <c r="B621">
        <v>67</v>
      </c>
      <c r="C621">
        <v>142</v>
      </c>
      <c r="D621">
        <v>4</v>
      </c>
      <c r="E621">
        <v>568</v>
      </c>
      <c r="F621" s="32">
        <v>45256</v>
      </c>
      <c r="G621" t="s">
        <v>8</v>
      </c>
      <c r="H621">
        <v>69</v>
      </c>
      <c r="I621" t="str">
        <f>VLOOKUP(B621,товар!$A$1:$C$433,2,FALSE)</f>
        <v>Йогурт</v>
      </c>
      <c r="J621" s="22">
        <f t="shared" si="36"/>
        <v>263.25423728813558</v>
      </c>
      <c r="K621" s="24">
        <f t="shared" si="37"/>
        <v>-0.46059747617821267</v>
      </c>
      <c r="L621" t="str">
        <f>VLOOKUP(B621,товар!$A$1:$C$433,3,FALSE)</f>
        <v>Чудо</v>
      </c>
      <c r="M621" s="24">
        <f t="shared" si="38"/>
        <v>-0.50539881574364331</v>
      </c>
      <c r="N621" s="29">
        <f t="shared" si="39"/>
        <v>287.10000000000002</v>
      </c>
      <c r="O621" s="32">
        <f>VLOOKUP(H621,клиенты!$A$2:$G$435,5,FALSE)</f>
        <v>44587</v>
      </c>
      <c r="P621">
        <f>Продажи[[#This Row],[дата создания чека]]-Продажи[[#This Row],[Дата регистрации клиента]]</f>
        <v>669</v>
      </c>
      <c r="Q621" t="str">
        <f>VLOOKUP(H621,Таблица3[],7,FALSE)</f>
        <v>Таджикистан</v>
      </c>
    </row>
    <row r="622" spans="1:17" x14ac:dyDescent="0.3">
      <c r="A622">
        <v>621</v>
      </c>
      <c r="B622">
        <v>453</v>
      </c>
      <c r="C622">
        <v>459</v>
      </c>
      <c r="D622">
        <v>1</v>
      </c>
      <c r="E622">
        <v>459</v>
      </c>
      <c r="F622" s="32">
        <v>45136</v>
      </c>
      <c r="G622" t="s">
        <v>15</v>
      </c>
      <c r="H622">
        <v>498</v>
      </c>
      <c r="I622" t="str">
        <f>VLOOKUP(B622,товар!$A$1:$C$433,2,FALSE)</f>
        <v>Макароны</v>
      </c>
      <c r="J622" s="22">
        <f t="shared" si="36"/>
        <v>265.47674418604652</v>
      </c>
      <c r="K622" s="24">
        <f t="shared" si="37"/>
        <v>0.72896500372300821</v>
      </c>
      <c r="L622" t="str">
        <f>VLOOKUP(B622,товар!$A$1:$C$433,3,FALSE)</f>
        <v>Макфа</v>
      </c>
      <c r="M622" s="24">
        <f t="shared" si="38"/>
        <v>0.39398122584207629</v>
      </c>
      <c r="N622" s="29">
        <f t="shared" si="39"/>
        <v>329.27272727272725</v>
      </c>
      <c r="O622" s="32">
        <f>VLOOKUP(H622,клиенты!$A$2:$G$435,5,FALSE)</f>
        <v>44721</v>
      </c>
      <c r="P622">
        <f>Продажи[[#This Row],[дата создания чека]]-Продажи[[#This Row],[Дата регистрации клиента]]</f>
        <v>415</v>
      </c>
      <c r="Q622" t="str">
        <f>VLOOKUP(H622,Таблица3[],7,FALSE)</f>
        <v>Украина</v>
      </c>
    </row>
    <row r="623" spans="1:17" x14ac:dyDescent="0.3">
      <c r="A623">
        <v>622</v>
      </c>
      <c r="B623">
        <v>191</v>
      </c>
      <c r="C623">
        <v>58</v>
      </c>
      <c r="D623">
        <v>1</v>
      </c>
      <c r="E623">
        <v>58</v>
      </c>
      <c r="F623" s="32">
        <v>44981</v>
      </c>
      <c r="G623" t="s">
        <v>19</v>
      </c>
      <c r="H623">
        <v>237</v>
      </c>
      <c r="I623" t="str">
        <f>VLOOKUP(B623,товар!$A$1:$C$433,2,FALSE)</f>
        <v>Колбаса</v>
      </c>
      <c r="J623" s="22">
        <f t="shared" si="36"/>
        <v>286.92307692307691</v>
      </c>
      <c r="K623" s="24">
        <f t="shared" si="37"/>
        <v>-0.79785522788203755</v>
      </c>
      <c r="L623" t="str">
        <f>VLOOKUP(B623,товар!$A$1:$C$433,3,FALSE)</f>
        <v>Окраина</v>
      </c>
      <c r="M623" s="24">
        <f t="shared" si="38"/>
        <v>-0.78799878160219317</v>
      </c>
      <c r="N623" s="29">
        <f t="shared" si="39"/>
        <v>273.58333333333331</v>
      </c>
      <c r="O623" s="32">
        <f>VLOOKUP(H623,клиенты!$A$2:$G$435,5,FALSE)</f>
        <v>44886</v>
      </c>
      <c r="P623">
        <f>Продажи[[#This Row],[дата создания чека]]-Продажи[[#This Row],[Дата регистрации клиента]]</f>
        <v>95</v>
      </c>
      <c r="Q623" t="str">
        <f>VLOOKUP(H623,Таблица3[],7,FALSE)</f>
        <v>Россия</v>
      </c>
    </row>
    <row r="624" spans="1:17" x14ac:dyDescent="0.3">
      <c r="A624">
        <v>623</v>
      </c>
      <c r="B624">
        <v>49</v>
      </c>
      <c r="C624">
        <v>465</v>
      </c>
      <c r="D624">
        <v>2</v>
      </c>
      <c r="E624">
        <v>930</v>
      </c>
      <c r="F624" s="32">
        <v>45150</v>
      </c>
      <c r="G624" t="s">
        <v>10</v>
      </c>
      <c r="H624">
        <v>365</v>
      </c>
      <c r="I624" t="str">
        <f>VLOOKUP(B624,товар!$A$1:$C$433,2,FALSE)</f>
        <v>Рис</v>
      </c>
      <c r="J624" s="22">
        <f t="shared" si="36"/>
        <v>258.375</v>
      </c>
      <c r="K624" s="24">
        <f t="shared" si="37"/>
        <v>0.79970972423802622</v>
      </c>
      <c r="L624" t="str">
        <f>VLOOKUP(B624,товар!$A$1:$C$433,3,FALSE)</f>
        <v>Агро-Альянс</v>
      </c>
      <c r="M624" s="24">
        <f t="shared" si="38"/>
        <v>0.46292134831460685</v>
      </c>
      <c r="N624" s="29">
        <f t="shared" si="39"/>
        <v>317.85714285714283</v>
      </c>
      <c r="O624" s="32">
        <f>VLOOKUP(H624,клиенты!$A$2:$G$435,5,FALSE)</f>
        <v>44841</v>
      </c>
      <c r="P624">
        <f>Продажи[[#This Row],[дата создания чека]]-Продажи[[#This Row],[Дата регистрации клиента]]</f>
        <v>309</v>
      </c>
      <c r="Q624" t="str">
        <f>VLOOKUP(H624,Таблица3[],7,FALSE)</f>
        <v>Беларусь</v>
      </c>
    </row>
    <row r="625" spans="1:17" x14ac:dyDescent="0.3">
      <c r="A625">
        <v>624</v>
      </c>
      <c r="B625">
        <v>313</v>
      </c>
      <c r="C625">
        <v>152</v>
      </c>
      <c r="D625">
        <v>1</v>
      </c>
      <c r="E625">
        <v>152</v>
      </c>
      <c r="F625" s="32">
        <v>45014</v>
      </c>
      <c r="G625" t="s">
        <v>16</v>
      </c>
      <c r="H625">
        <v>127</v>
      </c>
      <c r="I625" t="str">
        <f>VLOOKUP(B625,товар!$A$1:$C$433,2,FALSE)</f>
        <v>Конфеты</v>
      </c>
      <c r="J625" s="22">
        <f t="shared" si="36"/>
        <v>267.85483870967744</v>
      </c>
      <c r="K625" s="24">
        <f t="shared" si="37"/>
        <v>-0.43252845185765043</v>
      </c>
      <c r="L625" t="str">
        <f>VLOOKUP(B625,товар!$A$1:$C$433,3,FALSE)</f>
        <v>Бабаевский</v>
      </c>
      <c r="M625" s="24">
        <f t="shared" si="38"/>
        <v>-0.39262986532484834</v>
      </c>
      <c r="N625" s="29">
        <f t="shared" si="39"/>
        <v>250.25925925925927</v>
      </c>
      <c r="O625" s="32">
        <f>VLOOKUP(H625,клиенты!$A$2:$G$435,5,FALSE)</f>
        <v>44914</v>
      </c>
      <c r="P625">
        <f>Продажи[[#This Row],[дата создания чека]]-Продажи[[#This Row],[Дата регистрации клиента]]</f>
        <v>100</v>
      </c>
      <c r="Q625" t="str">
        <f>VLOOKUP(H625,Таблица3[],7,FALSE)</f>
        <v>Украина</v>
      </c>
    </row>
    <row r="626" spans="1:17" x14ac:dyDescent="0.3">
      <c r="A626">
        <v>625</v>
      </c>
      <c r="B626">
        <v>245</v>
      </c>
      <c r="C626">
        <v>144</v>
      </c>
      <c r="D626">
        <v>4</v>
      </c>
      <c r="E626">
        <v>576</v>
      </c>
      <c r="F626" s="32">
        <v>45206</v>
      </c>
      <c r="G626" t="s">
        <v>23</v>
      </c>
      <c r="H626">
        <v>314</v>
      </c>
      <c r="I626" t="str">
        <f>VLOOKUP(B626,товар!$A$1:$C$433,2,FALSE)</f>
        <v>Сахар</v>
      </c>
      <c r="J626" s="22">
        <f t="shared" si="36"/>
        <v>252.76271186440678</v>
      </c>
      <c r="K626" s="24">
        <f t="shared" si="37"/>
        <v>-0.43029571514785758</v>
      </c>
      <c r="L626" t="str">
        <f>VLOOKUP(B626,товар!$A$1:$C$433,3,FALSE)</f>
        <v>Продимекс</v>
      </c>
      <c r="M626" s="24">
        <f t="shared" si="38"/>
        <v>-0.40124740124740121</v>
      </c>
      <c r="N626" s="29">
        <f t="shared" si="39"/>
        <v>240.5</v>
      </c>
      <c r="O626" s="32">
        <f>VLOOKUP(H626,клиенты!$A$2:$G$435,5,FALSE)</f>
        <v>44899</v>
      </c>
      <c r="P626">
        <f>Продажи[[#This Row],[дата создания чека]]-Продажи[[#This Row],[Дата регистрации клиента]]</f>
        <v>307</v>
      </c>
      <c r="Q626" t="str">
        <f>VLOOKUP(H626,Таблица3[],7,FALSE)</f>
        <v>Россия</v>
      </c>
    </row>
    <row r="627" spans="1:17" x14ac:dyDescent="0.3">
      <c r="A627">
        <v>626</v>
      </c>
      <c r="B627">
        <v>194</v>
      </c>
      <c r="C627">
        <v>478</v>
      </c>
      <c r="D627">
        <v>3</v>
      </c>
      <c r="E627">
        <v>1434</v>
      </c>
      <c r="F627" s="32">
        <v>44960</v>
      </c>
      <c r="G627" t="s">
        <v>16</v>
      </c>
      <c r="H627">
        <v>403</v>
      </c>
      <c r="I627" t="str">
        <f>VLOOKUP(B627,товар!$A$1:$C$433,2,FALSE)</f>
        <v>Соль</v>
      </c>
      <c r="J627" s="22">
        <f t="shared" si="36"/>
        <v>264.8679245283019</v>
      </c>
      <c r="K627" s="24">
        <f t="shared" si="37"/>
        <v>0.80467303034620308</v>
      </c>
      <c r="L627" t="str">
        <f>VLOOKUP(B627,товар!$A$1:$C$433,3,FALSE)</f>
        <v>Салта</v>
      </c>
      <c r="M627" s="24">
        <f t="shared" si="38"/>
        <v>0.74643770551698951</v>
      </c>
      <c r="N627" s="29">
        <f t="shared" si="39"/>
        <v>273.7</v>
      </c>
      <c r="O627" s="32">
        <f>VLOOKUP(H627,клиенты!$A$2:$G$435,5,FALSE)</f>
        <v>44594</v>
      </c>
      <c r="P627">
        <f>Продажи[[#This Row],[дата создания чека]]-Продажи[[#This Row],[Дата регистрации клиента]]</f>
        <v>366</v>
      </c>
      <c r="Q627" t="str">
        <f>VLOOKUP(H627,Таблица3[],7,FALSE)</f>
        <v>Россия</v>
      </c>
    </row>
    <row r="628" spans="1:17" x14ac:dyDescent="0.3">
      <c r="A628">
        <v>627</v>
      </c>
      <c r="B628">
        <v>154</v>
      </c>
      <c r="C628">
        <v>75</v>
      </c>
      <c r="D628">
        <v>1</v>
      </c>
      <c r="E628">
        <v>75</v>
      </c>
      <c r="F628" s="32">
        <v>45378</v>
      </c>
      <c r="G628" t="s">
        <v>14</v>
      </c>
      <c r="H628">
        <v>255</v>
      </c>
      <c r="I628" t="str">
        <f>VLOOKUP(B628,товар!$A$1:$C$433,2,FALSE)</f>
        <v>Овощи</v>
      </c>
      <c r="J628" s="22">
        <f t="shared" si="36"/>
        <v>250.48780487804879</v>
      </c>
      <c r="K628" s="24">
        <f t="shared" si="37"/>
        <v>-0.70058422590068159</v>
      </c>
      <c r="L628" t="str">
        <f>VLOOKUP(B628,товар!$A$1:$C$433,3,FALSE)</f>
        <v>Зеленая грядка</v>
      </c>
      <c r="M628" s="24">
        <f t="shared" si="38"/>
        <v>-0.52889447236180898</v>
      </c>
      <c r="N628" s="29">
        <f t="shared" si="39"/>
        <v>159.19999999999999</v>
      </c>
      <c r="O628" s="32">
        <f>VLOOKUP(H628,клиенты!$A$2:$G$435,5,FALSE)</f>
        <v>44793</v>
      </c>
      <c r="P628">
        <f>Продажи[[#This Row],[дата создания чека]]-Продажи[[#This Row],[Дата регистрации клиента]]</f>
        <v>585</v>
      </c>
      <c r="Q628" t="str">
        <f>VLOOKUP(H628,Таблица3[],7,FALSE)</f>
        <v>Украина</v>
      </c>
    </row>
    <row r="629" spans="1:17" x14ac:dyDescent="0.3">
      <c r="A629">
        <v>628</v>
      </c>
      <c r="B629">
        <v>462</v>
      </c>
      <c r="C629">
        <v>147</v>
      </c>
      <c r="D629">
        <v>5</v>
      </c>
      <c r="E629">
        <v>735</v>
      </c>
      <c r="F629" s="32">
        <v>45113</v>
      </c>
      <c r="G629" t="s">
        <v>23</v>
      </c>
      <c r="H629">
        <v>229</v>
      </c>
      <c r="I629" t="str">
        <f>VLOOKUP(B629,товар!$A$1:$C$433,2,FALSE)</f>
        <v>Рис</v>
      </c>
      <c r="J629" s="22">
        <f t="shared" si="36"/>
        <v>258.375</v>
      </c>
      <c r="K629" s="24">
        <f t="shared" si="37"/>
        <v>-0.43105950653120462</v>
      </c>
      <c r="L629" t="str">
        <f>VLOOKUP(B629,товар!$A$1:$C$433,3,FALSE)</f>
        <v>Белый Злат</v>
      </c>
      <c r="M629" s="24">
        <f t="shared" si="38"/>
        <v>-0.45496183206106866</v>
      </c>
      <c r="N629" s="29">
        <f t="shared" si="39"/>
        <v>269.70588235294116</v>
      </c>
      <c r="O629" s="32">
        <f>VLOOKUP(H629,клиенты!$A$2:$G$435,5,FALSE)</f>
        <v>44766</v>
      </c>
      <c r="P629">
        <f>Продажи[[#This Row],[дата создания чека]]-Продажи[[#This Row],[Дата регистрации клиента]]</f>
        <v>347</v>
      </c>
      <c r="Q629" t="str">
        <f>VLOOKUP(H629,Таблица3[],7,FALSE)</f>
        <v>Беларусь</v>
      </c>
    </row>
    <row r="630" spans="1:17" x14ac:dyDescent="0.3">
      <c r="A630">
        <v>629</v>
      </c>
      <c r="B630">
        <v>310</v>
      </c>
      <c r="C630">
        <v>404</v>
      </c>
      <c r="D630">
        <v>4</v>
      </c>
      <c r="E630">
        <v>1616</v>
      </c>
      <c r="F630" s="32">
        <v>45031</v>
      </c>
      <c r="G630" t="s">
        <v>11</v>
      </c>
      <c r="H630">
        <v>179</v>
      </c>
      <c r="I630" t="str">
        <f>VLOOKUP(B630,товар!$A$1:$C$433,2,FALSE)</f>
        <v>Макароны</v>
      </c>
      <c r="J630" s="22">
        <f t="shared" si="36"/>
        <v>265.47674418604652</v>
      </c>
      <c r="K630" s="24">
        <f t="shared" si="37"/>
        <v>0.52179054793920554</v>
      </c>
      <c r="L630" t="str">
        <f>VLOOKUP(B630,товар!$A$1:$C$433,3,FALSE)</f>
        <v>Паста Зара</v>
      </c>
      <c r="M630" s="24">
        <f t="shared" si="38"/>
        <v>0.46019341603985531</v>
      </c>
      <c r="N630" s="29">
        <f t="shared" si="39"/>
        <v>276.67567567567568</v>
      </c>
      <c r="O630" s="32">
        <f>VLOOKUP(H630,клиенты!$A$2:$G$435,5,FALSE)</f>
        <v>44833</v>
      </c>
      <c r="P630">
        <f>Продажи[[#This Row],[дата создания чека]]-Продажи[[#This Row],[Дата регистрации клиента]]</f>
        <v>198</v>
      </c>
      <c r="Q630" t="str">
        <f>VLOOKUP(H630,Таблица3[],7,FALSE)</f>
        <v>Россия</v>
      </c>
    </row>
    <row r="631" spans="1:17" x14ac:dyDescent="0.3">
      <c r="A631">
        <v>630</v>
      </c>
      <c r="B631">
        <v>422</v>
      </c>
      <c r="C631">
        <v>361</v>
      </c>
      <c r="D631">
        <v>1</v>
      </c>
      <c r="E631">
        <v>361</v>
      </c>
      <c r="F631" s="32">
        <v>45361</v>
      </c>
      <c r="G631" t="s">
        <v>15</v>
      </c>
      <c r="H631">
        <v>277</v>
      </c>
      <c r="I631" t="str">
        <f>VLOOKUP(B631,товар!$A$1:$C$433,2,FALSE)</f>
        <v>Кофе</v>
      </c>
      <c r="J631" s="22">
        <f t="shared" si="36"/>
        <v>249.02380952380952</v>
      </c>
      <c r="K631" s="24">
        <f t="shared" si="37"/>
        <v>0.4496605794052968</v>
      </c>
      <c r="L631" t="str">
        <f>VLOOKUP(B631,товар!$A$1:$C$433,3,FALSE)</f>
        <v>Nescafe</v>
      </c>
      <c r="M631" s="24">
        <f t="shared" si="38"/>
        <v>0.40521603736862599</v>
      </c>
      <c r="N631" s="29">
        <f t="shared" si="39"/>
        <v>256.89999999999998</v>
      </c>
      <c r="O631" s="32">
        <f>VLOOKUP(H631,клиенты!$A$2:$G$435,5,FALSE)</f>
        <v>44750</v>
      </c>
      <c r="P631">
        <f>Продажи[[#This Row],[дата создания чека]]-Продажи[[#This Row],[Дата регистрации клиента]]</f>
        <v>611</v>
      </c>
      <c r="Q631" t="str">
        <f>VLOOKUP(H631,Таблица3[],7,FALSE)</f>
        <v>Россия</v>
      </c>
    </row>
    <row r="632" spans="1:17" x14ac:dyDescent="0.3">
      <c r="A632">
        <v>631</v>
      </c>
      <c r="B632">
        <v>453</v>
      </c>
      <c r="C632">
        <v>404</v>
      </c>
      <c r="D632">
        <v>5</v>
      </c>
      <c r="E632">
        <v>2020</v>
      </c>
      <c r="F632" s="32">
        <v>45108</v>
      </c>
      <c r="G632" t="s">
        <v>8</v>
      </c>
      <c r="H632">
        <v>460</v>
      </c>
      <c r="I632" t="str">
        <f>VLOOKUP(B632,товар!$A$1:$C$433,2,FALSE)</f>
        <v>Макароны</v>
      </c>
      <c r="J632" s="22">
        <f t="shared" si="36"/>
        <v>265.47674418604652</v>
      </c>
      <c r="K632" s="24">
        <f t="shared" si="37"/>
        <v>0.52179054793920554</v>
      </c>
      <c r="L632" t="str">
        <f>VLOOKUP(B632,товар!$A$1:$C$433,3,FALSE)</f>
        <v>Макфа</v>
      </c>
      <c r="M632" s="24">
        <f t="shared" si="38"/>
        <v>0.22694643843180562</v>
      </c>
      <c r="N632" s="29">
        <f t="shared" si="39"/>
        <v>329.27272727272725</v>
      </c>
      <c r="O632" s="32">
        <f>VLOOKUP(H632,клиенты!$A$2:$G$435,5,FALSE)</f>
        <v>44821</v>
      </c>
      <c r="P632">
        <f>Продажи[[#This Row],[дата создания чека]]-Продажи[[#This Row],[Дата регистрации клиента]]</f>
        <v>287</v>
      </c>
      <c r="Q632" t="str">
        <f>VLOOKUP(H632,Таблица3[],7,FALSE)</f>
        <v>Россия</v>
      </c>
    </row>
    <row r="633" spans="1:17" x14ac:dyDescent="0.3">
      <c r="A633">
        <v>632</v>
      </c>
      <c r="B633">
        <v>337</v>
      </c>
      <c r="C633">
        <v>132</v>
      </c>
      <c r="D633">
        <v>3</v>
      </c>
      <c r="E633">
        <v>396</v>
      </c>
      <c r="F633" s="32">
        <v>45003</v>
      </c>
      <c r="G633" t="s">
        <v>26</v>
      </c>
      <c r="H633">
        <v>434</v>
      </c>
      <c r="I633" t="str">
        <f>VLOOKUP(B633,товар!$A$1:$C$433,2,FALSE)</f>
        <v>Макароны</v>
      </c>
      <c r="J633" s="22">
        <f t="shared" si="36"/>
        <v>265.47674418604652</v>
      </c>
      <c r="K633" s="24">
        <f t="shared" si="37"/>
        <v>-0.50278130611887351</v>
      </c>
      <c r="L633" t="str">
        <f>VLOOKUP(B633,товар!$A$1:$C$433,3,FALSE)</f>
        <v>Паста Зара</v>
      </c>
      <c r="M633" s="24">
        <f t="shared" si="38"/>
        <v>-0.52290710168994825</v>
      </c>
      <c r="N633" s="29">
        <f t="shared" si="39"/>
        <v>276.67567567567568</v>
      </c>
      <c r="O633" s="32">
        <f>VLOOKUP(H633,клиенты!$A$2:$G$435,5,FALSE)</f>
        <v>44730</v>
      </c>
      <c r="P633">
        <f>Продажи[[#This Row],[дата создания чека]]-Продажи[[#This Row],[Дата регистрации клиента]]</f>
        <v>273</v>
      </c>
      <c r="Q633" t="str">
        <f>VLOOKUP(H633,Таблица3[],7,FALSE)</f>
        <v>Украина</v>
      </c>
    </row>
    <row r="634" spans="1:17" x14ac:dyDescent="0.3">
      <c r="A634">
        <v>633</v>
      </c>
      <c r="B634">
        <v>258</v>
      </c>
      <c r="C634">
        <v>333</v>
      </c>
      <c r="D634">
        <v>4</v>
      </c>
      <c r="E634">
        <v>1332</v>
      </c>
      <c r="F634" s="32">
        <v>45018</v>
      </c>
      <c r="G634" t="s">
        <v>11</v>
      </c>
      <c r="H634">
        <v>62</v>
      </c>
      <c r="I634" t="str">
        <f>VLOOKUP(B634,товар!$A$1:$C$433,2,FALSE)</f>
        <v>Рыба</v>
      </c>
      <c r="J634" s="22">
        <f t="shared" si="36"/>
        <v>258.5128205128205</v>
      </c>
      <c r="K634" s="24">
        <f t="shared" si="37"/>
        <v>0.28813727435032743</v>
      </c>
      <c r="L634" t="str">
        <f>VLOOKUP(B634,товар!$A$1:$C$433,3,FALSE)</f>
        <v>Санта Бремор</v>
      </c>
      <c r="M634" s="24">
        <f t="shared" si="38"/>
        <v>0.53881700554528655</v>
      </c>
      <c r="N634" s="29">
        <f t="shared" si="39"/>
        <v>216.4</v>
      </c>
      <c r="O634" s="32">
        <f>VLOOKUP(H634,клиенты!$A$2:$G$435,5,FALSE)</f>
        <v>44671</v>
      </c>
      <c r="P634">
        <f>Продажи[[#This Row],[дата создания чека]]-Продажи[[#This Row],[Дата регистрации клиента]]</f>
        <v>347</v>
      </c>
      <c r="Q634" t="str">
        <f>VLOOKUP(H634,Таблица3[],7,FALSE)</f>
        <v>Россия</v>
      </c>
    </row>
    <row r="635" spans="1:17" x14ac:dyDescent="0.3">
      <c r="A635">
        <v>634</v>
      </c>
      <c r="B635">
        <v>111</v>
      </c>
      <c r="C635">
        <v>420</v>
      </c>
      <c r="D635">
        <v>1</v>
      </c>
      <c r="E635">
        <v>420</v>
      </c>
      <c r="F635" s="32">
        <v>45295</v>
      </c>
      <c r="G635" t="s">
        <v>9</v>
      </c>
      <c r="H635">
        <v>13</v>
      </c>
      <c r="I635" t="str">
        <f>VLOOKUP(B635,товар!$A$1:$C$433,2,FALSE)</f>
        <v>Сахар</v>
      </c>
      <c r="J635" s="22">
        <f t="shared" si="36"/>
        <v>252.76271186440678</v>
      </c>
      <c r="K635" s="24">
        <f t="shared" si="37"/>
        <v>0.66163749748541534</v>
      </c>
      <c r="L635" t="str">
        <f>VLOOKUP(B635,товар!$A$1:$C$433,3,FALSE)</f>
        <v>Сладов</v>
      </c>
      <c r="M635" s="24">
        <f t="shared" si="38"/>
        <v>0.74805771365149831</v>
      </c>
      <c r="N635" s="29">
        <f t="shared" si="39"/>
        <v>240.26666666666668</v>
      </c>
      <c r="O635" s="32">
        <f>VLOOKUP(H635,клиенты!$A$2:$G$435,5,FALSE)</f>
        <v>44724</v>
      </c>
      <c r="P635">
        <f>Продажи[[#This Row],[дата создания чека]]-Продажи[[#This Row],[Дата регистрации клиента]]</f>
        <v>571</v>
      </c>
      <c r="Q635" t="str">
        <f>VLOOKUP(H635,Таблица3[],7,FALSE)</f>
        <v>Россия</v>
      </c>
    </row>
    <row r="636" spans="1:17" x14ac:dyDescent="0.3">
      <c r="A636">
        <v>635</v>
      </c>
      <c r="B636">
        <v>4</v>
      </c>
      <c r="C636">
        <v>151</v>
      </c>
      <c r="D636">
        <v>4</v>
      </c>
      <c r="E636">
        <v>604</v>
      </c>
      <c r="F636" s="32">
        <v>45286</v>
      </c>
      <c r="G636" t="s">
        <v>18</v>
      </c>
      <c r="H636">
        <v>116</v>
      </c>
      <c r="I636" t="str">
        <f>VLOOKUP(B636,товар!$A$1:$C$433,2,FALSE)</f>
        <v>Рис</v>
      </c>
      <c r="J636" s="22">
        <f t="shared" si="36"/>
        <v>258.375</v>
      </c>
      <c r="K636" s="24">
        <f t="shared" si="37"/>
        <v>-0.41557813255926468</v>
      </c>
      <c r="L636" t="str">
        <f>VLOOKUP(B636,товар!$A$1:$C$433,3,FALSE)</f>
        <v>Белый Злат</v>
      </c>
      <c r="M636" s="24">
        <f t="shared" si="38"/>
        <v>-0.44013086150490732</v>
      </c>
      <c r="N636" s="29">
        <f t="shared" si="39"/>
        <v>269.70588235294116</v>
      </c>
      <c r="O636" s="32">
        <f>VLOOKUP(H636,клиенты!$A$2:$G$435,5,FALSE)</f>
        <v>44643</v>
      </c>
      <c r="P636">
        <f>Продажи[[#This Row],[дата создания чека]]-Продажи[[#This Row],[Дата регистрации клиента]]</f>
        <v>643</v>
      </c>
      <c r="Q636" t="str">
        <f>VLOOKUP(H636,Таблица3[],7,FALSE)</f>
        <v>Россия</v>
      </c>
    </row>
    <row r="637" spans="1:17" x14ac:dyDescent="0.3">
      <c r="A637">
        <v>636</v>
      </c>
      <c r="B637">
        <v>266</v>
      </c>
      <c r="C637">
        <v>141</v>
      </c>
      <c r="D637">
        <v>5</v>
      </c>
      <c r="E637">
        <v>705</v>
      </c>
      <c r="F637" s="32">
        <v>45174</v>
      </c>
      <c r="G637" t="s">
        <v>11</v>
      </c>
      <c r="H637">
        <v>50</v>
      </c>
      <c r="I637" t="str">
        <f>VLOOKUP(B637,товар!$A$1:$C$433,2,FALSE)</f>
        <v>Рыба</v>
      </c>
      <c r="J637" s="22">
        <f t="shared" si="36"/>
        <v>258.5128205128205</v>
      </c>
      <c r="K637" s="24">
        <f t="shared" si="37"/>
        <v>-0.45457250545526673</v>
      </c>
      <c r="L637" t="str">
        <f>VLOOKUP(B637,товар!$A$1:$C$433,3,FALSE)</f>
        <v>Меридиан</v>
      </c>
      <c r="M637" s="24">
        <f t="shared" si="38"/>
        <v>-0.45903859174001349</v>
      </c>
      <c r="N637" s="29">
        <f t="shared" si="39"/>
        <v>260.64705882352939</v>
      </c>
      <c r="O637" s="32">
        <f>VLOOKUP(H637,клиенты!$A$2:$G$435,5,FALSE)</f>
        <v>44576</v>
      </c>
      <c r="P637">
        <f>Продажи[[#This Row],[дата создания чека]]-Продажи[[#This Row],[Дата регистрации клиента]]</f>
        <v>598</v>
      </c>
      <c r="Q637" t="str">
        <f>VLOOKUP(H637,Таблица3[],7,FALSE)</f>
        <v>Узбекистан</v>
      </c>
    </row>
    <row r="638" spans="1:17" x14ac:dyDescent="0.3">
      <c r="A638">
        <v>637</v>
      </c>
      <c r="B638">
        <v>143</v>
      </c>
      <c r="C638">
        <v>339</v>
      </c>
      <c r="D638">
        <v>1</v>
      </c>
      <c r="E638">
        <v>339</v>
      </c>
      <c r="F638" s="32">
        <v>45013</v>
      </c>
      <c r="G638" t="s">
        <v>11</v>
      </c>
      <c r="H638">
        <v>197</v>
      </c>
      <c r="I638" t="str">
        <f>VLOOKUP(B638,товар!$A$1:$C$433,2,FALSE)</f>
        <v>Сахар</v>
      </c>
      <c r="J638" s="22">
        <f t="shared" si="36"/>
        <v>252.76271186440678</v>
      </c>
      <c r="K638" s="24">
        <f t="shared" si="37"/>
        <v>0.34117883725608533</v>
      </c>
      <c r="L638" t="str">
        <f>VLOOKUP(B638,товар!$A$1:$C$433,3,FALSE)</f>
        <v>Агросахар</v>
      </c>
      <c r="M638" s="24">
        <f t="shared" si="38"/>
        <v>0.57048312375909993</v>
      </c>
      <c r="N638" s="29">
        <f t="shared" si="39"/>
        <v>215.85714285714286</v>
      </c>
      <c r="O638" s="32">
        <f>VLOOKUP(H638,клиенты!$A$2:$G$435,5,FALSE)</f>
        <v>44785</v>
      </c>
      <c r="P638">
        <f>Продажи[[#This Row],[дата создания чека]]-Продажи[[#This Row],[Дата регистрации клиента]]</f>
        <v>228</v>
      </c>
      <c r="Q638" t="str">
        <f>VLOOKUP(H638,Таблица3[],7,FALSE)</f>
        <v>Украина</v>
      </c>
    </row>
    <row r="639" spans="1:17" x14ac:dyDescent="0.3">
      <c r="A639">
        <v>638</v>
      </c>
      <c r="B639">
        <v>475</v>
      </c>
      <c r="C639">
        <v>206</v>
      </c>
      <c r="D639">
        <v>3</v>
      </c>
      <c r="E639">
        <v>618</v>
      </c>
      <c r="F639" s="32">
        <v>45424</v>
      </c>
      <c r="G639" t="s">
        <v>19</v>
      </c>
      <c r="H639">
        <v>243</v>
      </c>
      <c r="I639" t="str">
        <f>VLOOKUP(B639,товар!$A$1:$C$433,2,FALSE)</f>
        <v>Хлеб</v>
      </c>
      <c r="J639" s="22">
        <f t="shared" si="36"/>
        <v>300.31818181818181</v>
      </c>
      <c r="K639" s="24">
        <f t="shared" si="37"/>
        <v>-0.31406084455880123</v>
      </c>
      <c r="L639" t="str">
        <f>VLOOKUP(B639,товар!$A$1:$C$433,3,FALSE)</f>
        <v>Русский Хлеб</v>
      </c>
      <c r="M639" s="24">
        <f t="shared" si="38"/>
        <v>-0.34933670246367665</v>
      </c>
      <c r="N639" s="29">
        <f t="shared" si="39"/>
        <v>316.60000000000002</v>
      </c>
      <c r="O639" s="32">
        <f>VLOOKUP(H639,клиенты!$A$2:$G$435,5,FALSE)</f>
        <v>44681</v>
      </c>
      <c r="P639">
        <f>Продажи[[#This Row],[дата создания чека]]-Продажи[[#This Row],[Дата регистрации клиента]]</f>
        <v>743</v>
      </c>
      <c r="Q639" t="str">
        <f>VLOOKUP(H639,Таблица3[],7,FALSE)</f>
        <v>Россия</v>
      </c>
    </row>
    <row r="640" spans="1:17" x14ac:dyDescent="0.3">
      <c r="A640">
        <v>639</v>
      </c>
      <c r="B640">
        <v>52</v>
      </c>
      <c r="C640">
        <v>105</v>
      </c>
      <c r="D640">
        <v>2</v>
      </c>
      <c r="E640">
        <v>210</v>
      </c>
      <c r="F640" s="32">
        <v>45232</v>
      </c>
      <c r="G640" t="s">
        <v>8</v>
      </c>
      <c r="H640">
        <v>275</v>
      </c>
      <c r="I640" t="str">
        <f>VLOOKUP(B640,товар!$A$1:$C$433,2,FALSE)</f>
        <v>Соль</v>
      </c>
      <c r="J640" s="22">
        <f t="shared" si="36"/>
        <v>264.8679245283019</v>
      </c>
      <c r="K640" s="24">
        <f t="shared" si="37"/>
        <v>-0.60357600797834454</v>
      </c>
      <c r="L640" t="str">
        <f>VLOOKUP(B640,товар!$A$1:$C$433,3,FALSE)</f>
        <v>Илецкая</v>
      </c>
      <c r="M640" s="24">
        <f t="shared" si="38"/>
        <v>-0.55913226032190333</v>
      </c>
      <c r="N640" s="29">
        <f t="shared" si="39"/>
        <v>238.16666666666666</v>
      </c>
      <c r="O640" s="32">
        <f>VLOOKUP(H640,клиенты!$A$2:$G$435,5,FALSE)</f>
        <v>44651</v>
      </c>
      <c r="P640">
        <f>Продажи[[#This Row],[дата создания чека]]-Продажи[[#This Row],[Дата регистрации клиента]]</f>
        <v>581</v>
      </c>
      <c r="Q640" t="str">
        <f>VLOOKUP(H640,Таблица3[],7,FALSE)</f>
        <v>Таджикистан</v>
      </c>
    </row>
    <row r="641" spans="1:17" x14ac:dyDescent="0.3">
      <c r="A641">
        <v>640</v>
      </c>
      <c r="B641">
        <v>47</v>
      </c>
      <c r="C641">
        <v>356</v>
      </c>
      <c r="D641">
        <v>3</v>
      </c>
      <c r="E641">
        <v>1068</v>
      </c>
      <c r="F641" s="32">
        <v>45288</v>
      </c>
      <c r="G641" t="s">
        <v>15</v>
      </c>
      <c r="H641">
        <v>45</v>
      </c>
      <c r="I641" t="str">
        <f>VLOOKUP(B641,товар!$A$1:$C$433,2,FALSE)</f>
        <v>Мясо</v>
      </c>
      <c r="J641" s="22">
        <f t="shared" si="36"/>
        <v>271.74545454545455</v>
      </c>
      <c r="K641" s="24">
        <f t="shared" si="37"/>
        <v>0.31004951157500327</v>
      </c>
      <c r="L641" t="str">
        <f>VLOOKUP(B641,товар!$A$1:$C$433,3,FALSE)</f>
        <v>Снежана</v>
      </c>
      <c r="M641" s="24">
        <f t="shared" si="38"/>
        <v>0.30712742980561547</v>
      </c>
      <c r="N641" s="29">
        <f t="shared" si="39"/>
        <v>272.35294117647061</v>
      </c>
      <c r="O641" s="32">
        <f>VLOOKUP(H641,клиенты!$A$2:$G$435,5,FALSE)</f>
        <v>44662</v>
      </c>
      <c r="P641">
        <f>Продажи[[#This Row],[дата создания чека]]-Продажи[[#This Row],[Дата регистрации клиента]]</f>
        <v>626</v>
      </c>
      <c r="Q641" t="str">
        <f>VLOOKUP(H641,Таблица3[],7,FALSE)</f>
        <v>Узбекистан</v>
      </c>
    </row>
    <row r="642" spans="1:17" x14ac:dyDescent="0.3">
      <c r="A642">
        <v>641</v>
      </c>
      <c r="B642">
        <v>122</v>
      </c>
      <c r="C642">
        <v>240</v>
      </c>
      <c r="D642">
        <v>1</v>
      </c>
      <c r="E642">
        <v>240</v>
      </c>
      <c r="F642" s="32">
        <v>44961</v>
      </c>
      <c r="G642" t="s">
        <v>9</v>
      </c>
      <c r="H642">
        <v>419</v>
      </c>
      <c r="I642" t="str">
        <f>VLOOKUP(B642,товар!$A$1:$C$433,2,FALSE)</f>
        <v>Фрукты</v>
      </c>
      <c r="J642" s="22">
        <f t="shared" ref="J642:J705" si="40">AVERAGEIF($I$2:$I$1001,I642,$C$2:$C$1001)</f>
        <v>274.16279069767444</v>
      </c>
      <c r="K642" s="24">
        <f t="shared" ref="K642:K705" si="41">C642/J642-1</f>
        <v>-0.12460768513020615</v>
      </c>
      <c r="L642" t="str">
        <f>VLOOKUP(B642,товар!$A$1:$C$433,3,FALSE)</f>
        <v>Фрукты-Ягоды</v>
      </c>
      <c r="M642" s="24">
        <f t="shared" ref="M642:M705" si="42">C642/N642-1</f>
        <v>-0.14489311163895491</v>
      </c>
      <c r="N642" s="29">
        <f t="shared" ref="N642:N705" si="43">AVERAGEIFS($C$2:$C$1001,$I$2:$I$1001,I642,$L$2:$L$1001,L642)</f>
        <v>280.66666666666669</v>
      </c>
      <c r="O642" s="32">
        <f>VLOOKUP(H642,клиенты!$A$2:$G$435,5,FALSE)</f>
        <v>44869</v>
      </c>
      <c r="P642">
        <f>Продажи[[#This Row],[дата создания чека]]-Продажи[[#This Row],[Дата регистрации клиента]]</f>
        <v>92</v>
      </c>
      <c r="Q642" t="str">
        <f>VLOOKUP(H642,Таблица3[],7,FALSE)</f>
        <v>Таджикистан</v>
      </c>
    </row>
    <row r="643" spans="1:17" x14ac:dyDescent="0.3">
      <c r="A643">
        <v>642</v>
      </c>
      <c r="B643">
        <v>422</v>
      </c>
      <c r="C643">
        <v>290</v>
      </c>
      <c r="D643">
        <v>5</v>
      </c>
      <c r="E643">
        <v>1450</v>
      </c>
      <c r="F643" s="32">
        <v>45292</v>
      </c>
      <c r="G643" t="s">
        <v>12</v>
      </c>
      <c r="H643">
        <v>125</v>
      </c>
      <c r="I643" t="str">
        <f>VLOOKUP(B643,товар!$A$1:$C$433,2,FALSE)</f>
        <v>Кофе</v>
      </c>
      <c r="J643" s="22">
        <f t="shared" si="40"/>
        <v>249.02380952380952</v>
      </c>
      <c r="K643" s="24">
        <f t="shared" si="41"/>
        <v>0.16454727985467055</v>
      </c>
      <c r="L643" t="str">
        <f>VLOOKUP(B643,товар!$A$1:$C$433,3,FALSE)</f>
        <v>Nescafe</v>
      </c>
      <c r="M643" s="24">
        <f t="shared" si="42"/>
        <v>0.12884390813546132</v>
      </c>
      <c r="N643" s="29">
        <f t="shared" si="43"/>
        <v>256.89999999999998</v>
      </c>
      <c r="O643" s="32">
        <f>VLOOKUP(H643,клиенты!$A$2:$G$435,5,FALSE)</f>
        <v>44701</v>
      </c>
      <c r="P643">
        <f>Продажи[[#This Row],[дата создания чека]]-Продажи[[#This Row],[Дата регистрации клиента]]</f>
        <v>591</v>
      </c>
      <c r="Q643" t="str">
        <f>VLOOKUP(H643,Таблица3[],7,FALSE)</f>
        <v>Россия</v>
      </c>
    </row>
    <row r="644" spans="1:17" x14ac:dyDescent="0.3">
      <c r="A644">
        <v>643</v>
      </c>
      <c r="B644">
        <v>479</v>
      </c>
      <c r="C644">
        <v>405</v>
      </c>
      <c r="D644">
        <v>4</v>
      </c>
      <c r="E644">
        <v>1620</v>
      </c>
      <c r="F644" s="32">
        <v>45302</v>
      </c>
      <c r="G644" t="s">
        <v>19</v>
      </c>
      <c r="H644">
        <v>242</v>
      </c>
      <c r="I644" t="str">
        <f>VLOOKUP(B644,товар!$A$1:$C$433,2,FALSE)</f>
        <v>Овощи</v>
      </c>
      <c r="J644" s="22">
        <f t="shared" si="40"/>
        <v>250.48780487804879</v>
      </c>
      <c r="K644" s="24">
        <f t="shared" si="41"/>
        <v>0.61684518013631928</v>
      </c>
      <c r="L644" t="str">
        <f>VLOOKUP(B644,товар!$A$1:$C$433,3,FALSE)</f>
        <v>Гавриш</v>
      </c>
      <c r="M644" s="24">
        <f t="shared" si="42"/>
        <v>0.63526244952893673</v>
      </c>
      <c r="N644" s="29">
        <f t="shared" si="43"/>
        <v>247.66666666666666</v>
      </c>
      <c r="O644" s="32">
        <f>VLOOKUP(H644,клиенты!$A$2:$G$435,5,FALSE)</f>
        <v>44747</v>
      </c>
      <c r="P644">
        <f>Продажи[[#This Row],[дата создания чека]]-Продажи[[#This Row],[Дата регистрации клиента]]</f>
        <v>555</v>
      </c>
      <c r="Q644" t="str">
        <f>VLOOKUP(H644,Таблица3[],7,FALSE)</f>
        <v>Россия</v>
      </c>
    </row>
    <row r="645" spans="1:17" x14ac:dyDescent="0.3">
      <c r="A645">
        <v>644</v>
      </c>
      <c r="B645">
        <v>99</v>
      </c>
      <c r="C645">
        <v>281</v>
      </c>
      <c r="D645">
        <v>5</v>
      </c>
      <c r="E645">
        <v>1405</v>
      </c>
      <c r="F645" s="32">
        <v>45139</v>
      </c>
      <c r="G645" t="s">
        <v>15</v>
      </c>
      <c r="H645">
        <v>329</v>
      </c>
      <c r="I645" t="str">
        <f>VLOOKUP(B645,товар!$A$1:$C$433,2,FALSE)</f>
        <v>Овощи</v>
      </c>
      <c r="J645" s="22">
        <f t="shared" si="40"/>
        <v>250.48780487804879</v>
      </c>
      <c r="K645" s="24">
        <f t="shared" si="41"/>
        <v>0.12181110029211295</v>
      </c>
      <c r="L645" t="str">
        <f>VLOOKUP(B645,товар!$A$1:$C$433,3,FALSE)</f>
        <v>Семко</v>
      </c>
      <c r="M645" s="24">
        <f t="shared" si="42"/>
        <v>0.35096153846153855</v>
      </c>
      <c r="N645" s="29">
        <f t="shared" si="43"/>
        <v>208</v>
      </c>
      <c r="O645" s="32">
        <f>VLOOKUP(H645,клиенты!$A$2:$G$435,5,FALSE)</f>
        <v>44653</v>
      </c>
      <c r="P645">
        <f>Продажи[[#This Row],[дата создания чека]]-Продажи[[#This Row],[Дата регистрации клиента]]</f>
        <v>486</v>
      </c>
      <c r="Q645" t="str">
        <f>VLOOKUP(H645,Таблица3[],7,FALSE)</f>
        <v>Беларусь</v>
      </c>
    </row>
    <row r="646" spans="1:17" x14ac:dyDescent="0.3">
      <c r="A646">
        <v>645</v>
      </c>
      <c r="B646">
        <v>272</v>
      </c>
      <c r="C646">
        <v>207</v>
      </c>
      <c r="D646">
        <v>5</v>
      </c>
      <c r="E646">
        <v>1035</v>
      </c>
      <c r="F646" s="32">
        <v>45074</v>
      </c>
      <c r="G646" t="s">
        <v>27</v>
      </c>
      <c r="H646">
        <v>42</v>
      </c>
      <c r="I646" t="str">
        <f>VLOOKUP(B646,товар!$A$1:$C$433,2,FALSE)</f>
        <v>Крупа</v>
      </c>
      <c r="J646" s="22">
        <f t="shared" si="40"/>
        <v>255.11627906976744</v>
      </c>
      <c r="K646" s="24">
        <f t="shared" si="41"/>
        <v>-0.18860528714676394</v>
      </c>
      <c r="L646" t="str">
        <f>VLOOKUP(B646,товар!$A$1:$C$433,3,FALSE)</f>
        <v>Ярмарка</v>
      </c>
      <c r="M646" s="24">
        <f t="shared" si="42"/>
        <v>-0.1788676523620627</v>
      </c>
      <c r="N646" s="29">
        <f t="shared" si="43"/>
        <v>252.09090909090909</v>
      </c>
      <c r="O646" s="32">
        <f>VLOOKUP(H646,клиенты!$A$2:$G$435,5,FALSE)</f>
        <v>44783</v>
      </c>
      <c r="P646">
        <f>Продажи[[#This Row],[дата создания чека]]-Продажи[[#This Row],[Дата регистрации клиента]]</f>
        <v>291</v>
      </c>
      <c r="Q646" t="str">
        <f>VLOOKUP(H646,Таблица3[],7,FALSE)</f>
        <v>Таджикистан</v>
      </c>
    </row>
    <row r="647" spans="1:17" x14ac:dyDescent="0.3">
      <c r="A647">
        <v>646</v>
      </c>
      <c r="B647">
        <v>493</v>
      </c>
      <c r="C647">
        <v>378</v>
      </c>
      <c r="D647">
        <v>2</v>
      </c>
      <c r="E647">
        <v>756</v>
      </c>
      <c r="F647" s="32">
        <v>45324</v>
      </c>
      <c r="G647" t="s">
        <v>22</v>
      </c>
      <c r="H647">
        <v>229</v>
      </c>
      <c r="I647" t="str">
        <f>VLOOKUP(B647,товар!$A$1:$C$433,2,FALSE)</f>
        <v>Овощи</v>
      </c>
      <c r="J647" s="22">
        <f t="shared" si="40"/>
        <v>250.48780487804879</v>
      </c>
      <c r="K647" s="24">
        <f t="shared" si="41"/>
        <v>0.50905550146056466</v>
      </c>
      <c r="L647" t="str">
        <f>VLOOKUP(B647,товар!$A$1:$C$433,3,FALSE)</f>
        <v>Овощной ряд</v>
      </c>
      <c r="M647" s="24">
        <f t="shared" si="42"/>
        <v>0.24414327202323327</v>
      </c>
      <c r="N647" s="29">
        <f t="shared" si="43"/>
        <v>303.8235294117647</v>
      </c>
      <c r="O647" s="32">
        <f>VLOOKUP(H647,клиенты!$A$2:$G$435,5,FALSE)</f>
        <v>44766</v>
      </c>
      <c r="P647">
        <f>Продажи[[#This Row],[дата создания чека]]-Продажи[[#This Row],[Дата регистрации клиента]]</f>
        <v>558</v>
      </c>
      <c r="Q647" t="str">
        <f>VLOOKUP(H647,Таблица3[],7,FALSE)</f>
        <v>Беларусь</v>
      </c>
    </row>
    <row r="648" spans="1:17" x14ac:dyDescent="0.3">
      <c r="A648">
        <v>647</v>
      </c>
      <c r="B648">
        <v>360</v>
      </c>
      <c r="C648">
        <v>120</v>
      </c>
      <c r="D648">
        <v>2</v>
      </c>
      <c r="E648">
        <v>240</v>
      </c>
      <c r="F648" s="32">
        <v>44960</v>
      </c>
      <c r="G648" t="s">
        <v>27</v>
      </c>
      <c r="H648">
        <v>306</v>
      </c>
      <c r="I648" t="str">
        <f>VLOOKUP(B648,товар!$A$1:$C$433,2,FALSE)</f>
        <v>Соль</v>
      </c>
      <c r="J648" s="22">
        <f t="shared" si="40"/>
        <v>264.8679245283019</v>
      </c>
      <c r="K648" s="24">
        <f t="shared" si="41"/>
        <v>-0.54694400911810803</v>
      </c>
      <c r="L648" t="str">
        <f>VLOOKUP(B648,товар!$A$1:$C$433,3,FALSE)</f>
        <v>Славянская</v>
      </c>
      <c r="M648" s="24">
        <f t="shared" si="42"/>
        <v>-0.49349278930706997</v>
      </c>
      <c r="N648" s="29">
        <f t="shared" si="43"/>
        <v>236.91666666666666</v>
      </c>
      <c r="O648" s="32">
        <f>VLOOKUP(H648,клиенты!$A$2:$G$435,5,FALSE)</f>
        <v>44872</v>
      </c>
      <c r="P648">
        <f>Продажи[[#This Row],[дата создания чека]]-Продажи[[#This Row],[Дата регистрации клиента]]</f>
        <v>88</v>
      </c>
      <c r="Q648" t="str">
        <f>VLOOKUP(H648,Таблица3[],7,FALSE)</f>
        <v>Украина</v>
      </c>
    </row>
    <row r="649" spans="1:17" x14ac:dyDescent="0.3">
      <c r="A649">
        <v>648</v>
      </c>
      <c r="B649">
        <v>215</v>
      </c>
      <c r="C649">
        <v>440</v>
      </c>
      <c r="D649">
        <v>2</v>
      </c>
      <c r="E649">
        <v>880</v>
      </c>
      <c r="F649" s="32">
        <v>45381</v>
      </c>
      <c r="G649" t="s">
        <v>18</v>
      </c>
      <c r="H649">
        <v>292</v>
      </c>
      <c r="I649" t="str">
        <f>VLOOKUP(B649,товар!$A$1:$C$433,2,FALSE)</f>
        <v>Сок</v>
      </c>
      <c r="J649" s="22">
        <f t="shared" si="40"/>
        <v>268.60344827586209</v>
      </c>
      <c r="K649" s="24">
        <f t="shared" si="41"/>
        <v>0.63810257397779058</v>
      </c>
      <c r="L649" t="str">
        <f>VLOOKUP(B649,товар!$A$1:$C$433,3,FALSE)</f>
        <v>Фруктовый сад</v>
      </c>
      <c r="M649" s="24">
        <f t="shared" si="42"/>
        <v>0.56045661088329823</v>
      </c>
      <c r="N649" s="29">
        <f t="shared" si="43"/>
        <v>281.96875</v>
      </c>
      <c r="O649" s="32">
        <f>VLOOKUP(H649,клиенты!$A$2:$G$435,5,FALSE)</f>
        <v>44608</v>
      </c>
      <c r="P649">
        <f>Продажи[[#This Row],[дата создания чека]]-Продажи[[#This Row],[Дата регистрации клиента]]</f>
        <v>773</v>
      </c>
      <c r="Q649" t="str">
        <f>VLOOKUP(H649,Таблица3[],7,FALSE)</f>
        <v>Россия</v>
      </c>
    </row>
    <row r="650" spans="1:17" x14ac:dyDescent="0.3">
      <c r="A650">
        <v>649</v>
      </c>
      <c r="B650">
        <v>292</v>
      </c>
      <c r="C650">
        <v>327</v>
      </c>
      <c r="D650">
        <v>5</v>
      </c>
      <c r="E650">
        <v>1635</v>
      </c>
      <c r="F650" s="32">
        <v>45038</v>
      </c>
      <c r="G650" t="s">
        <v>20</v>
      </c>
      <c r="H650">
        <v>275</v>
      </c>
      <c r="I650" t="str">
        <f>VLOOKUP(B650,товар!$A$1:$C$433,2,FALSE)</f>
        <v>Колбаса</v>
      </c>
      <c r="J650" s="22">
        <f t="shared" si="40"/>
        <v>286.92307692307691</v>
      </c>
      <c r="K650" s="24">
        <f t="shared" si="41"/>
        <v>0.13967828418230566</v>
      </c>
      <c r="L650" t="str">
        <f>VLOOKUP(B650,товар!$A$1:$C$433,3,FALSE)</f>
        <v>Дымов</v>
      </c>
      <c r="M650" s="24">
        <f t="shared" si="42"/>
        <v>4.5842217484008518E-2</v>
      </c>
      <c r="N650" s="29">
        <f t="shared" si="43"/>
        <v>312.66666666666669</v>
      </c>
      <c r="O650" s="32">
        <f>VLOOKUP(H650,клиенты!$A$2:$G$435,5,FALSE)</f>
        <v>44651</v>
      </c>
      <c r="P650">
        <f>Продажи[[#This Row],[дата создания чека]]-Продажи[[#This Row],[Дата регистрации клиента]]</f>
        <v>387</v>
      </c>
      <c r="Q650" t="str">
        <f>VLOOKUP(H650,Таблица3[],7,FALSE)</f>
        <v>Таджикистан</v>
      </c>
    </row>
    <row r="651" spans="1:17" x14ac:dyDescent="0.3">
      <c r="A651">
        <v>650</v>
      </c>
      <c r="B651">
        <v>307</v>
      </c>
      <c r="C651">
        <v>407</v>
      </c>
      <c r="D651">
        <v>1</v>
      </c>
      <c r="E651">
        <v>407</v>
      </c>
      <c r="F651" s="32">
        <v>44950</v>
      </c>
      <c r="G651" t="s">
        <v>20</v>
      </c>
      <c r="H651">
        <v>103</v>
      </c>
      <c r="I651" t="str">
        <f>VLOOKUP(B651,товар!$A$1:$C$433,2,FALSE)</f>
        <v>Сыр</v>
      </c>
      <c r="J651" s="22">
        <f t="shared" si="40"/>
        <v>262.63492063492066</v>
      </c>
      <c r="K651" s="24">
        <f t="shared" si="41"/>
        <v>0.54967968088964092</v>
      </c>
      <c r="L651" t="str">
        <f>VLOOKUP(B651,товар!$A$1:$C$433,3,FALSE)</f>
        <v>Карат</v>
      </c>
      <c r="M651" s="24">
        <f t="shared" si="42"/>
        <v>0.30728051391862965</v>
      </c>
      <c r="N651" s="29">
        <f t="shared" si="43"/>
        <v>311.33333333333331</v>
      </c>
      <c r="O651" s="32">
        <f>VLOOKUP(H651,клиенты!$A$2:$G$435,5,FALSE)</f>
        <v>44787</v>
      </c>
      <c r="P651">
        <f>Продажи[[#This Row],[дата создания чека]]-Продажи[[#This Row],[Дата регистрации клиента]]</f>
        <v>163</v>
      </c>
      <c r="Q651" t="str">
        <f>VLOOKUP(H651,Таблица3[],7,FALSE)</f>
        <v>Узбекистан</v>
      </c>
    </row>
    <row r="652" spans="1:17" x14ac:dyDescent="0.3">
      <c r="A652">
        <v>651</v>
      </c>
      <c r="B652">
        <v>473</v>
      </c>
      <c r="C652">
        <v>343</v>
      </c>
      <c r="D652">
        <v>5</v>
      </c>
      <c r="E652">
        <v>1715</v>
      </c>
      <c r="F652" s="32">
        <v>45086</v>
      </c>
      <c r="G652" t="s">
        <v>11</v>
      </c>
      <c r="H652">
        <v>460</v>
      </c>
      <c r="I652" t="str">
        <f>VLOOKUP(B652,товар!$A$1:$C$433,2,FALSE)</f>
        <v>Хлеб</v>
      </c>
      <c r="J652" s="22">
        <f t="shared" si="40"/>
        <v>300.31818181818181</v>
      </c>
      <c r="K652" s="24">
        <f t="shared" si="41"/>
        <v>0.14212199182685037</v>
      </c>
      <c r="L652" t="str">
        <f>VLOOKUP(B652,товар!$A$1:$C$433,3,FALSE)</f>
        <v>Хлебный Дом</v>
      </c>
      <c r="M652" s="24">
        <f t="shared" si="42"/>
        <v>0.21746332229058196</v>
      </c>
      <c r="N652" s="29">
        <f t="shared" si="43"/>
        <v>281.73333333333335</v>
      </c>
      <c r="O652" s="32">
        <f>VLOOKUP(H652,клиенты!$A$2:$G$435,5,FALSE)</f>
        <v>44821</v>
      </c>
      <c r="P652">
        <f>Продажи[[#This Row],[дата создания чека]]-Продажи[[#This Row],[Дата регистрации клиента]]</f>
        <v>265</v>
      </c>
      <c r="Q652" t="str">
        <f>VLOOKUP(H652,Таблица3[],7,FALSE)</f>
        <v>Россия</v>
      </c>
    </row>
    <row r="653" spans="1:17" x14ac:dyDescent="0.3">
      <c r="A653">
        <v>652</v>
      </c>
      <c r="B653">
        <v>112</v>
      </c>
      <c r="C653">
        <v>237</v>
      </c>
      <c r="D653">
        <v>3</v>
      </c>
      <c r="E653">
        <v>711</v>
      </c>
      <c r="F653" s="32">
        <v>45079</v>
      </c>
      <c r="G653" t="s">
        <v>25</v>
      </c>
      <c r="H653">
        <v>342</v>
      </c>
      <c r="I653" t="str">
        <f>VLOOKUP(B653,товар!$A$1:$C$433,2,FALSE)</f>
        <v>Молоко</v>
      </c>
      <c r="J653" s="22">
        <f t="shared" si="40"/>
        <v>294.95238095238096</v>
      </c>
      <c r="K653" s="24">
        <f t="shared" si="41"/>
        <v>-0.19648046496609628</v>
      </c>
      <c r="L653" t="str">
        <f>VLOOKUP(B653,товар!$A$1:$C$433,3,FALSE)</f>
        <v>Беллакт</v>
      </c>
      <c r="M653" s="24">
        <f t="shared" si="42"/>
        <v>-0.26521984216459982</v>
      </c>
      <c r="N653" s="29">
        <f t="shared" si="43"/>
        <v>322.54545454545456</v>
      </c>
      <c r="O653" s="32">
        <f>VLOOKUP(H653,клиенты!$A$2:$G$435,5,FALSE)</f>
        <v>44570</v>
      </c>
      <c r="P653">
        <f>Продажи[[#This Row],[дата создания чека]]-Продажи[[#This Row],[Дата регистрации клиента]]</f>
        <v>509</v>
      </c>
      <c r="Q653" t="str">
        <f>VLOOKUP(H653,Таблица3[],7,FALSE)</f>
        <v>Таджикистан</v>
      </c>
    </row>
    <row r="654" spans="1:17" x14ac:dyDescent="0.3">
      <c r="A654">
        <v>653</v>
      </c>
      <c r="B654">
        <v>131</v>
      </c>
      <c r="C654">
        <v>116</v>
      </c>
      <c r="D654">
        <v>5</v>
      </c>
      <c r="E654">
        <v>580</v>
      </c>
      <c r="F654" s="32">
        <v>45184</v>
      </c>
      <c r="G654" t="s">
        <v>9</v>
      </c>
      <c r="H654">
        <v>246</v>
      </c>
      <c r="I654" t="str">
        <f>VLOOKUP(B654,товар!$A$1:$C$433,2,FALSE)</f>
        <v>Сок</v>
      </c>
      <c r="J654" s="22">
        <f t="shared" si="40"/>
        <v>268.60344827586209</v>
      </c>
      <c r="K654" s="24">
        <f t="shared" si="41"/>
        <v>-0.568136594133128</v>
      </c>
      <c r="L654" t="str">
        <f>VLOOKUP(B654,товар!$A$1:$C$433,3,FALSE)</f>
        <v>Сады Придонья</v>
      </c>
      <c r="M654" s="24">
        <f t="shared" si="42"/>
        <v>-0.54363376251788265</v>
      </c>
      <c r="N654" s="29">
        <f t="shared" si="43"/>
        <v>254.18181818181819</v>
      </c>
      <c r="O654" s="32">
        <f>VLOOKUP(H654,клиенты!$A$2:$G$435,5,FALSE)</f>
        <v>44805</v>
      </c>
      <c r="P654">
        <f>Продажи[[#This Row],[дата создания чека]]-Продажи[[#This Row],[Дата регистрации клиента]]</f>
        <v>379</v>
      </c>
      <c r="Q654" t="str">
        <f>VLOOKUP(H654,Таблица3[],7,FALSE)</f>
        <v>Узбекистан</v>
      </c>
    </row>
    <row r="655" spans="1:17" x14ac:dyDescent="0.3">
      <c r="A655">
        <v>654</v>
      </c>
      <c r="B655">
        <v>230</v>
      </c>
      <c r="C655">
        <v>453</v>
      </c>
      <c r="D655">
        <v>3</v>
      </c>
      <c r="E655">
        <v>1359</v>
      </c>
      <c r="F655" s="32">
        <v>45324</v>
      </c>
      <c r="G655" t="s">
        <v>27</v>
      </c>
      <c r="H655">
        <v>175</v>
      </c>
      <c r="I655" t="str">
        <f>VLOOKUP(B655,товар!$A$1:$C$433,2,FALSE)</f>
        <v>Сок</v>
      </c>
      <c r="J655" s="22">
        <f t="shared" si="40"/>
        <v>268.60344827586209</v>
      </c>
      <c r="K655" s="24">
        <f t="shared" si="41"/>
        <v>0.68650105911804338</v>
      </c>
      <c r="L655" t="str">
        <f>VLOOKUP(B655,товар!$A$1:$C$433,3,FALSE)</f>
        <v>Фруктовый сад</v>
      </c>
      <c r="M655" s="24">
        <f t="shared" si="42"/>
        <v>0.60656101075030477</v>
      </c>
      <c r="N655" s="29">
        <f t="shared" si="43"/>
        <v>281.96875</v>
      </c>
      <c r="O655" s="32">
        <f>VLOOKUP(H655,клиенты!$A$2:$G$435,5,FALSE)</f>
        <v>44565</v>
      </c>
      <c r="P655">
        <f>Продажи[[#This Row],[дата создания чека]]-Продажи[[#This Row],[Дата регистрации клиента]]</f>
        <v>759</v>
      </c>
      <c r="Q655" t="str">
        <f>VLOOKUP(H655,Таблица3[],7,FALSE)</f>
        <v>Россия</v>
      </c>
    </row>
    <row r="656" spans="1:17" x14ac:dyDescent="0.3">
      <c r="A656">
        <v>655</v>
      </c>
      <c r="B656">
        <v>39</v>
      </c>
      <c r="C656">
        <v>375</v>
      </c>
      <c r="D656">
        <v>2</v>
      </c>
      <c r="E656">
        <v>750</v>
      </c>
      <c r="F656" s="32">
        <v>45289</v>
      </c>
      <c r="G656" t="s">
        <v>22</v>
      </c>
      <c r="H656">
        <v>366</v>
      </c>
      <c r="I656" t="str">
        <f>VLOOKUP(B656,товар!$A$1:$C$433,2,FALSE)</f>
        <v>Сыр</v>
      </c>
      <c r="J656" s="22">
        <f t="shared" si="40"/>
        <v>262.63492063492066</v>
      </c>
      <c r="K656" s="24">
        <f t="shared" si="41"/>
        <v>0.4278375438172366</v>
      </c>
      <c r="L656" t="str">
        <f>VLOOKUP(B656,товар!$A$1:$C$433,3,FALSE)</f>
        <v>Сырная долина</v>
      </c>
      <c r="M656" s="24">
        <f t="shared" si="42"/>
        <v>0.38376383763837629</v>
      </c>
      <c r="N656" s="29">
        <f t="shared" si="43"/>
        <v>271</v>
      </c>
      <c r="O656" s="32">
        <f>VLOOKUP(H656,клиенты!$A$2:$G$435,5,FALSE)</f>
        <v>44827</v>
      </c>
      <c r="P656">
        <f>Продажи[[#This Row],[дата создания чека]]-Продажи[[#This Row],[Дата регистрации клиента]]</f>
        <v>462</v>
      </c>
      <c r="Q656" t="str">
        <f>VLOOKUP(H656,Таблица3[],7,FALSE)</f>
        <v>Узбекистан</v>
      </c>
    </row>
    <row r="657" spans="1:17" x14ac:dyDescent="0.3">
      <c r="A657">
        <v>656</v>
      </c>
      <c r="B657">
        <v>481</v>
      </c>
      <c r="C657">
        <v>374</v>
      </c>
      <c r="D657">
        <v>5</v>
      </c>
      <c r="E657">
        <v>1870</v>
      </c>
      <c r="F657" s="32">
        <v>45099</v>
      </c>
      <c r="G657" t="s">
        <v>22</v>
      </c>
      <c r="H657">
        <v>254</v>
      </c>
      <c r="I657" t="str">
        <f>VLOOKUP(B657,товар!$A$1:$C$433,2,FALSE)</f>
        <v>Чипсы</v>
      </c>
      <c r="J657" s="22">
        <f t="shared" si="40"/>
        <v>273.72549019607845</v>
      </c>
      <c r="K657" s="24">
        <f t="shared" si="41"/>
        <v>0.36633237822349551</v>
      </c>
      <c r="L657" t="str">
        <f>VLOOKUP(B657,товар!$A$1:$C$433,3,FALSE)</f>
        <v>Pringles</v>
      </c>
      <c r="M657" s="24">
        <f t="shared" si="42"/>
        <v>0.33457943925233646</v>
      </c>
      <c r="N657" s="29">
        <f t="shared" si="43"/>
        <v>280.23809523809524</v>
      </c>
      <c r="O657" s="32">
        <f>VLOOKUP(H657,клиенты!$A$2:$G$435,5,FALSE)</f>
        <v>44862</v>
      </c>
      <c r="P657">
        <f>Продажи[[#This Row],[дата создания чека]]-Продажи[[#This Row],[Дата регистрации клиента]]</f>
        <v>237</v>
      </c>
      <c r="Q657" t="str">
        <f>VLOOKUP(H657,Таблица3[],7,FALSE)</f>
        <v>Беларусь</v>
      </c>
    </row>
    <row r="658" spans="1:17" x14ac:dyDescent="0.3">
      <c r="A658">
        <v>657</v>
      </c>
      <c r="B658">
        <v>438</v>
      </c>
      <c r="C658">
        <v>81</v>
      </c>
      <c r="D658">
        <v>4</v>
      </c>
      <c r="E658">
        <v>324</v>
      </c>
      <c r="F658" s="32">
        <v>45272</v>
      </c>
      <c r="G658" t="s">
        <v>24</v>
      </c>
      <c r="H658">
        <v>79</v>
      </c>
      <c r="I658" t="str">
        <f>VLOOKUP(B658,товар!$A$1:$C$433,2,FALSE)</f>
        <v>Кофе</v>
      </c>
      <c r="J658" s="22">
        <f t="shared" si="40"/>
        <v>249.02380952380952</v>
      </c>
      <c r="K658" s="24">
        <f t="shared" si="41"/>
        <v>-0.67472989769576441</v>
      </c>
      <c r="L658" t="str">
        <f>VLOOKUP(B658,товар!$A$1:$C$433,3,FALSE)</f>
        <v>Nescafe</v>
      </c>
      <c r="M658" s="24">
        <f t="shared" si="42"/>
        <v>-0.68470221876216431</v>
      </c>
      <c r="N658" s="29">
        <f t="shared" si="43"/>
        <v>256.89999999999998</v>
      </c>
      <c r="O658" s="32">
        <f>VLOOKUP(H658,клиенты!$A$2:$G$435,5,FALSE)</f>
        <v>44716</v>
      </c>
      <c r="P658">
        <f>Продажи[[#This Row],[дата создания чека]]-Продажи[[#This Row],[Дата регистрации клиента]]</f>
        <v>556</v>
      </c>
      <c r="Q658" t="str">
        <f>VLOOKUP(H658,Таблица3[],7,FALSE)</f>
        <v>Таджикистан</v>
      </c>
    </row>
    <row r="659" spans="1:17" x14ac:dyDescent="0.3">
      <c r="A659">
        <v>658</v>
      </c>
      <c r="B659">
        <v>316</v>
      </c>
      <c r="C659">
        <v>428</v>
      </c>
      <c r="D659">
        <v>3</v>
      </c>
      <c r="E659">
        <v>1284</v>
      </c>
      <c r="F659" s="32">
        <v>45387</v>
      </c>
      <c r="G659" t="s">
        <v>12</v>
      </c>
      <c r="H659">
        <v>70</v>
      </c>
      <c r="I659" t="str">
        <f>VLOOKUP(B659,товар!$A$1:$C$433,2,FALSE)</f>
        <v>Макароны</v>
      </c>
      <c r="J659" s="22">
        <f t="shared" si="40"/>
        <v>265.47674418604652</v>
      </c>
      <c r="K659" s="24">
        <f t="shared" si="41"/>
        <v>0.61219394682668304</v>
      </c>
      <c r="L659" t="str">
        <f>VLOOKUP(B659,товар!$A$1:$C$433,3,FALSE)</f>
        <v>Борилла</v>
      </c>
      <c r="M659" s="24">
        <f t="shared" si="42"/>
        <v>0.8114419147694103</v>
      </c>
      <c r="N659" s="29">
        <f t="shared" si="43"/>
        <v>236.27586206896552</v>
      </c>
      <c r="O659" s="32">
        <f>VLOOKUP(H659,клиенты!$A$2:$G$435,5,FALSE)</f>
        <v>44591</v>
      </c>
      <c r="P659">
        <f>Продажи[[#This Row],[дата создания чека]]-Продажи[[#This Row],[Дата регистрации клиента]]</f>
        <v>796</v>
      </c>
      <c r="Q659" t="str">
        <f>VLOOKUP(H659,Таблица3[],7,FALSE)</f>
        <v>Украина</v>
      </c>
    </row>
    <row r="660" spans="1:17" x14ac:dyDescent="0.3">
      <c r="A660">
        <v>659</v>
      </c>
      <c r="B660">
        <v>174</v>
      </c>
      <c r="C660">
        <v>456</v>
      </c>
      <c r="D660">
        <v>3</v>
      </c>
      <c r="E660">
        <v>1368</v>
      </c>
      <c r="F660" s="32">
        <v>45282</v>
      </c>
      <c r="G660" t="s">
        <v>23</v>
      </c>
      <c r="H660">
        <v>76</v>
      </c>
      <c r="I660" t="str">
        <f>VLOOKUP(B660,товар!$A$1:$C$433,2,FALSE)</f>
        <v>Чай</v>
      </c>
      <c r="J660" s="22">
        <f t="shared" si="40"/>
        <v>271.18181818181819</v>
      </c>
      <c r="K660" s="24">
        <f t="shared" si="41"/>
        <v>0.68152866242038224</v>
      </c>
      <c r="L660" t="str">
        <f>VLOOKUP(B660,товар!$A$1:$C$433,3,FALSE)</f>
        <v>Ахмад</v>
      </c>
      <c r="M660" s="24">
        <f t="shared" si="42"/>
        <v>0.87422934648581996</v>
      </c>
      <c r="N660" s="29">
        <f t="shared" si="43"/>
        <v>243.3</v>
      </c>
      <c r="O660" s="32">
        <f>VLOOKUP(H660,клиенты!$A$2:$G$435,5,FALSE)</f>
        <v>44575</v>
      </c>
      <c r="P660">
        <f>Продажи[[#This Row],[дата создания чека]]-Продажи[[#This Row],[Дата регистрации клиента]]</f>
        <v>707</v>
      </c>
      <c r="Q660" t="str">
        <f>VLOOKUP(H660,Таблица3[],7,FALSE)</f>
        <v>Беларусь</v>
      </c>
    </row>
    <row r="661" spans="1:17" x14ac:dyDescent="0.3">
      <c r="A661">
        <v>660</v>
      </c>
      <c r="B661">
        <v>228</v>
      </c>
      <c r="C661">
        <v>247</v>
      </c>
      <c r="D661">
        <v>4</v>
      </c>
      <c r="E661">
        <v>988</v>
      </c>
      <c r="F661" s="32">
        <v>45415</v>
      </c>
      <c r="G661" t="s">
        <v>19</v>
      </c>
      <c r="H661">
        <v>147</v>
      </c>
      <c r="I661" t="str">
        <f>VLOOKUP(B661,товар!$A$1:$C$433,2,FALSE)</f>
        <v>Рис</v>
      </c>
      <c r="J661" s="22">
        <f t="shared" si="40"/>
        <v>258.375</v>
      </c>
      <c r="K661" s="24">
        <f t="shared" si="41"/>
        <v>-4.4025157232704393E-2</v>
      </c>
      <c r="L661" t="str">
        <f>VLOOKUP(B661,товар!$A$1:$C$433,3,FALSE)</f>
        <v>Мистраль</v>
      </c>
      <c r="M661" s="24">
        <f t="shared" si="42"/>
        <v>0.36034618410700237</v>
      </c>
      <c r="N661" s="29">
        <f t="shared" si="43"/>
        <v>181.57142857142858</v>
      </c>
      <c r="O661" s="32">
        <f>VLOOKUP(H661,клиенты!$A$2:$G$435,5,FALSE)</f>
        <v>44827</v>
      </c>
      <c r="P661">
        <f>Продажи[[#This Row],[дата создания чека]]-Продажи[[#This Row],[Дата регистрации клиента]]</f>
        <v>588</v>
      </c>
      <c r="Q661" t="str">
        <f>VLOOKUP(H661,Таблица3[],7,FALSE)</f>
        <v>Россия</v>
      </c>
    </row>
    <row r="662" spans="1:17" x14ac:dyDescent="0.3">
      <c r="A662">
        <v>661</v>
      </c>
      <c r="B662">
        <v>269</v>
      </c>
      <c r="C662">
        <v>455</v>
      </c>
      <c r="D662">
        <v>5</v>
      </c>
      <c r="E662">
        <v>2275</v>
      </c>
      <c r="F662" s="32">
        <v>45104</v>
      </c>
      <c r="G662" t="s">
        <v>11</v>
      </c>
      <c r="H662">
        <v>345</v>
      </c>
      <c r="I662" t="str">
        <f>VLOOKUP(B662,товар!$A$1:$C$433,2,FALSE)</f>
        <v>Сахар</v>
      </c>
      <c r="J662" s="22">
        <f t="shared" si="40"/>
        <v>252.76271186440678</v>
      </c>
      <c r="K662" s="24">
        <f t="shared" si="41"/>
        <v>0.80010728894253336</v>
      </c>
      <c r="L662" t="str">
        <f>VLOOKUP(B662,товар!$A$1:$C$433,3,FALSE)</f>
        <v>Русский сахар</v>
      </c>
      <c r="M662" s="24">
        <f t="shared" si="42"/>
        <v>0.55072173215717712</v>
      </c>
      <c r="N662" s="29">
        <f t="shared" si="43"/>
        <v>293.41176470588238</v>
      </c>
      <c r="O662" s="32">
        <f>VLOOKUP(H662,клиенты!$A$2:$G$435,5,FALSE)</f>
        <v>44705</v>
      </c>
      <c r="P662">
        <f>Продажи[[#This Row],[дата создания чека]]-Продажи[[#This Row],[Дата регистрации клиента]]</f>
        <v>399</v>
      </c>
      <c r="Q662" t="str">
        <f>VLOOKUP(H662,Таблица3[],7,FALSE)</f>
        <v>Беларусь</v>
      </c>
    </row>
    <row r="663" spans="1:17" x14ac:dyDescent="0.3">
      <c r="A663">
        <v>662</v>
      </c>
      <c r="B663">
        <v>461</v>
      </c>
      <c r="C663">
        <v>388</v>
      </c>
      <c r="D663">
        <v>4</v>
      </c>
      <c r="E663">
        <v>1552</v>
      </c>
      <c r="F663" s="32">
        <v>45293</v>
      </c>
      <c r="G663" t="s">
        <v>21</v>
      </c>
      <c r="H663">
        <v>303</v>
      </c>
      <c r="I663" t="str">
        <f>VLOOKUP(B663,товар!$A$1:$C$433,2,FALSE)</f>
        <v>Фрукты</v>
      </c>
      <c r="J663" s="22">
        <f t="shared" si="40"/>
        <v>274.16279069767444</v>
      </c>
      <c r="K663" s="24">
        <f t="shared" si="41"/>
        <v>0.41521757570616669</v>
      </c>
      <c r="L663" t="str">
        <f>VLOOKUP(B663,товар!$A$1:$C$433,3,FALSE)</f>
        <v>Green Garden</v>
      </c>
      <c r="M663" s="24">
        <f t="shared" si="42"/>
        <v>5.0920910075839654E-2</v>
      </c>
      <c r="N663" s="29">
        <f t="shared" si="43"/>
        <v>369.2</v>
      </c>
      <c r="O663" s="32">
        <f>VLOOKUP(H663,клиенты!$A$2:$G$435,5,FALSE)</f>
        <v>44689</v>
      </c>
      <c r="P663">
        <f>Продажи[[#This Row],[дата создания чека]]-Продажи[[#This Row],[Дата регистрации клиента]]</f>
        <v>604</v>
      </c>
      <c r="Q663" t="str">
        <f>VLOOKUP(H663,Таблица3[],7,FALSE)</f>
        <v>Узбекистан</v>
      </c>
    </row>
    <row r="664" spans="1:17" x14ac:dyDescent="0.3">
      <c r="A664">
        <v>663</v>
      </c>
      <c r="B664">
        <v>151</v>
      </c>
      <c r="C664">
        <v>496</v>
      </c>
      <c r="D664">
        <v>3</v>
      </c>
      <c r="E664">
        <v>1488</v>
      </c>
      <c r="F664" s="32">
        <v>45181</v>
      </c>
      <c r="G664" t="s">
        <v>22</v>
      </c>
      <c r="H664">
        <v>436</v>
      </c>
      <c r="I664" t="str">
        <f>VLOOKUP(B664,товар!$A$1:$C$433,2,FALSE)</f>
        <v>Молоко</v>
      </c>
      <c r="J664" s="22">
        <f t="shared" si="40"/>
        <v>294.95238095238096</v>
      </c>
      <c r="K664" s="24">
        <f t="shared" si="41"/>
        <v>0.68162738133677747</v>
      </c>
      <c r="L664" t="str">
        <f>VLOOKUP(B664,товар!$A$1:$C$433,3,FALSE)</f>
        <v>Беллакт</v>
      </c>
      <c r="M664" s="24">
        <f t="shared" si="42"/>
        <v>0.53776775648252539</v>
      </c>
      <c r="N664" s="29">
        <f t="shared" si="43"/>
        <v>322.54545454545456</v>
      </c>
      <c r="O664" s="32">
        <f>VLOOKUP(H664,клиенты!$A$2:$G$435,5,FALSE)</f>
        <v>44683</v>
      </c>
      <c r="P664">
        <f>Продажи[[#This Row],[дата создания чека]]-Продажи[[#This Row],[Дата регистрации клиента]]</f>
        <v>498</v>
      </c>
      <c r="Q664" t="str">
        <f>VLOOKUP(H664,Таблица3[],7,FALSE)</f>
        <v>Россия</v>
      </c>
    </row>
    <row r="665" spans="1:17" x14ac:dyDescent="0.3">
      <c r="A665">
        <v>664</v>
      </c>
      <c r="B665">
        <v>386</v>
      </c>
      <c r="C665">
        <v>295</v>
      </c>
      <c r="D665">
        <v>3</v>
      </c>
      <c r="E665">
        <v>885</v>
      </c>
      <c r="F665" s="32">
        <v>45194</v>
      </c>
      <c r="G665" t="s">
        <v>19</v>
      </c>
      <c r="H665">
        <v>25</v>
      </c>
      <c r="I665" t="str">
        <f>VLOOKUP(B665,товар!$A$1:$C$433,2,FALSE)</f>
        <v>Крупа</v>
      </c>
      <c r="J665" s="22">
        <f t="shared" si="40"/>
        <v>255.11627906976744</v>
      </c>
      <c r="K665" s="24">
        <f t="shared" si="41"/>
        <v>0.15633546034639934</v>
      </c>
      <c r="L665" t="str">
        <f>VLOOKUP(B665,товар!$A$1:$C$433,3,FALSE)</f>
        <v>Увелка</v>
      </c>
      <c r="M665" s="24">
        <f t="shared" si="42"/>
        <v>0.17102216341382737</v>
      </c>
      <c r="N665" s="29">
        <f t="shared" si="43"/>
        <v>251.91666666666666</v>
      </c>
      <c r="O665" s="32">
        <f>VLOOKUP(H665,клиенты!$A$2:$G$435,5,FALSE)</f>
        <v>44582</v>
      </c>
      <c r="P665">
        <f>Продажи[[#This Row],[дата создания чека]]-Продажи[[#This Row],[Дата регистрации клиента]]</f>
        <v>612</v>
      </c>
      <c r="Q665" t="str">
        <f>VLOOKUP(H665,Таблица3[],7,FALSE)</f>
        <v>Таджикистан</v>
      </c>
    </row>
    <row r="666" spans="1:17" x14ac:dyDescent="0.3">
      <c r="A666">
        <v>665</v>
      </c>
      <c r="B666">
        <v>452</v>
      </c>
      <c r="C666">
        <v>226</v>
      </c>
      <c r="D666">
        <v>4</v>
      </c>
      <c r="E666">
        <v>904</v>
      </c>
      <c r="F666" s="32">
        <v>45153</v>
      </c>
      <c r="G666" t="s">
        <v>27</v>
      </c>
      <c r="H666">
        <v>33</v>
      </c>
      <c r="I666" t="str">
        <f>VLOOKUP(B666,товар!$A$1:$C$433,2,FALSE)</f>
        <v>Фрукты</v>
      </c>
      <c r="J666" s="22">
        <f t="shared" si="40"/>
        <v>274.16279069767444</v>
      </c>
      <c r="K666" s="24">
        <f t="shared" si="41"/>
        <v>-0.17567223683094413</v>
      </c>
      <c r="L666" t="str">
        <f>VLOOKUP(B666,товар!$A$1:$C$433,3,FALSE)</f>
        <v>Экзотик</v>
      </c>
      <c r="M666" s="24">
        <f t="shared" si="42"/>
        <v>-0.10914018231091405</v>
      </c>
      <c r="N666" s="29">
        <f t="shared" si="43"/>
        <v>253.6875</v>
      </c>
      <c r="O666" s="32">
        <f>VLOOKUP(H666,клиенты!$A$2:$G$435,5,FALSE)</f>
        <v>44730</v>
      </c>
      <c r="P666">
        <f>Продажи[[#This Row],[дата создания чека]]-Продажи[[#This Row],[Дата регистрации клиента]]</f>
        <v>423</v>
      </c>
      <c r="Q666" t="str">
        <f>VLOOKUP(H666,Таблица3[],7,FALSE)</f>
        <v>Россия</v>
      </c>
    </row>
    <row r="667" spans="1:17" x14ac:dyDescent="0.3">
      <c r="A667">
        <v>666</v>
      </c>
      <c r="B667">
        <v>37</v>
      </c>
      <c r="C667">
        <v>411</v>
      </c>
      <c r="D667">
        <v>5</v>
      </c>
      <c r="E667">
        <v>2055</v>
      </c>
      <c r="F667" s="32">
        <v>45140</v>
      </c>
      <c r="G667" t="s">
        <v>21</v>
      </c>
      <c r="H667">
        <v>7</v>
      </c>
      <c r="I667" t="str">
        <f>VLOOKUP(B667,товар!$A$1:$C$433,2,FALSE)</f>
        <v>Соль</v>
      </c>
      <c r="J667" s="22">
        <f t="shared" si="40"/>
        <v>264.8679245283019</v>
      </c>
      <c r="K667" s="24">
        <f t="shared" si="41"/>
        <v>0.55171676877048004</v>
      </c>
      <c r="L667" t="str">
        <f>VLOOKUP(B667,товар!$A$1:$C$433,3,FALSE)</f>
        <v>Илецкая</v>
      </c>
      <c r="M667" s="24">
        <f t="shared" si="42"/>
        <v>0.7256822953114066</v>
      </c>
      <c r="N667" s="29">
        <f t="shared" si="43"/>
        <v>238.16666666666666</v>
      </c>
      <c r="O667" s="32">
        <f>VLOOKUP(H667,клиенты!$A$2:$G$435,5,FALSE)</f>
        <v>44893</v>
      </c>
      <c r="P667">
        <f>Продажи[[#This Row],[дата создания чека]]-Продажи[[#This Row],[Дата регистрации клиента]]</f>
        <v>247</v>
      </c>
      <c r="Q667" t="str">
        <f>VLOOKUP(H667,Таблица3[],7,FALSE)</f>
        <v>Россия</v>
      </c>
    </row>
    <row r="668" spans="1:17" x14ac:dyDescent="0.3">
      <c r="A668">
        <v>667</v>
      </c>
      <c r="B668">
        <v>27</v>
      </c>
      <c r="C668">
        <v>301</v>
      </c>
      <c r="D668">
        <v>1</v>
      </c>
      <c r="E668">
        <v>301</v>
      </c>
      <c r="F668" s="32">
        <v>44931</v>
      </c>
      <c r="G668" t="s">
        <v>22</v>
      </c>
      <c r="H668">
        <v>494</v>
      </c>
      <c r="I668" t="str">
        <f>VLOOKUP(B668,товар!$A$1:$C$433,2,FALSE)</f>
        <v>Макароны</v>
      </c>
      <c r="J668" s="22">
        <f t="shared" si="40"/>
        <v>265.47674418604652</v>
      </c>
      <c r="K668" s="24">
        <f t="shared" si="41"/>
        <v>0.13380929438044764</v>
      </c>
      <c r="L668" t="str">
        <f>VLOOKUP(B668,товар!$A$1:$C$433,3,FALSE)</f>
        <v>Паста Зара</v>
      </c>
      <c r="M668" s="24">
        <f t="shared" si="42"/>
        <v>8.7916381752466632E-2</v>
      </c>
      <c r="N668" s="29">
        <f t="shared" si="43"/>
        <v>276.67567567567568</v>
      </c>
      <c r="O668" s="32">
        <f>VLOOKUP(H668,клиенты!$A$2:$G$435,5,FALSE)</f>
        <v>44738</v>
      </c>
      <c r="P668">
        <f>Продажи[[#This Row],[дата создания чека]]-Продажи[[#This Row],[Дата регистрации клиента]]</f>
        <v>193</v>
      </c>
      <c r="Q668" t="str">
        <f>VLOOKUP(H668,Таблица3[],7,FALSE)</f>
        <v>Беларусь</v>
      </c>
    </row>
    <row r="669" spans="1:17" x14ac:dyDescent="0.3">
      <c r="A669">
        <v>668</v>
      </c>
      <c r="B669">
        <v>435</v>
      </c>
      <c r="C669">
        <v>452</v>
      </c>
      <c r="D669">
        <v>4</v>
      </c>
      <c r="E669">
        <v>1808</v>
      </c>
      <c r="F669" s="32">
        <v>44927</v>
      </c>
      <c r="G669" t="s">
        <v>13</v>
      </c>
      <c r="H669">
        <v>420</v>
      </c>
      <c r="I669" t="str">
        <f>VLOOKUP(B669,товар!$A$1:$C$433,2,FALSE)</f>
        <v>Мясо</v>
      </c>
      <c r="J669" s="22">
        <f t="shared" si="40"/>
        <v>271.74545454545455</v>
      </c>
      <c r="K669" s="24">
        <f t="shared" si="41"/>
        <v>0.66332128997725137</v>
      </c>
      <c r="L669" t="str">
        <f>VLOOKUP(B669,товар!$A$1:$C$433,3,FALSE)</f>
        <v>Снежана</v>
      </c>
      <c r="M669" s="24">
        <f t="shared" si="42"/>
        <v>0.65961123110151165</v>
      </c>
      <c r="N669" s="29">
        <f t="shared" si="43"/>
        <v>272.35294117647061</v>
      </c>
      <c r="O669" s="32">
        <f>VLOOKUP(H669,клиенты!$A$2:$G$435,5,FALSE)</f>
        <v>44698</v>
      </c>
      <c r="P669">
        <f>Продажи[[#This Row],[дата создания чека]]-Продажи[[#This Row],[Дата регистрации клиента]]</f>
        <v>229</v>
      </c>
      <c r="Q669" t="str">
        <f>VLOOKUP(H669,Таблица3[],7,FALSE)</f>
        <v>Украина</v>
      </c>
    </row>
    <row r="670" spans="1:17" x14ac:dyDescent="0.3">
      <c r="A670">
        <v>669</v>
      </c>
      <c r="B670">
        <v>101</v>
      </c>
      <c r="C670">
        <v>293</v>
      </c>
      <c r="D670">
        <v>1</v>
      </c>
      <c r="E670">
        <v>293</v>
      </c>
      <c r="F670" s="32">
        <v>45165</v>
      </c>
      <c r="G670" t="s">
        <v>22</v>
      </c>
      <c r="H670">
        <v>75</v>
      </c>
      <c r="I670" t="str">
        <f>VLOOKUP(B670,товар!$A$1:$C$433,2,FALSE)</f>
        <v>Чай</v>
      </c>
      <c r="J670" s="22">
        <f t="shared" si="40"/>
        <v>271.18181818181819</v>
      </c>
      <c r="K670" s="24">
        <f t="shared" si="41"/>
        <v>8.0455916862219201E-2</v>
      </c>
      <c r="L670" t="str">
        <f>VLOOKUP(B670,товар!$A$1:$C$433,3,FALSE)</f>
        <v>Ахмад</v>
      </c>
      <c r="M670" s="24">
        <f t="shared" si="42"/>
        <v>0.20427455815865181</v>
      </c>
      <c r="N670" s="29">
        <f t="shared" si="43"/>
        <v>243.3</v>
      </c>
      <c r="O670" s="32">
        <f>VLOOKUP(H670,клиенты!$A$2:$G$435,5,FALSE)</f>
        <v>44796</v>
      </c>
      <c r="P670">
        <f>Продажи[[#This Row],[дата создания чека]]-Продажи[[#This Row],[Дата регистрации клиента]]</f>
        <v>369</v>
      </c>
      <c r="Q670" t="str">
        <f>VLOOKUP(H670,Таблица3[],7,FALSE)</f>
        <v>Украина</v>
      </c>
    </row>
    <row r="671" spans="1:17" x14ac:dyDescent="0.3">
      <c r="A671">
        <v>670</v>
      </c>
      <c r="B671">
        <v>423</v>
      </c>
      <c r="C671">
        <v>382</v>
      </c>
      <c r="D671">
        <v>2</v>
      </c>
      <c r="E671">
        <v>764</v>
      </c>
      <c r="F671" s="32">
        <v>45283</v>
      </c>
      <c r="G671" t="s">
        <v>16</v>
      </c>
      <c r="H671">
        <v>83</v>
      </c>
      <c r="I671" t="str">
        <f>VLOOKUP(B671,товар!$A$1:$C$433,2,FALSE)</f>
        <v>Чипсы</v>
      </c>
      <c r="J671" s="22">
        <f t="shared" si="40"/>
        <v>273.72549019607845</v>
      </c>
      <c r="K671" s="24">
        <f t="shared" si="41"/>
        <v>0.39555873925501417</v>
      </c>
      <c r="L671" t="str">
        <f>VLOOKUP(B671,товар!$A$1:$C$433,3,FALSE)</f>
        <v>Pringles</v>
      </c>
      <c r="M671" s="24">
        <f t="shared" si="42"/>
        <v>0.3631265930331351</v>
      </c>
      <c r="N671" s="29">
        <f t="shared" si="43"/>
        <v>280.23809523809524</v>
      </c>
      <c r="O671" s="32">
        <f>VLOOKUP(H671,клиенты!$A$2:$G$435,5,FALSE)</f>
        <v>44739</v>
      </c>
      <c r="P671">
        <f>Продажи[[#This Row],[дата создания чека]]-Продажи[[#This Row],[Дата регистрации клиента]]</f>
        <v>544</v>
      </c>
      <c r="Q671" t="str">
        <f>VLOOKUP(H671,Таблица3[],7,FALSE)</f>
        <v>Таджикистан</v>
      </c>
    </row>
    <row r="672" spans="1:17" x14ac:dyDescent="0.3">
      <c r="A672">
        <v>671</v>
      </c>
      <c r="B672">
        <v>411</v>
      </c>
      <c r="C672">
        <v>158</v>
      </c>
      <c r="D672">
        <v>3</v>
      </c>
      <c r="E672">
        <v>474</v>
      </c>
      <c r="F672" s="32">
        <v>45070</v>
      </c>
      <c r="G672" t="s">
        <v>16</v>
      </c>
      <c r="H672">
        <v>109</v>
      </c>
      <c r="I672" t="str">
        <f>VLOOKUP(B672,товар!$A$1:$C$433,2,FALSE)</f>
        <v>Хлеб</v>
      </c>
      <c r="J672" s="22">
        <f t="shared" si="40"/>
        <v>300.31818181818181</v>
      </c>
      <c r="K672" s="24">
        <f t="shared" si="41"/>
        <v>-0.47389132738005146</v>
      </c>
      <c r="L672" t="str">
        <f>VLOOKUP(B672,товар!$A$1:$C$433,3,FALSE)</f>
        <v>Хлебный Дом</v>
      </c>
      <c r="M672" s="24">
        <f t="shared" si="42"/>
        <v>-0.43918599148130621</v>
      </c>
      <c r="N672" s="29">
        <f t="shared" si="43"/>
        <v>281.73333333333335</v>
      </c>
      <c r="O672" s="32">
        <f>VLOOKUP(H672,клиенты!$A$2:$G$435,5,FALSE)</f>
        <v>44732</v>
      </c>
      <c r="P672">
        <f>Продажи[[#This Row],[дата создания чека]]-Продажи[[#This Row],[Дата регистрации клиента]]</f>
        <v>338</v>
      </c>
      <c r="Q672" t="str">
        <f>VLOOKUP(H672,Таблица3[],7,FALSE)</f>
        <v>Украина</v>
      </c>
    </row>
    <row r="673" spans="1:17" x14ac:dyDescent="0.3">
      <c r="A673">
        <v>672</v>
      </c>
      <c r="B673">
        <v>381</v>
      </c>
      <c r="C673">
        <v>296</v>
      </c>
      <c r="D673">
        <v>4</v>
      </c>
      <c r="E673">
        <v>1184</v>
      </c>
      <c r="F673" s="32">
        <v>45106</v>
      </c>
      <c r="G673" t="s">
        <v>20</v>
      </c>
      <c r="H673">
        <v>465</v>
      </c>
      <c r="I673" t="str">
        <f>VLOOKUP(B673,товар!$A$1:$C$433,2,FALSE)</f>
        <v>Рыба</v>
      </c>
      <c r="J673" s="22">
        <f t="shared" si="40"/>
        <v>258.5128205128205</v>
      </c>
      <c r="K673" s="24">
        <f t="shared" si="41"/>
        <v>0.14501091053362436</v>
      </c>
      <c r="L673" t="str">
        <f>VLOOKUP(B673,товар!$A$1:$C$433,3,FALSE)</f>
        <v>Русское море</v>
      </c>
      <c r="M673" s="24">
        <f t="shared" si="42"/>
        <v>1.1389521640090994E-2</v>
      </c>
      <c r="N673" s="29">
        <f t="shared" si="43"/>
        <v>292.66666666666669</v>
      </c>
      <c r="O673" s="32">
        <f>VLOOKUP(H673,клиенты!$A$2:$G$435,5,FALSE)</f>
        <v>44671</v>
      </c>
      <c r="P673">
        <f>Продажи[[#This Row],[дата создания чека]]-Продажи[[#This Row],[Дата регистрации клиента]]</f>
        <v>435</v>
      </c>
      <c r="Q673" t="str">
        <f>VLOOKUP(H673,Таблица3[],7,FALSE)</f>
        <v>Узбекистан</v>
      </c>
    </row>
    <row r="674" spans="1:17" x14ac:dyDescent="0.3">
      <c r="A674">
        <v>673</v>
      </c>
      <c r="B674">
        <v>400</v>
      </c>
      <c r="C674">
        <v>345</v>
      </c>
      <c r="D674">
        <v>2</v>
      </c>
      <c r="E674">
        <v>690</v>
      </c>
      <c r="F674" s="32">
        <v>45143</v>
      </c>
      <c r="G674" t="s">
        <v>22</v>
      </c>
      <c r="H674">
        <v>18</v>
      </c>
      <c r="I674" t="str">
        <f>VLOOKUP(B674,товар!$A$1:$C$433,2,FALSE)</f>
        <v>Молоко</v>
      </c>
      <c r="J674" s="22">
        <f t="shared" si="40"/>
        <v>294.95238095238096</v>
      </c>
      <c r="K674" s="24">
        <f t="shared" si="41"/>
        <v>0.16968033580884723</v>
      </c>
      <c r="L674" t="str">
        <f>VLOOKUP(B674,товар!$A$1:$C$433,3,FALSE)</f>
        <v>Беллакт</v>
      </c>
      <c r="M674" s="24">
        <f t="shared" si="42"/>
        <v>6.9616685456595162E-2</v>
      </c>
      <c r="N674" s="29">
        <f t="shared" si="43"/>
        <v>322.54545454545456</v>
      </c>
      <c r="O674" s="32">
        <f>VLOOKUP(H674,клиенты!$A$2:$G$435,5,FALSE)</f>
        <v>44578</v>
      </c>
      <c r="P674">
        <f>Продажи[[#This Row],[дата создания чека]]-Продажи[[#This Row],[Дата регистрации клиента]]</f>
        <v>565</v>
      </c>
      <c r="Q674" t="str">
        <f>VLOOKUP(H674,Таблица3[],7,FALSE)</f>
        <v>Украина</v>
      </c>
    </row>
    <row r="675" spans="1:17" x14ac:dyDescent="0.3">
      <c r="A675">
        <v>674</v>
      </c>
      <c r="B675">
        <v>389</v>
      </c>
      <c r="C675">
        <v>155</v>
      </c>
      <c r="D675">
        <v>4</v>
      </c>
      <c r="E675">
        <v>620</v>
      </c>
      <c r="F675" s="32">
        <v>45412</v>
      </c>
      <c r="G675" t="s">
        <v>27</v>
      </c>
      <c r="H675">
        <v>376</v>
      </c>
      <c r="I675" t="str">
        <f>VLOOKUP(B675,товар!$A$1:$C$433,2,FALSE)</f>
        <v>Чай</v>
      </c>
      <c r="J675" s="22">
        <f t="shared" si="40"/>
        <v>271.18181818181819</v>
      </c>
      <c r="K675" s="24">
        <f t="shared" si="41"/>
        <v>-0.42842775729131743</v>
      </c>
      <c r="L675" t="str">
        <f>VLOOKUP(B675,товар!$A$1:$C$433,3,FALSE)</f>
        <v>Ахмад</v>
      </c>
      <c r="M675" s="24">
        <f t="shared" si="42"/>
        <v>-0.36292642827784627</v>
      </c>
      <c r="N675" s="29">
        <f t="shared" si="43"/>
        <v>243.3</v>
      </c>
      <c r="O675" s="32">
        <f>VLOOKUP(H675,клиенты!$A$2:$G$435,5,FALSE)</f>
        <v>44730</v>
      </c>
      <c r="P675">
        <f>Продажи[[#This Row],[дата создания чека]]-Продажи[[#This Row],[Дата регистрации клиента]]</f>
        <v>682</v>
      </c>
      <c r="Q675" t="str">
        <f>VLOOKUP(H675,Таблица3[],7,FALSE)</f>
        <v>Беларусь</v>
      </c>
    </row>
    <row r="676" spans="1:17" x14ac:dyDescent="0.3">
      <c r="A676">
        <v>675</v>
      </c>
      <c r="B676">
        <v>227</v>
      </c>
      <c r="C676">
        <v>300</v>
      </c>
      <c r="D676">
        <v>4</v>
      </c>
      <c r="E676">
        <v>1200</v>
      </c>
      <c r="F676" s="32">
        <v>44991</v>
      </c>
      <c r="G676" t="s">
        <v>16</v>
      </c>
      <c r="H676">
        <v>88</v>
      </c>
      <c r="I676" t="str">
        <f>VLOOKUP(B676,товар!$A$1:$C$433,2,FALSE)</f>
        <v>Макароны</v>
      </c>
      <c r="J676" s="22">
        <f t="shared" si="40"/>
        <v>265.47674418604652</v>
      </c>
      <c r="K676" s="24">
        <f t="shared" si="41"/>
        <v>0.13004248609346947</v>
      </c>
      <c r="L676" t="str">
        <f>VLOOKUP(B676,товар!$A$1:$C$433,3,FALSE)</f>
        <v>Макфа</v>
      </c>
      <c r="M676" s="24">
        <f t="shared" si="42"/>
        <v>-8.8901159580342282E-2</v>
      </c>
      <c r="N676" s="29">
        <f t="shared" si="43"/>
        <v>329.27272727272725</v>
      </c>
      <c r="O676" s="32">
        <f>VLOOKUP(H676,клиенты!$A$2:$G$435,5,FALSE)</f>
        <v>44630</v>
      </c>
      <c r="P676">
        <f>Продажи[[#This Row],[дата создания чека]]-Продажи[[#This Row],[Дата регистрации клиента]]</f>
        <v>361</v>
      </c>
      <c r="Q676" t="str">
        <f>VLOOKUP(H676,Таблица3[],7,FALSE)</f>
        <v>Украина</v>
      </c>
    </row>
    <row r="677" spans="1:17" x14ac:dyDescent="0.3">
      <c r="A677">
        <v>676</v>
      </c>
      <c r="B677">
        <v>243</v>
      </c>
      <c r="C677">
        <v>371</v>
      </c>
      <c r="D677">
        <v>3</v>
      </c>
      <c r="E677">
        <v>1113</v>
      </c>
      <c r="F677" s="32">
        <v>45081</v>
      </c>
      <c r="G677" t="s">
        <v>9</v>
      </c>
      <c r="H677">
        <v>352</v>
      </c>
      <c r="I677" t="str">
        <f>VLOOKUP(B677,товар!$A$1:$C$433,2,FALSE)</f>
        <v>Рис</v>
      </c>
      <c r="J677" s="22">
        <f t="shared" si="40"/>
        <v>258.375</v>
      </c>
      <c r="K677" s="24">
        <f t="shared" si="41"/>
        <v>0.4358974358974359</v>
      </c>
      <c r="L677" t="str">
        <f>VLOOKUP(B677,товар!$A$1:$C$433,3,FALSE)</f>
        <v>Белый Злат</v>
      </c>
      <c r="M677" s="24">
        <f t="shared" si="42"/>
        <v>0.3755725190839696</v>
      </c>
      <c r="N677" s="29">
        <f t="shared" si="43"/>
        <v>269.70588235294116</v>
      </c>
      <c r="O677" s="32">
        <f>VLOOKUP(H677,клиенты!$A$2:$G$435,5,FALSE)</f>
        <v>44573</v>
      </c>
      <c r="P677">
        <f>Продажи[[#This Row],[дата создания чека]]-Продажи[[#This Row],[Дата регистрации клиента]]</f>
        <v>508</v>
      </c>
      <c r="Q677" t="str">
        <f>VLOOKUP(H677,Таблица3[],7,FALSE)</f>
        <v>Россия</v>
      </c>
    </row>
    <row r="678" spans="1:17" x14ac:dyDescent="0.3">
      <c r="A678">
        <v>677</v>
      </c>
      <c r="B678">
        <v>187</v>
      </c>
      <c r="C678">
        <v>273</v>
      </c>
      <c r="D678">
        <v>3</v>
      </c>
      <c r="E678">
        <v>819</v>
      </c>
      <c r="F678" s="32">
        <v>44980</v>
      </c>
      <c r="G678" t="s">
        <v>24</v>
      </c>
      <c r="H678">
        <v>452</v>
      </c>
      <c r="I678" t="str">
        <f>VLOOKUP(B678,товар!$A$1:$C$433,2,FALSE)</f>
        <v>Макароны</v>
      </c>
      <c r="J678" s="22">
        <f t="shared" si="40"/>
        <v>265.47674418604652</v>
      </c>
      <c r="K678" s="24">
        <f t="shared" si="41"/>
        <v>2.8338662345057219E-2</v>
      </c>
      <c r="L678" t="str">
        <f>VLOOKUP(B678,товар!$A$1:$C$433,3,FALSE)</f>
        <v>Паста Зара</v>
      </c>
      <c r="M678" s="24">
        <f t="shared" si="42"/>
        <v>-1.3285142131483796E-2</v>
      </c>
      <c r="N678" s="29">
        <f t="shared" si="43"/>
        <v>276.67567567567568</v>
      </c>
      <c r="O678" s="32">
        <f>VLOOKUP(H678,клиенты!$A$2:$G$435,5,FALSE)</f>
        <v>44769</v>
      </c>
      <c r="P678">
        <f>Продажи[[#This Row],[дата создания чека]]-Продажи[[#This Row],[Дата регистрации клиента]]</f>
        <v>211</v>
      </c>
      <c r="Q678" t="str">
        <f>VLOOKUP(H678,Таблица3[],7,FALSE)</f>
        <v>Россия</v>
      </c>
    </row>
    <row r="679" spans="1:17" x14ac:dyDescent="0.3">
      <c r="A679">
        <v>678</v>
      </c>
      <c r="B679">
        <v>441</v>
      </c>
      <c r="C679">
        <v>147</v>
      </c>
      <c r="D679">
        <v>3</v>
      </c>
      <c r="E679">
        <v>441</v>
      </c>
      <c r="F679" s="32">
        <v>45117</v>
      </c>
      <c r="G679" t="s">
        <v>17</v>
      </c>
      <c r="H679">
        <v>449</v>
      </c>
      <c r="I679" t="str">
        <f>VLOOKUP(B679,товар!$A$1:$C$433,2,FALSE)</f>
        <v>Чай</v>
      </c>
      <c r="J679" s="22">
        <f t="shared" si="40"/>
        <v>271.18181818181819</v>
      </c>
      <c r="K679" s="24">
        <f t="shared" si="41"/>
        <v>-0.4579282601407979</v>
      </c>
      <c r="L679" t="str">
        <f>VLOOKUP(B679,товар!$A$1:$C$433,3,FALSE)</f>
        <v>Lipton</v>
      </c>
      <c r="M679" s="24">
        <f t="shared" si="42"/>
        <v>-0.43495852721019623</v>
      </c>
      <c r="N679" s="29">
        <f t="shared" si="43"/>
        <v>260.15789473684208</v>
      </c>
      <c r="O679" s="32">
        <f>VLOOKUP(H679,клиенты!$A$2:$G$435,5,FALSE)</f>
        <v>44645</v>
      </c>
      <c r="P679">
        <f>Продажи[[#This Row],[дата создания чека]]-Продажи[[#This Row],[Дата регистрации клиента]]</f>
        <v>472</v>
      </c>
      <c r="Q679" t="str">
        <f>VLOOKUP(H679,Таблица3[],7,FALSE)</f>
        <v>Таджикистан</v>
      </c>
    </row>
    <row r="680" spans="1:17" x14ac:dyDescent="0.3">
      <c r="A680">
        <v>679</v>
      </c>
      <c r="B680">
        <v>446</v>
      </c>
      <c r="C680">
        <v>440</v>
      </c>
      <c r="D680">
        <v>5</v>
      </c>
      <c r="E680">
        <v>2200</v>
      </c>
      <c r="F680" s="32">
        <v>45394</v>
      </c>
      <c r="G680" t="s">
        <v>24</v>
      </c>
      <c r="H680">
        <v>197</v>
      </c>
      <c r="I680" t="str">
        <f>VLOOKUP(B680,товар!$A$1:$C$433,2,FALSE)</f>
        <v>Чипсы</v>
      </c>
      <c r="J680" s="22">
        <f t="shared" si="40"/>
        <v>273.72549019607845</v>
      </c>
      <c r="K680" s="24">
        <f t="shared" si="41"/>
        <v>0.60744985673352425</v>
      </c>
      <c r="L680" t="str">
        <f>VLOOKUP(B680,товар!$A$1:$C$433,3,FALSE)</f>
        <v>Lay's</v>
      </c>
      <c r="M680" s="24">
        <f t="shared" si="42"/>
        <v>0.37254901960784315</v>
      </c>
      <c r="N680" s="29">
        <f t="shared" si="43"/>
        <v>320.57142857142856</v>
      </c>
      <c r="O680" s="32">
        <f>VLOOKUP(H680,клиенты!$A$2:$G$435,5,FALSE)</f>
        <v>44785</v>
      </c>
      <c r="P680">
        <f>Продажи[[#This Row],[дата создания чека]]-Продажи[[#This Row],[Дата регистрации клиента]]</f>
        <v>609</v>
      </c>
      <c r="Q680" t="str">
        <f>VLOOKUP(H680,Таблица3[],7,FALSE)</f>
        <v>Украина</v>
      </c>
    </row>
    <row r="681" spans="1:17" x14ac:dyDescent="0.3">
      <c r="A681">
        <v>680</v>
      </c>
      <c r="B681">
        <v>55</v>
      </c>
      <c r="C681">
        <v>227</v>
      </c>
      <c r="D681">
        <v>4</v>
      </c>
      <c r="E681">
        <v>908</v>
      </c>
      <c r="F681" s="32">
        <v>45338</v>
      </c>
      <c r="G681" t="s">
        <v>8</v>
      </c>
      <c r="H681">
        <v>70</v>
      </c>
      <c r="I681" t="str">
        <f>VLOOKUP(B681,товар!$A$1:$C$433,2,FALSE)</f>
        <v>Крупа</v>
      </c>
      <c r="J681" s="22">
        <f t="shared" si="40"/>
        <v>255.11627906976744</v>
      </c>
      <c r="K681" s="24">
        <f t="shared" si="41"/>
        <v>-0.11020966271649957</v>
      </c>
      <c r="L681" t="str">
        <f>VLOOKUP(B681,товар!$A$1:$C$433,3,FALSE)</f>
        <v>Националь</v>
      </c>
      <c r="M681" s="24">
        <f t="shared" si="42"/>
        <v>-0.1723958333333333</v>
      </c>
      <c r="N681" s="29">
        <f t="shared" si="43"/>
        <v>274.28571428571428</v>
      </c>
      <c r="O681" s="32">
        <f>VLOOKUP(H681,клиенты!$A$2:$G$435,5,FALSE)</f>
        <v>44591</v>
      </c>
      <c r="P681">
        <f>Продажи[[#This Row],[дата создания чека]]-Продажи[[#This Row],[Дата регистрации клиента]]</f>
        <v>747</v>
      </c>
      <c r="Q681" t="str">
        <f>VLOOKUP(H681,Таблица3[],7,FALSE)</f>
        <v>Украина</v>
      </c>
    </row>
    <row r="682" spans="1:17" x14ac:dyDescent="0.3">
      <c r="A682">
        <v>681</v>
      </c>
      <c r="B682">
        <v>27</v>
      </c>
      <c r="C682">
        <v>415</v>
      </c>
      <c r="D682">
        <v>4</v>
      </c>
      <c r="E682">
        <v>1660</v>
      </c>
      <c r="F682" s="32">
        <v>45229</v>
      </c>
      <c r="G682" t="s">
        <v>25</v>
      </c>
      <c r="H682">
        <v>345</v>
      </c>
      <c r="I682" t="str">
        <f>VLOOKUP(B682,товар!$A$1:$C$433,2,FALSE)</f>
        <v>Макароны</v>
      </c>
      <c r="J682" s="22">
        <f t="shared" si="40"/>
        <v>265.47674418604652</v>
      </c>
      <c r="K682" s="24">
        <f t="shared" si="41"/>
        <v>0.5632254390959659</v>
      </c>
      <c r="L682" t="str">
        <f>VLOOKUP(B682,товар!$A$1:$C$433,3,FALSE)</f>
        <v>Паста Зара</v>
      </c>
      <c r="M682" s="24">
        <f t="shared" si="42"/>
        <v>0.49995115756569297</v>
      </c>
      <c r="N682" s="29">
        <f t="shared" si="43"/>
        <v>276.67567567567568</v>
      </c>
      <c r="O682" s="32">
        <f>VLOOKUP(H682,клиенты!$A$2:$G$435,5,FALSE)</f>
        <v>44705</v>
      </c>
      <c r="P682">
        <f>Продажи[[#This Row],[дата создания чека]]-Продажи[[#This Row],[Дата регистрации клиента]]</f>
        <v>524</v>
      </c>
      <c r="Q682" t="str">
        <f>VLOOKUP(H682,Таблица3[],7,FALSE)</f>
        <v>Беларусь</v>
      </c>
    </row>
    <row r="683" spans="1:17" x14ac:dyDescent="0.3">
      <c r="A683">
        <v>682</v>
      </c>
      <c r="B683">
        <v>110</v>
      </c>
      <c r="C683">
        <v>84</v>
      </c>
      <c r="D683">
        <v>5</v>
      </c>
      <c r="E683">
        <v>420</v>
      </c>
      <c r="F683" s="32">
        <v>45029</v>
      </c>
      <c r="G683" t="s">
        <v>13</v>
      </c>
      <c r="H683">
        <v>225</v>
      </c>
      <c r="I683" t="str">
        <f>VLOOKUP(B683,товар!$A$1:$C$433,2,FALSE)</f>
        <v>Макароны</v>
      </c>
      <c r="J683" s="22">
        <f t="shared" si="40"/>
        <v>265.47674418604652</v>
      </c>
      <c r="K683" s="24">
        <f t="shared" si="41"/>
        <v>-0.68358810389382851</v>
      </c>
      <c r="L683" t="str">
        <f>VLOOKUP(B683,товар!$A$1:$C$433,3,FALSE)</f>
        <v>Паста Зара</v>
      </c>
      <c r="M683" s="24">
        <f t="shared" si="42"/>
        <v>-0.69639542834814883</v>
      </c>
      <c r="N683" s="29">
        <f t="shared" si="43"/>
        <v>276.67567567567568</v>
      </c>
      <c r="O683" s="32">
        <f>VLOOKUP(H683,клиенты!$A$2:$G$435,5,FALSE)</f>
        <v>44827</v>
      </c>
      <c r="P683">
        <f>Продажи[[#This Row],[дата создания чека]]-Продажи[[#This Row],[Дата регистрации клиента]]</f>
        <v>202</v>
      </c>
      <c r="Q683" t="str">
        <f>VLOOKUP(H683,Таблица3[],7,FALSE)</f>
        <v>Беларусь</v>
      </c>
    </row>
    <row r="684" spans="1:17" x14ac:dyDescent="0.3">
      <c r="A684">
        <v>683</v>
      </c>
      <c r="B684">
        <v>196</v>
      </c>
      <c r="C684">
        <v>196</v>
      </c>
      <c r="D684">
        <v>4</v>
      </c>
      <c r="E684">
        <v>784</v>
      </c>
      <c r="F684" s="32">
        <v>44944</v>
      </c>
      <c r="G684" t="s">
        <v>21</v>
      </c>
      <c r="H684">
        <v>8</v>
      </c>
      <c r="I684" t="str">
        <f>VLOOKUP(B684,товар!$A$1:$C$433,2,FALSE)</f>
        <v>Конфеты</v>
      </c>
      <c r="J684" s="22">
        <f t="shared" si="40"/>
        <v>267.85483870967744</v>
      </c>
      <c r="K684" s="24">
        <f t="shared" si="41"/>
        <v>-0.26826037213223342</v>
      </c>
      <c r="L684" t="str">
        <f>VLOOKUP(B684,товар!$A$1:$C$433,3,FALSE)</f>
        <v>Рот Фронт</v>
      </c>
      <c r="M684" s="24">
        <f t="shared" si="42"/>
        <v>-0.32000660829340821</v>
      </c>
      <c r="N684" s="29">
        <f t="shared" si="43"/>
        <v>288.23809523809524</v>
      </c>
      <c r="O684" s="32">
        <f>VLOOKUP(H684,клиенты!$A$2:$G$435,5,FALSE)</f>
        <v>44883</v>
      </c>
      <c r="P684">
        <f>Продажи[[#This Row],[дата создания чека]]-Продажи[[#This Row],[Дата регистрации клиента]]</f>
        <v>61</v>
      </c>
      <c r="Q684" t="str">
        <f>VLOOKUP(H684,Таблица3[],7,FALSE)</f>
        <v>Беларусь</v>
      </c>
    </row>
    <row r="685" spans="1:17" x14ac:dyDescent="0.3">
      <c r="A685">
        <v>684</v>
      </c>
      <c r="B685">
        <v>271</v>
      </c>
      <c r="C685">
        <v>123</v>
      </c>
      <c r="D685">
        <v>2</v>
      </c>
      <c r="E685">
        <v>246</v>
      </c>
      <c r="F685" s="32">
        <v>45350</v>
      </c>
      <c r="G685" t="s">
        <v>11</v>
      </c>
      <c r="H685">
        <v>11</v>
      </c>
      <c r="I685" t="str">
        <f>VLOOKUP(B685,товар!$A$1:$C$433,2,FALSE)</f>
        <v>Сыр</v>
      </c>
      <c r="J685" s="22">
        <f t="shared" si="40"/>
        <v>262.63492063492066</v>
      </c>
      <c r="K685" s="24">
        <f t="shared" si="41"/>
        <v>-0.53166928562794635</v>
      </c>
      <c r="L685" t="str">
        <f>VLOOKUP(B685,товар!$A$1:$C$433,3,FALSE)</f>
        <v>Сырная долина</v>
      </c>
      <c r="M685" s="24">
        <f t="shared" si="42"/>
        <v>-0.54612546125461248</v>
      </c>
      <c r="N685" s="29">
        <f t="shared" si="43"/>
        <v>271</v>
      </c>
      <c r="O685" s="32">
        <f>VLOOKUP(H685,клиенты!$A$2:$G$435,5,FALSE)</f>
        <v>44690</v>
      </c>
      <c r="P685">
        <f>Продажи[[#This Row],[дата создания чека]]-Продажи[[#This Row],[Дата регистрации клиента]]</f>
        <v>660</v>
      </c>
      <c r="Q685" t="str">
        <f>VLOOKUP(H685,Таблица3[],7,FALSE)</f>
        <v>Таджикистан</v>
      </c>
    </row>
    <row r="686" spans="1:17" x14ac:dyDescent="0.3">
      <c r="A686">
        <v>685</v>
      </c>
      <c r="B686">
        <v>189</v>
      </c>
      <c r="C686">
        <v>356</v>
      </c>
      <c r="D686">
        <v>1</v>
      </c>
      <c r="E686">
        <v>356</v>
      </c>
      <c r="F686" s="32">
        <v>45051</v>
      </c>
      <c r="G686" t="s">
        <v>24</v>
      </c>
      <c r="H686">
        <v>388</v>
      </c>
      <c r="I686" t="str">
        <f>VLOOKUP(B686,товар!$A$1:$C$433,2,FALSE)</f>
        <v>Хлеб</v>
      </c>
      <c r="J686" s="22">
        <f t="shared" si="40"/>
        <v>300.31818181818181</v>
      </c>
      <c r="K686" s="24">
        <f t="shared" si="41"/>
        <v>0.18540941425760549</v>
      </c>
      <c r="L686" t="str">
        <f>VLOOKUP(B686,товар!$A$1:$C$433,3,FALSE)</f>
        <v>Дарница</v>
      </c>
      <c r="M686" s="24">
        <f t="shared" si="42"/>
        <v>0.3484848484848484</v>
      </c>
      <c r="N686" s="29">
        <f t="shared" si="43"/>
        <v>264</v>
      </c>
      <c r="O686" s="32">
        <f>VLOOKUP(H686,клиенты!$A$2:$G$435,5,FALSE)</f>
        <v>44581</v>
      </c>
      <c r="P686">
        <f>Продажи[[#This Row],[дата создания чека]]-Продажи[[#This Row],[Дата регистрации клиента]]</f>
        <v>470</v>
      </c>
      <c r="Q686" t="str">
        <f>VLOOKUP(H686,Таблица3[],7,FALSE)</f>
        <v>Россия</v>
      </c>
    </row>
    <row r="687" spans="1:17" x14ac:dyDescent="0.3">
      <c r="A687">
        <v>686</v>
      </c>
      <c r="B687">
        <v>372</v>
      </c>
      <c r="C687">
        <v>166</v>
      </c>
      <c r="D687">
        <v>5</v>
      </c>
      <c r="E687">
        <v>830</v>
      </c>
      <c r="F687" s="32">
        <v>45431</v>
      </c>
      <c r="G687" t="s">
        <v>23</v>
      </c>
      <c r="H687">
        <v>40</v>
      </c>
      <c r="I687" t="str">
        <f>VLOOKUP(B687,товар!$A$1:$C$433,2,FALSE)</f>
        <v>Кофе</v>
      </c>
      <c r="J687" s="22">
        <f t="shared" si="40"/>
        <v>249.02380952380952</v>
      </c>
      <c r="K687" s="24">
        <f t="shared" si="41"/>
        <v>-0.33339707429008503</v>
      </c>
      <c r="L687" t="str">
        <f>VLOOKUP(B687,товар!$A$1:$C$433,3,FALSE)</f>
        <v>Черная Карта</v>
      </c>
      <c r="M687" s="24">
        <f t="shared" si="42"/>
        <v>-0.25292529252925289</v>
      </c>
      <c r="N687" s="29">
        <f t="shared" si="43"/>
        <v>222.2</v>
      </c>
      <c r="O687" s="32">
        <f>VLOOKUP(H687,клиенты!$A$2:$G$435,5,FALSE)</f>
        <v>44855</v>
      </c>
      <c r="P687">
        <f>Продажи[[#This Row],[дата создания чека]]-Продажи[[#This Row],[Дата регистрации клиента]]</f>
        <v>576</v>
      </c>
      <c r="Q687" t="str">
        <f>VLOOKUP(H687,Таблица3[],7,FALSE)</f>
        <v>Россия</v>
      </c>
    </row>
    <row r="688" spans="1:17" x14ac:dyDescent="0.3">
      <c r="A688">
        <v>687</v>
      </c>
      <c r="B688">
        <v>205</v>
      </c>
      <c r="C688">
        <v>156</v>
      </c>
      <c r="D688">
        <v>4</v>
      </c>
      <c r="E688">
        <v>624</v>
      </c>
      <c r="F688" s="32">
        <v>45429</v>
      </c>
      <c r="G688" t="s">
        <v>12</v>
      </c>
      <c r="H688">
        <v>286</v>
      </c>
      <c r="I688" t="str">
        <f>VLOOKUP(B688,товар!$A$1:$C$433,2,FALSE)</f>
        <v>Макароны</v>
      </c>
      <c r="J688" s="22">
        <f t="shared" si="40"/>
        <v>265.47674418604652</v>
      </c>
      <c r="K688" s="24">
        <f t="shared" si="41"/>
        <v>-0.41237790723139589</v>
      </c>
      <c r="L688" t="str">
        <f>VLOOKUP(B688,товар!$A$1:$C$433,3,FALSE)</f>
        <v>Борилла</v>
      </c>
      <c r="M688" s="24">
        <f t="shared" si="42"/>
        <v>-0.33975481611208413</v>
      </c>
      <c r="N688" s="29">
        <f t="shared" si="43"/>
        <v>236.27586206896552</v>
      </c>
      <c r="O688" s="32">
        <f>VLOOKUP(H688,клиенты!$A$2:$G$435,5,FALSE)</f>
        <v>44563</v>
      </c>
      <c r="P688">
        <f>Продажи[[#This Row],[дата создания чека]]-Продажи[[#This Row],[Дата регистрации клиента]]</f>
        <v>866</v>
      </c>
      <c r="Q688" t="str">
        <f>VLOOKUP(H688,Таблица3[],7,FALSE)</f>
        <v>Таджикистан</v>
      </c>
    </row>
    <row r="689" spans="1:17" x14ac:dyDescent="0.3">
      <c r="A689">
        <v>688</v>
      </c>
      <c r="B689">
        <v>187</v>
      </c>
      <c r="C689">
        <v>496</v>
      </c>
      <c r="D689">
        <v>4</v>
      </c>
      <c r="E689">
        <v>1984</v>
      </c>
      <c r="F689" s="32">
        <v>45315</v>
      </c>
      <c r="G689" t="s">
        <v>10</v>
      </c>
      <c r="H689">
        <v>448</v>
      </c>
      <c r="I689" t="str">
        <f>VLOOKUP(B689,товар!$A$1:$C$433,2,FALSE)</f>
        <v>Макароны</v>
      </c>
      <c r="J689" s="22">
        <f t="shared" si="40"/>
        <v>265.47674418604652</v>
      </c>
      <c r="K689" s="24">
        <f t="shared" si="41"/>
        <v>0.86833691034120264</v>
      </c>
      <c r="L689" t="str">
        <f>VLOOKUP(B689,товар!$A$1:$C$433,3,FALSE)</f>
        <v>Паста Зара</v>
      </c>
      <c r="M689" s="24">
        <f t="shared" si="42"/>
        <v>0.79271270880140676</v>
      </c>
      <c r="N689" s="29">
        <f t="shared" si="43"/>
        <v>276.67567567567568</v>
      </c>
      <c r="O689" s="32">
        <f>VLOOKUP(H689,клиенты!$A$2:$G$435,5,FALSE)</f>
        <v>44770</v>
      </c>
      <c r="P689">
        <f>Продажи[[#This Row],[дата создания чека]]-Продажи[[#This Row],[Дата регистрации клиента]]</f>
        <v>545</v>
      </c>
      <c r="Q689" t="str">
        <f>VLOOKUP(H689,Таблица3[],7,FALSE)</f>
        <v>Россия</v>
      </c>
    </row>
    <row r="690" spans="1:17" x14ac:dyDescent="0.3">
      <c r="A690">
        <v>689</v>
      </c>
      <c r="B690">
        <v>194</v>
      </c>
      <c r="C690">
        <v>257</v>
      </c>
      <c r="D690">
        <v>5</v>
      </c>
      <c r="E690">
        <v>1285</v>
      </c>
      <c r="F690" s="32">
        <v>45122</v>
      </c>
      <c r="G690" t="s">
        <v>9</v>
      </c>
      <c r="H690">
        <v>291</v>
      </c>
      <c r="I690" t="str">
        <f>VLOOKUP(B690,товар!$A$1:$C$433,2,FALSE)</f>
        <v>Соль</v>
      </c>
      <c r="J690" s="22">
        <f t="shared" si="40"/>
        <v>264.8679245283019</v>
      </c>
      <c r="K690" s="24">
        <f t="shared" si="41"/>
        <v>-2.9705086194614649E-2</v>
      </c>
      <c r="L690" t="str">
        <f>VLOOKUP(B690,товар!$A$1:$C$433,3,FALSE)</f>
        <v>Салта</v>
      </c>
      <c r="M690" s="24">
        <f t="shared" si="42"/>
        <v>-6.101571063207889E-2</v>
      </c>
      <c r="N690" s="29">
        <f t="shared" si="43"/>
        <v>273.7</v>
      </c>
      <c r="O690" s="32">
        <f>VLOOKUP(H690,клиенты!$A$2:$G$435,5,FALSE)</f>
        <v>44710</v>
      </c>
      <c r="P690">
        <f>Продажи[[#This Row],[дата создания чека]]-Продажи[[#This Row],[Дата регистрации клиента]]</f>
        <v>412</v>
      </c>
      <c r="Q690" t="str">
        <f>VLOOKUP(H690,Таблица3[],7,FALSE)</f>
        <v>Таджикистан</v>
      </c>
    </row>
    <row r="691" spans="1:17" x14ac:dyDescent="0.3">
      <c r="A691">
        <v>690</v>
      </c>
      <c r="B691">
        <v>51</v>
      </c>
      <c r="C691">
        <v>476</v>
      </c>
      <c r="D691">
        <v>2</v>
      </c>
      <c r="E691">
        <v>952</v>
      </c>
      <c r="F691" s="32">
        <v>45020</v>
      </c>
      <c r="G691" t="s">
        <v>26</v>
      </c>
      <c r="H691">
        <v>480</v>
      </c>
      <c r="I691" t="str">
        <f>VLOOKUP(B691,товар!$A$1:$C$433,2,FALSE)</f>
        <v>Колбаса</v>
      </c>
      <c r="J691" s="22">
        <f t="shared" si="40"/>
        <v>286.92307692307691</v>
      </c>
      <c r="K691" s="24">
        <f t="shared" si="41"/>
        <v>0.65898123324396796</v>
      </c>
      <c r="L691" t="str">
        <f>VLOOKUP(B691,товар!$A$1:$C$433,3,FALSE)</f>
        <v>Дымов</v>
      </c>
      <c r="M691" s="24">
        <f t="shared" si="42"/>
        <v>0.52238805970149249</v>
      </c>
      <c r="N691" s="29">
        <f t="shared" si="43"/>
        <v>312.66666666666669</v>
      </c>
      <c r="O691" s="32">
        <f>VLOOKUP(H691,клиенты!$A$2:$G$435,5,FALSE)</f>
        <v>44568</v>
      </c>
      <c r="P691">
        <f>Продажи[[#This Row],[дата создания чека]]-Продажи[[#This Row],[Дата регистрации клиента]]</f>
        <v>452</v>
      </c>
      <c r="Q691" t="str">
        <f>VLOOKUP(H691,Таблица3[],7,FALSE)</f>
        <v>Узбекистан</v>
      </c>
    </row>
    <row r="692" spans="1:17" x14ac:dyDescent="0.3">
      <c r="A692">
        <v>691</v>
      </c>
      <c r="B692">
        <v>80</v>
      </c>
      <c r="C692">
        <v>232</v>
      </c>
      <c r="D692">
        <v>2</v>
      </c>
      <c r="E692">
        <v>464</v>
      </c>
      <c r="F692" s="32">
        <v>45116</v>
      </c>
      <c r="G692" t="s">
        <v>16</v>
      </c>
      <c r="H692">
        <v>418</v>
      </c>
      <c r="I692" t="str">
        <f>VLOOKUP(B692,товар!$A$1:$C$433,2,FALSE)</f>
        <v>Конфеты</v>
      </c>
      <c r="J692" s="22">
        <f t="shared" si="40"/>
        <v>267.85483870967744</v>
      </c>
      <c r="K692" s="24">
        <f t="shared" si="41"/>
        <v>-0.1338592159932559</v>
      </c>
      <c r="L692" t="str">
        <f>VLOOKUP(B692,товар!$A$1:$C$433,3,FALSE)</f>
        <v>Красный Октябрь</v>
      </c>
      <c r="M692" s="24">
        <f t="shared" si="42"/>
        <v>-0.15212425765189586</v>
      </c>
      <c r="N692" s="29">
        <f t="shared" si="43"/>
        <v>273.625</v>
      </c>
      <c r="O692" s="32">
        <f>VLOOKUP(H692,клиенты!$A$2:$G$435,5,FALSE)</f>
        <v>44700</v>
      </c>
      <c r="P692">
        <f>Продажи[[#This Row],[дата создания чека]]-Продажи[[#This Row],[Дата регистрации клиента]]</f>
        <v>416</v>
      </c>
      <c r="Q692" t="str">
        <f>VLOOKUP(H692,Таблица3[],7,FALSE)</f>
        <v>Беларусь</v>
      </c>
    </row>
    <row r="693" spans="1:17" x14ac:dyDescent="0.3">
      <c r="A693">
        <v>692</v>
      </c>
      <c r="B693">
        <v>474</v>
      </c>
      <c r="C693">
        <v>252</v>
      </c>
      <c r="D693">
        <v>3</v>
      </c>
      <c r="E693">
        <v>756</v>
      </c>
      <c r="F693" s="32">
        <v>45425</v>
      </c>
      <c r="G693" t="s">
        <v>13</v>
      </c>
      <c r="H693">
        <v>470</v>
      </c>
      <c r="I693" t="str">
        <f>VLOOKUP(B693,товар!$A$1:$C$433,2,FALSE)</f>
        <v>Молоко</v>
      </c>
      <c r="J693" s="22">
        <f t="shared" si="40"/>
        <v>294.95238095238096</v>
      </c>
      <c r="K693" s="24">
        <f t="shared" si="41"/>
        <v>-0.14562479819179852</v>
      </c>
      <c r="L693" t="str">
        <f>VLOOKUP(B693,товар!$A$1:$C$433,3,FALSE)</f>
        <v>Простоквашино</v>
      </c>
      <c r="M693" s="24">
        <f t="shared" si="42"/>
        <v>-0.20958083832335328</v>
      </c>
      <c r="N693" s="29">
        <f t="shared" si="43"/>
        <v>318.81818181818181</v>
      </c>
      <c r="O693" s="32">
        <f>VLOOKUP(H693,клиенты!$A$2:$G$435,5,FALSE)</f>
        <v>44690</v>
      </c>
      <c r="P693">
        <f>Продажи[[#This Row],[дата создания чека]]-Продажи[[#This Row],[Дата регистрации клиента]]</f>
        <v>735</v>
      </c>
      <c r="Q693" t="str">
        <f>VLOOKUP(H693,Таблица3[],7,FALSE)</f>
        <v>Таджикистан</v>
      </c>
    </row>
    <row r="694" spans="1:17" x14ac:dyDescent="0.3">
      <c r="A694">
        <v>693</v>
      </c>
      <c r="B694">
        <v>215</v>
      </c>
      <c r="C694">
        <v>485</v>
      </c>
      <c r="D694">
        <v>4</v>
      </c>
      <c r="E694">
        <v>1940</v>
      </c>
      <c r="F694" s="32">
        <v>44959</v>
      </c>
      <c r="G694" t="s">
        <v>9</v>
      </c>
      <c r="H694">
        <v>318</v>
      </c>
      <c r="I694" t="str">
        <f>VLOOKUP(B694,товар!$A$1:$C$433,2,FALSE)</f>
        <v>Сок</v>
      </c>
      <c r="J694" s="22">
        <f t="shared" si="40"/>
        <v>268.60344827586209</v>
      </c>
      <c r="K694" s="24">
        <f t="shared" si="41"/>
        <v>0.80563579177097355</v>
      </c>
      <c r="L694" t="str">
        <f>VLOOKUP(B694,товар!$A$1:$C$433,3,FALSE)</f>
        <v>Фруктовый сад</v>
      </c>
      <c r="M694" s="24">
        <f t="shared" si="42"/>
        <v>0.72004876426909004</v>
      </c>
      <c r="N694" s="29">
        <f t="shared" si="43"/>
        <v>281.96875</v>
      </c>
      <c r="O694" s="32">
        <f>VLOOKUP(H694,клиенты!$A$2:$G$435,5,FALSE)</f>
        <v>44892</v>
      </c>
      <c r="P694">
        <f>Продажи[[#This Row],[дата создания чека]]-Продажи[[#This Row],[Дата регистрации клиента]]</f>
        <v>67</v>
      </c>
      <c r="Q694" t="str">
        <f>VLOOKUP(H694,Таблица3[],7,FALSE)</f>
        <v>Узбекистан</v>
      </c>
    </row>
    <row r="695" spans="1:17" x14ac:dyDescent="0.3">
      <c r="A695">
        <v>694</v>
      </c>
      <c r="B695">
        <v>36</v>
      </c>
      <c r="C695">
        <v>150</v>
      </c>
      <c r="D695">
        <v>2</v>
      </c>
      <c r="E695">
        <v>300</v>
      </c>
      <c r="F695" s="32">
        <v>45157</v>
      </c>
      <c r="G695" t="s">
        <v>20</v>
      </c>
      <c r="H695">
        <v>283</v>
      </c>
      <c r="I695" t="str">
        <f>VLOOKUP(B695,товар!$A$1:$C$433,2,FALSE)</f>
        <v>Макароны</v>
      </c>
      <c r="J695" s="22">
        <f t="shared" si="40"/>
        <v>265.47674418604652</v>
      </c>
      <c r="K695" s="24">
        <f t="shared" si="41"/>
        <v>-0.43497875695326527</v>
      </c>
      <c r="L695" t="str">
        <f>VLOOKUP(B695,товар!$A$1:$C$433,3,FALSE)</f>
        <v>Роллтон</v>
      </c>
      <c r="M695" s="24">
        <f t="shared" si="42"/>
        <v>-0.3632075471698113</v>
      </c>
      <c r="N695" s="29">
        <f t="shared" si="43"/>
        <v>235.55555555555554</v>
      </c>
      <c r="O695" s="32">
        <f>VLOOKUP(H695,клиенты!$A$2:$G$435,5,FALSE)</f>
        <v>44889</v>
      </c>
      <c r="P695">
        <f>Продажи[[#This Row],[дата создания чека]]-Продажи[[#This Row],[Дата регистрации клиента]]</f>
        <v>268</v>
      </c>
      <c r="Q695" t="str">
        <f>VLOOKUP(H695,Таблица3[],7,FALSE)</f>
        <v>Таджикистан</v>
      </c>
    </row>
    <row r="696" spans="1:17" x14ac:dyDescent="0.3">
      <c r="A696">
        <v>695</v>
      </c>
      <c r="B696">
        <v>400</v>
      </c>
      <c r="C696">
        <v>474</v>
      </c>
      <c r="D696">
        <v>4</v>
      </c>
      <c r="E696">
        <v>1896</v>
      </c>
      <c r="F696" s="32">
        <v>44992</v>
      </c>
      <c r="G696" t="s">
        <v>17</v>
      </c>
      <c r="H696">
        <v>191</v>
      </c>
      <c r="I696" t="str">
        <f>VLOOKUP(B696,товар!$A$1:$C$433,2,FALSE)</f>
        <v>Молоко</v>
      </c>
      <c r="J696" s="22">
        <f t="shared" si="40"/>
        <v>294.95238095238096</v>
      </c>
      <c r="K696" s="24">
        <f t="shared" si="41"/>
        <v>0.60703907006780744</v>
      </c>
      <c r="L696" t="str">
        <f>VLOOKUP(B696,товар!$A$1:$C$433,3,FALSE)</f>
        <v>Беллакт</v>
      </c>
      <c r="M696" s="24">
        <f t="shared" si="42"/>
        <v>0.46956031567080037</v>
      </c>
      <c r="N696" s="29">
        <f t="shared" si="43"/>
        <v>322.54545454545456</v>
      </c>
      <c r="O696" s="32">
        <f>VLOOKUP(H696,клиенты!$A$2:$G$435,5,FALSE)</f>
        <v>44866</v>
      </c>
      <c r="P696">
        <f>Продажи[[#This Row],[дата создания чека]]-Продажи[[#This Row],[Дата регистрации клиента]]</f>
        <v>126</v>
      </c>
      <c r="Q696" t="str">
        <f>VLOOKUP(H696,Таблица3[],7,FALSE)</f>
        <v>Украина</v>
      </c>
    </row>
    <row r="697" spans="1:17" x14ac:dyDescent="0.3">
      <c r="A697">
        <v>696</v>
      </c>
      <c r="B697">
        <v>80</v>
      </c>
      <c r="C697">
        <v>135</v>
      </c>
      <c r="D697">
        <v>2</v>
      </c>
      <c r="E697">
        <v>270</v>
      </c>
      <c r="F697" s="32">
        <v>45296</v>
      </c>
      <c r="G697" t="s">
        <v>17</v>
      </c>
      <c r="H697">
        <v>123</v>
      </c>
      <c r="I697" t="str">
        <f>VLOOKUP(B697,товар!$A$1:$C$433,2,FALSE)</f>
        <v>Конфеты</v>
      </c>
      <c r="J697" s="22">
        <f t="shared" si="40"/>
        <v>267.85483870967744</v>
      </c>
      <c r="K697" s="24">
        <f t="shared" si="41"/>
        <v>-0.49599566447883425</v>
      </c>
      <c r="L697" t="str">
        <f>VLOOKUP(B697,товар!$A$1:$C$433,3,FALSE)</f>
        <v>Красный Октябрь</v>
      </c>
      <c r="M697" s="24">
        <f t="shared" si="42"/>
        <v>-0.50662402923709449</v>
      </c>
      <c r="N697" s="29">
        <f t="shared" si="43"/>
        <v>273.625</v>
      </c>
      <c r="O697" s="32">
        <f>VLOOKUP(H697,клиенты!$A$2:$G$435,5,FALSE)</f>
        <v>44600</v>
      </c>
      <c r="P697">
        <f>Продажи[[#This Row],[дата создания чека]]-Продажи[[#This Row],[Дата регистрации клиента]]</f>
        <v>696</v>
      </c>
      <c r="Q697" t="str">
        <f>VLOOKUP(H697,Таблица3[],7,FALSE)</f>
        <v>Россия</v>
      </c>
    </row>
    <row r="698" spans="1:17" x14ac:dyDescent="0.3">
      <c r="A698">
        <v>697</v>
      </c>
      <c r="B698">
        <v>413</v>
      </c>
      <c r="C698">
        <v>178</v>
      </c>
      <c r="D698">
        <v>5</v>
      </c>
      <c r="E698">
        <v>890</v>
      </c>
      <c r="F698" s="32">
        <v>45095</v>
      </c>
      <c r="G698" t="s">
        <v>10</v>
      </c>
      <c r="H698">
        <v>380</v>
      </c>
      <c r="I698" t="str">
        <f>VLOOKUP(B698,товар!$A$1:$C$433,2,FALSE)</f>
        <v>Кофе</v>
      </c>
      <c r="J698" s="22">
        <f t="shared" si="40"/>
        <v>249.02380952380952</v>
      </c>
      <c r="K698" s="24">
        <f t="shared" si="41"/>
        <v>-0.28520891098575385</v>
      </c>
      <c r="L698" t="str">
        <f>VLOOKUP(B698,товар!$A$1:$C$433,3,FALSE)</f>
        <v>Jacobs</v>
      </c>
      <c r="M698" s="24">
        <f t="shared" si="42"/>
        <v>-0.35556402439024393</v>
      </c>
      <c r="N698" s="29">
        <f t="shared" si="43"/>
        <v>276.21052631578948</v>
      </c>
      <c r="O698" s="32">
        <f>VLOOKUP(H698,клиенты!$A$2:$G$435,5,FALSE)</f>
        <v>44563</v>
      </c>
      <c r="P698">
        <f>Продажи[[#This Row],[дата создания чека]]-Продажи[[#This Row],[Дата регистрации клиента]]</f>
        <v>532</v>
      </c>
      <c r="Q698" t="str">
        <f>VLOOKUP(H698,Таблица3[],7,FALSE)</f>
        <v>Россия</v>
      </c>
    </row>
    <row r="699" spans="1:17" x14ac:dyDescent="0.3">
      <c r="A699">
        <v>698</v>
      </c>
      <c r="B699">
        <v>10</v>
      </c>
      <c r="C699">
        <v>112</v>
      </c>
      <c r="D699">
        <v>3</v>
      </c>
      <c r="E699">
        <v>336</v>
      </c>
      <c r="F699" s="32">
        <v>45350</v>
      </c>
      <c r="G699" t="s">
        <v>10</v>
      </c>
      <c r="H699">
        <v>442</v>
      </c>
      <c r="I699" t="str">
        <f>VLOOKUP(B699,товар!$A$1:$C$433,2,FALSE)</f>
        <v>Сок</v>
      </c>
      <c r="J699" s="22">
        <f t="shared" si="40"/>
        <v>268.60344827586209</v>
      </c>
      <c r="K699" s="24">
        <f t="shared" si="41"/>
        <v>-0.58302843571474416</v>
      </c>
      <c r="L699" t="str">
        <f>VLOOKUP(B699,товар!$A$1:$C$433,3,FALSE)</f>
        <v>Фруктовый сад</v>
      </c>
      <c r="M699" s="24">
        <f t="shared" si="42"/>
        <v>-0.60279286268425136</v>
      </c>
      <c r="N699" s="29">
        <f t="shared" si="43"/>
        <v>281.96875</v>
      </c>
      <c r="O699" s="32">
        <f>VLOOKUP(H699,клиенты!$A$2:$G$435,5,FALSE)</f>
        <v>44746</v>
      </c>
      <c r="P699">
        <f>Продажи[[#This Row],[дата создания чека]]-Продажи[[#This Row],[Дата регистрации клиента]]</f>
        <v>604</v>
      </c>
      <c r="Q699" t="str">
        <f>VLOOKUP(H699,Таблица3[],7,FALSE)</f>
        <v>Таджикистан</v>
      </c>
    </row>
    <row r="700" spans="1:17" x14ac:dyDescent="0.3">
      <c r="A700">
        <v>699</v>
      </c>
      <c r="B700">
        <v>14</v>
      </c>
      <c r="C700">
        <v>338</v>
      </c>
      <c r="D700">
        <v>4</v>
      </c>
      <c r="E700">
        <v>1352</v>
      </c>
      <c r="F700" s="32">
        <v>44964</v>
      </c>
      <c r="G700" t="s">
        <v>13</v>
      </c>
      <c r="H700">
        <v>218</v>
      </c>
      <c r="I700" t="str">
        <f>VLOOKUP(B700,товар!$A$1:$C$433,2,FALSE)</f>
        <v>Сок</v>
      </c>
      <c r="J700" s="22">
        <f t="shared" si="40"/>
        <v>268.60344827586209</v>
      </c>
      <c r="K700" s="24">
        <f t="shared" si="41"/>
        <v>0.25836061364657548</v>
      </c>
      <c r="L700" t="str">
        <f>VLOOKUP(B700,товар!$A$1:$C$433,3,FALSE)</f>
        <v>Rich</v>
      </c>
      <c r="M700" s="24">
        <f t="shared" si="42"/>
        <v>0.24150596877869601</v>
      </c>
      <c r="N700" s="29">
        <f t="shared" si="43"/>
        <v>272.25</v>
      </c>
      <c r="O700" s="32">
        <f>VLOOKUP(H700,клиенты!$A$2:$G$435,5,FALSE)</f>
        <v>44721</v>
      </c>
      <c r="P700">
        <f>Продажи[[#This Row],[дата создания чека]]-Продажи[[#This Row],[Дата регистрации клиента]]</f>
        <v>243</v>
      </c>
      <c r="Q700" t="str">
        <f>VLOOKUP(H700,Таблица3[],7,FALSE)</f>
        <v>Узбекистан</v>
      </c>
    </row>
    <row r="701" spans="1:17" x14ac:dyDescent="0.3">
      <c r="A701">
        <v>700</v>
      </c>
      <c r="B701">
        <v>423</v>
      </c>
      <c r="C701">
        <v>277</v>
      </c>
      <c r="D701">
        <v>5</v>
      </c>
      <c r="E701">
        <v>1385</v>
      </c>
      <c r="F701" s="32">
        <v>45143</v>
      </c>
      <c r="G701" t="s">
        <v>12</v>
      </c>
      <c r="H701">
        <v>331</v>
      </c>
      <c r="I701" t="str">
        <f>VLOOKUP(B701,товар!$A$1:$C$433,2,FALSE)</f>
        <v>Чипсы</v>
      </c>
      <c r="J701" s="22">
        <f t="shared" si="40"/>
        <v>273.72549019607845</v>
      </c>
      <c r="K701" s="24">
        <f t="shared" si="41"/>
        <v>1.1962750716332238E-2</v>
      </c>
      <c r="L701" t="str">
        <f>VLOOKUP(B701,товар!$A$1:$C$433,3,FALSE)</f>
        <v>Pringles</v>
      </c>
      <c r="M701" s="24">
        <f t="shared" si="42"/>
        <v>-1.1554800339847127E-2</v>
      </c>
      <c r="N701" s="29">
        <f t="shared" si="43"/>
        <v>280.23809523809524</v>
      </c>
      <c r="O701" s="32">
        <f>VLOOKUP(H701,клиенты!$A$2:$G$435,5,FALSE)</f>
        <v>44813</v>
      </c>
      <c r="P701">
        <f>Продажи[[#This Row],[дата создания чека]]-Продажи[[#This Row],[Дата регистрации клиента]]</f>
        <v>330</v>
      </c>
      <c r="Q701" t="str">
        <f>VLOOKUP(H701,Таблица3[],7,FALSE)</f>
        <v>Узбекистан</v>
      </c>
    </row>
    <row r="702" spans="1:17" x14ac:dyDescent="0.3">
      <c r="A702">
        <v>701</v>
      </c>
      <c r="B702">
        <v>138</v>
      </c>
      <c r="C702">
        <v>427</v>
      </c>
      <c r="D702">
        <v>5</v>
      </c>
      <c r="E702">
        <v>2135</v>
      </c>
      <c r="F702" s="32">
        <v>45145</v>
      </c>
      <c r="G702" t="s">
        <v>12</v>
      </c>
      <c r="H702">
        <v>196</v>
      </c>
      <c r="I702" t="str">
        <f>VLOOKUP(B702,товар!$A$1:$C$433,2,FALSE)</f>
        <v>Сыр</v>
      </c>
      <c r="J702" s="22">
        <f t="shared" si="40"/>
        <v>262.63492063492066</v>
      </c>
      <c r="K702" s="24">
        <f t="shared" si="41"/>
        <v>0.62583101655989348</v>
      </c>
      <c r="L702" t="str">
        <f>VLOOKUP(B702,товар!$A$1:$C$433,3,FALSE)</f>
        <v>Сырная долина</v>
      </c>
      <c r="M702" s="24">
        <f t="shared" si="42"/>
        <v>0.57564575645756455</v>
      </c>
      <c r="N702" s="29">
        <f t="shared" si="43"/>
        <v>271</v>
      </c>
      <c r="O702" s="32">
        <f>VLOOKUP(H702,клиенты!$A$2:$G$435,5,FALSE)</f>
        <v>44835</v>
      </c>
      <c r="P702">
        <f>Продажи[[#This Row],[дата создания чека]]-Продажи[[#This Row],[Дата регистрации клиента]]</f>
        <v>310</v>
      </c>
      <c r="Q702" t="str">
        <f>VLOOKUP(H702,Таблица3[],7,FALSE)</f>
        <v>Россия</v>
      </c>
    </row>
    <row r="703" spans="1:17" x14ac:dyDescent="0.3">
      <c r="A703">
        <v>702</v>
      </c>
      <c r="B703">
        <v>498</v>
      </c>
      <c r="C703">
        <v>169</v>
      </c>
      <c r="D703">
        <v>4</v>
      </c>
      <c r="E703">
        <v>676</v>
      </c>
      <c r="F703" s="32">
        <v>45129</v>
      </c>
      <c r="G703" t="s">
        <v>25</v>
      </c>
      <c r="H703">
        <v>36</v>
      </c>
      <c r="I703" t="str">
        <f>VLOOKUP(B703,товар!$A$1:$C$433,2,FALSE)</f>
        <v>Молоко</v>
      </c>
      <c r="J703" s="22">
        <f t="shared" si="40"/>
        <v>294.95238095238096</v>
      </c>
      <c r="K703" s="24">
        <f t="shared" si="41"/>
        <v>-0.42702615434291247</v>
      </c>
      <c r="L703" t="str">
        <f>VLOOKUP(B703,товар!$A$1:$C$433,3,FALSE)</f>
        <v>Домик в деревне</v>
      </c>
      <c r="M703" s="24">
        <f t="shared" si="42"/>
        <v>-0.38495754144763439</v>
      </c>
      <c r="N703" s="29">
        <f t="shared" si="43"/>
        <v>274.77777777777777</v>
      </c>
      <c r="O703" s="32">
        <f>VLOOKUP(H703,клиенты!$A$2:$G$435,5,FALSE)</f>
        <v>44700</v>
      </c>
      <c r="P703">
        <f>Продажи[[#This Row],[дата создания чека]]-Продажи[[#This Row],[Дата регистрации клиента]]</f>
        <v>429</v>
      </c>
      <c r="Q703" t="str">
        <f>VLOOKUP(H703,Таблица3[],7,FALSE)</f>
        <v>Россия</v>
      </c>
    </row>
    <row r="704" spans="1:17" x14ac:dyDescent="0.3">
      <c r="A704">
        <v>703</v>
      </c>
      <c r="B704">
        <v>46</v>
      </c>
      <c r="C704">
        <v>228</v>
      </c>
      <c r="D704">
        <v>5</v>
      </c>
      <c r="E704">
        <v>1140</v>
      </c>
      <c r="F704" s="32">
        <v>45017</v>
      </c>
      <c r="G704" t="s">
        <v>11</v>
      </c>
      <c r="H704">
        <v>272</v>
      </c>
      <c r="I704" t="str">
        <f>VLOOKUP(B704,товар!$A$1:$C$433,2,FALSE)</f>
        <v>Йогурт</v>
      </c>
      <c r="J704" s="22">
        <f t="shared" si="40"/>
        <v>263.25423728813558</v>
      </c>
      <c r="K704" s="24">
        <f t="shared" si="41"/>
        <v>-0.13391707442698941</v>
      </c>
      <c r="L704" t="str">
        <f>VLOOKUP(B704,товар!$A$1:$C$433,3,FALSE)</f>
        <v>Активиа</v>
      </c>
      <c r="M704" s="24">
        <f t="shared" si="42"/>
        <v>-0.22360953461975031</v>
      </c>
      <c r="N704" s="29">
        <f t="shared" si="43"/>
        <v>293.66666666666669</v>
      </c>
      <c r="O704" s="32">
        <f>VLOOKUP(H704,клиенты!$A$2:$G$435,5,FALSE)</f>
        <v>44668</v>
      </c>
      <c r="P704">
        <f>Продажи[[#This Row],[дата создания чека]]-Продажи[[#This Row],[Дата регистрации клиента]]</f>
        <v>349</v>
      </c>
      <c r="Q704" t="str">
        <f>VLOOKUP(H704,Таблица3[],7,FALSE)</f>
        <v>Таджикистан</v>
      </c>
    </row>
    <row r="705" spans="1:17" x14ac:dyDescent="0.3">
      <c r="A705">
        <v>704</v>
      </c>
      <c r="B705">
        <v>1</v>
      </c>
      <c r="C705">
        <v>322</v>
      </c>
      <c r="D705">
        <v>2</v>
      </c>
      <c r="E705">
        <v>644</v>
      </c>
      <c r="F705" s="32">
        <v>45422</v>
      </c>
      <c r="G705" t="s">
        <v>23</v>
      </c>
      <c r="H705">
        <v>22</v>
      </c>
      <c r="I705" t="str">
        <f>VLOOKUP(B705,товар!$A$1:$C$433,2,FALSE)</f>
        <v>Крупа</v>
      </c>
      <c r="J705" s="22">
        <f t="shared" si="40"/>
        <v>255.11627906976744</v>
      </c>
      <c r="K705" s="24">
        <f t="shared" si="41"/>
        <v>0.26216955332725611</v>
      </c>
      <c r="L705" t="str">
        <f>VLOOKUP(B705,товар!$A$1:$C$433,3,FALSE)</f>
        <v>Ярмарка</v>
      </c>
      <c r="M705" s="24">
        <f t="shared" si="42"/>
        <v>0.27731698521456916</v>
      </c>
      <c r="N705" s="29">
        <f t="shared" si="43"/>
        <v>252.09090909090909</v>
      </c>
      <c r="O705" s="32">
        <f>VLOOKUP(H705,клиенты!$A$2:$G$435,5,FALSE)</f>
        <v>44870</v>
      </c>
      <c r="P705">
        <f>Продажи[[#This Row],[дата создания чека]]-Продажи[[#This Row],[Дата регистрации клиента]]</f>
        <v>552</v>
      </c>
      <c r="Q705" t="str">
        <f>VLOOKUP(H705,Таблица3[],7,FALSE)</f>
        <v>Беларусь</v>
      </c>
    </row>
    <row r="706" spans="1:17" x14ac:dyDescent="0.3">
      <c r="A706">
        <v>705</v>
      </c>
      <c r="B706">
        <v>478</v>
      </c>
      <c r="C706">
        <v>342</v>
      </c>
      <c r="D706">
        <v>3</v>
      </c>
      <c r="E706">
        <v>1026</v>
      </c>
      <c r="F706" s="32">
        <v>45037</v>
      </c>
      <c r="G706" t="s">
        <v>14</v>
      </c>
      <c r="H706">
        <v>360</v>
      </c>
      <c r="I706" t="str">
        <f>VLOOKUP(B706,товар!$A$1:$C$433,2,FALSE)</f>
        <v>Конфеты</v>
      </c>
      <c r="J706" s="22">
        <f t="shared" ref="J706:J769" si="44">AVERAGEIF($I$2:$I$1001,I706,$C$2:$C$1001)</f>
        <v>267.85483870967744</v>
      </c>
      <c r="K706" s="24">
        <f t="shared" ref="K706:K769" si="45">C706/J706-1</f>
        <v>0.27681098332028653</v>
      </c>
      <c r="L706" t="str">
        <f>VLOOKUP(B706,товар!$A$1:$C$433,3,FALSE)</f>
        <v>Рот Фронт</v>
      </c>
      <c r="M706" s="24">
        <f t="shared" ref="M706:M769" si="46">C706/N706-1</f>
        <v>0.18651908144721618</v>
      </c>
      <c r="N706" s="29">
        <f t="shared" ref="N706:N769" si="47">AVERAGEIFS($C$2:$C$1001,$I$2:$I$1001,I706,$L$2:$L$1001,L706)</f>
        <v>288.23809523809524</v>
      </c>
      <c r="O706" s="32">
        <f>VLOOKUP(H706,клиенты!$A$2:$G$435,5,FALSE)</f>
        <v>44728</v>
      </c>
      <c r="P706">
        <f>Продажи[[#This Row],[дата создания чека]]-Продажи[[#This Row],[Дата регистрации клиента]]</f>
        <v>309</v>
      </c>
      <c r="Q706" t="str">
        <f>VLOOKUP(H706,Таблица3[],7,FALSE)</f>
        <v>Беларусь</v>
      </c>
    </row>
    <row r="707" spans="1:17" x14ac:dyDescent="0.3">
      <c r="A707">
        <v>706</v>
      </c>
      <c r="B707">
        <v>444</v>
      </c>
      <c r="C707">
        <v>315</v>
      </c>
      <c r="D707">
        <v>4</v>
      </c>
      <c r="E707">
        <v>1260</v>
      </c>
      <c r="F707" s="32">
        <v>45041</v>
      </c>
      <c r="G707" t="s">
        <v>12</v>
      </c>
      <c r="H707">
        <v>414</v>
      </c>
      <c r="I707" t="str">
        <f>VLOOKUP(B707,товар!$A$1:$C$433,2,FALSE)</f>
        <v>Йогурт</v>
      </c>
      <c r="J707" s="22">
        <f t="shared" si="44"/>
        <v>263.25423728813558</v>
      </c>
      <c r="K707" s="24">
        <f t="shared" si="45"/>
        <v>0.19656193664692245</v>
      </c>
      <c r="L707" t="str">
        <f>VLOOKUP(B707,товар!$A$1:$C$433,3,FALSE)</f>
        <v>Эрманн</v>
      </c>
      <c r="M707" s="24">
        <f t="shared" si="46"/>
        <v>0.26760563380281699</v>
      </c>
      <c r="N707" s="29">
        <f t="shared" si="47"/>
        <v>248.5</v>
      </c>
      <c r="O707" s="32">
        <f>VLOOKUP(H707,клиенты!$A$2:$G$435,5,FALSE)</f>
        <v>44794</v>
      </c>
      <c r="P707">
        <f>Продажи[[#This Row],[дата создания чека]]-Продажи[[#This Row],[Дата регистрации клиента]]</f>
        <v>247</v>
      </c>
      <c r="Q707" t="str">
        <f>VLOOKUP(H707,Таблица3[],7,FALSE)</f>
        <v>Беларусь</v>
      </c>
    </row>
    <row r="708" spans="1:17" x14ac:dyDescent="0.3">
      <c r="A708">
        <v>707</v>
      </c>
      <c r="B708">
        <v>110</v>
      </c>
      <c r="C708">
        <v>473</v>
      </c>
      <c r="D708">
        <v>2</v>
      </c>
      <c r="E708">
        <v>946</v>
      </c>
      <c r="F708" s="32">
        <v>45373</v>
      </c>
      <c r="G708" t="s">
        <v>25</v>
      </c>
      <c r="H708">
        <v>152</v>
      </c>
      <c r="I708" t="str">
        <f>VLOOKUP(B708,товар!$A$1:$C$433,2,FALSE)</f>
        <v>Макароны</v>
      </c>
      <c r="J708" s="22">
        <f t="shared" si="44"/>
        <v>265.47674418604652</v>
      </c>
      <c r="K708" s="24">
        <f t="shared" si="45"/>
        <v>0.78170031974070331</v>
      </c>
      <c r="L708" t="str">
        <f>VLOOKUP(B708,товар!$A$1:$C$433,3,FALSE)</f>
        <v>Паста Зара</v>
      </c>
      <c r="M708" s="24">
        <f t="shared" si="46"/>
        <v>0.7095828856110189</v>
      </c>
      <c r="N708" s="29">
        <f t="shared" si="47"/>
        <v>276.67567567567568</v>
      </c>
      <c r="O708" s="32">
        <f>VLOOKUP(H708,клиенты!$A$2:$G$435,5,FALSE)</f>
        <v>44791</v>
      </c>
      <c r="P708">
        <f>Продажи[[#This Row],[дата создания чека]]-Продажи[[#This Row],[Дата регистрации клиента]]</f>
        <v>582</v>
      </c>
      <c r="Q708" t="str">
        <f>VLOOKUP(H708,Таблица3[],7,FALSE)</f>
        <v>Беларусь</v>
      </c>
    </row>
    <row r="709" spans="1:17" x14ac:dyDescent="0.3">
      <c r="A709">
        <v>708</v>
      </c>
      <c r="B709">
        <v>191</v>
      </c>
      <c r="C709">
        <v>248</v>
      </c>
      <c r="D709">
        <v>2</v>
      </c>
      <c r="E709">
        <v>496</v>
      </c>
      <c r="F709" s="32">
        <v>45148</v>
      </c>
      <c r="G709" t="s">
        <v>19</v>
      </c>
      <c r="H709">
        <v>177</v>
      </c>
      <c r="I709" t="str">
        <f>VLOOKUP(B709,товар!$A$1:$C$433,2,FALSE)</f>
        <v>Колбаса</v>
      </c>
      <c r="J709" s="22">
        <f t="shared" si="44"/>
        <v>286.92307692307691</v>
      </c>
      <c r="K709" s="24">
        <f t="shared" si="45"/>
        <v>-0.13565683646112592</v>
      </c>
      <c r="L709" t="str">
        <f>VLOOKUP(B709,товар!$A$1:$C$433,3,FALSE)</f>
        <v>Окраина</v>
      </c>
      <c r="M709" s="24">
        <f t="shared" si="46"/>
        <v>-9.3512031678342877E-2</v>
      </c>
      <c r="N709" s="29">
        <f t="shared" si="47"/>
        <v>273.58333333333331</v>
      </c>
      <c r="O709" s="32">
        <f>VLOOKUP(H709,клиенты!$A$2:$G$435,5,FALSE)</f>
        <v>44857</v>
      </c>
      <c r="P709">
        <f>Продажи[[#This Row],[дата создания чека]]-Продажи[[#This Row],[Дата регистрации клиента]]</f>
        <v>291</v>
      </c>
      <c r="Q709" t="str">
        <f>VLOOKUP(H709,Таблица3[],7,FALSE)</f>
        <v>Таджикистан</v>
      </c>
    </row>
    <row r="710" spans="1:17" x14ac:dyDescent="0.3">
      <c r="A710">
        <v>709</v>
      </c>
      <c r="B710">
        <v>198</v>
      </c>
      <c r="C710">
        <v>335</v>
      </c>
      <c r="D710">
        <v>3</v>
      </c>
      <c r="E710">
        <v>1005</v>
      </c>
      <c r="F710" s="32">
        <v>45164</v>
      </c>
      <c r="G710" t="s">
        <v>18</v>
      </c>
      <c r="H710">
        <v>111</v>
      </c>
      <c r="I710" t="str">
        <f>VLOOKUP(B710,товар!$A$1:$C$433,2,FALSE)</f>
        <v>Мясо</v>
      </c>
      <c r="J710" s="22">
        <f t="shared" si="44"/>
        <v>271.74545454545455</v>
      </c>
      <c r="K710" s="24">
        <f t="shared" si="45"/>
        <v>0.23277131004951146</v>
      </c>
      <c r="L710" t="str">
        <f>VLOOKUP(B710,товар!$A$1:$C$433,3,FALSE)</f>
        <v>Мираторг</v>
      </c>
      <c r="M710" s="24">
        <f t="shared" si="46"/>
        <v>5.8173203474598534E-2</v>
      </c>
      <c r="N710" s="29">
        <f t="shared" si="47"/>
        <v>316.58333333333331</v>
      </c>
      <c r="O710" s="32">
        <f>VLOOKUP(H710,клиенты!$A$2:$G$435,5,FALSE)</f>
        <v>44804</v>
      </c>
      <c r="P710">
        <f>Продажи[[#This Row],[дата создания чека]]-Продажи[[#This Row],[Дата регистрации клиента]]</f>
        <v>360</v>
      </c>
      <c r="Q710" t="str">
        <f>VLOOKUP(H710,Таблица3[],7,FALSE)</f>
        <v>Узбекистан</v>
      </c>
    </row>
    <row r="711" spans="1:17" x14ac:dyDescent="0.3">
      <c r="A711">
        <v>710</v>
      </c>
      <c r="B711">
        <v>93</v>
      </c>
      <c r="C711">
        <v>343</v>
      </c>
      <c r="D711">
        <v>3</v>
      </c>
      <c r="E711">
        <v>1029</v>
      </c>
      <c r="F711" s="32">
        <v>44930</v>
      </c>
      <c r="G711" t="s">
        <v>26</v>
      </c>
      <c r="H711">
        <v>281</v>
      </c>
      <c r="I711" t="str">
        <f>VLOOKUP(B711,товар!$A$1:$C$433,2,FALSE)</f>
        <v>Чай</v>
      </c>
      <c r="J711" s="22">
        <f t="shared" si="44"/>
        <v>271.18181818181819</v>
      </c>
      <c r="K711" s="24">
        <f t="shared" si="45"/>
        <v>0.26483405967147156</v>
      </c>
      <c r="L711" t="str">
        <f>VLOOKUP(B711,товар!$A$1:$C$433,3,FALSE)</f>
        <v>Greenfield</v>
      </c>
      <c r="M711" s="24">
        <f t="shared" si="46"/>
        <v>0.17685589519650668</v>
      </c>
      <c r="N711" s="29">
        <f t="shared" si="47"/>
        <v>291.45454545454544</v>
      </c>
      <c r="O711" s="32">
        <f>VLOOKUP(H711,клиенты!$A$2:$G$435,5,FALSE)</f>
        <v>44711</v>
      </c>
      <c r="P711">
        <f>Продажи[[#This Row],[дата создания чека]]-Продажи[[#This Row],[Дата регистрации клиента]]</f>
        <v>219</v>
      </c>
      <c r="Q711" t="str">
        <f>VLOOKUP(H711,Таблица3[],7,FALSE)</f>
        <v>Узбекистан</v>
      </c>
    </row>
    <row r="712" spans="1:17" x14ac:dyDescent="0.3">
      <c r="A712">
        <v>711</v>
      </c>
      <c r="B712">
        <v>385</v>
      </c>
      <c r="C712">
        <v>309</v>
      </c>
      <c r="D712">
        <v>1</v>
      </c>
      <c r="E712">
        <v>309</v>
      </c>
      <c r="F712" s="32">
        <v>45100</v>
      </c>
      <c r="G712" t="s">
        <v>14</v>
      </c>
      <c r="H712">
        <v>177</v>
      </c>
      <c r="I712" t="str">
        <f>VLOOKUP(B712,товар!$A$1:$C$433,2,FALSE)</f>
        <v>Макароны</v>
      </c>
      <c r="J712" s="22">
        <f t="shared" si="44"/>
        <v>265.47674418604652</v>
      </c>
      <c r="K712" s="24">
        <f t="shared" si="45"/>
        <v>0.16394376067627348</v>
      </c>
      <c r="L712" t="str">
        <f>VLOOKUP(B712,товар!$A$1:$C$433,3,FALSE)</f>
        <v>Макфа</v>
      </c>
      <c r="M712" s="24">
        <f t="shared" si="46"/>
        <v>-6.1568194367752516E-2</v>
      </c>
      <c r="N712" s="29">
        <f t="shared" si="47"/>
        <v>329.27272727272725</v>
      </c>
      <c r="O712" s="32">
        <f>VLOOKUP(H712,клиенты!$A$2:$G$435,5,FALSE)</f>
        <v>44857</v>
      </c>
      <c r="P712">
        <f>Продажи[[#This Row],[дата создания чека]]-Продажи[[#This Row],[Дата регистрации клиента]]</f>
        <v>243</v>
      </c>
      <c r="Q712" t="str">
        <f>VLOOKUP(H712,Таблица3[],7,FALSE)</f>
        <v>Таджикистан</v>
      </c>
    </row>
    <row r="713" spans="1:17" x14ac:dyDescent="0.3">
      <c r="A713">
        <v>712</v>
      </c>
      <c r="B713">
        <v>456</v>
      </c>
      <c r="C713">
        <v>196</v>
      </c>
      <c r="D713">
        <v>4</v>
      </c>
      <c r="E713">
        <v>784</v>
      </c>
      <c r="F713" s="32">
        <v>45006</v>
      </c>
      <c r="G713" t="s">
        <v>12</v>
      </c>
      <c r="H713">
        <v>446</v>
      </c>
      <c r="I713" t="str">
        <f>VLOOKUP(B713,товар!$A$1:$C$433,2,FALSE)</f>
        <v>Колбаса</v>
      </c>
      <c r="J713" s="22">
        <f t="shared" si="44"/>
        <v>286.92307692307691</v>
      </c>
      <c r="K713" s="24">
        <f t="shared" si="45"/>
        <v>-0.31689008042895439</v>
      </c>
      <c r="L713" t="str">
        <f>VLOOKUP(B713,товар!$A$1:$C$433,3,FALSE)</f>
        <v>Окраина</v>
      </c>
      <c r="M713" s="24">
        <f t="shared" si="46"/>
        <v>-0.28358208955223874</v>
      </c>
      <c r="N713" s="29">
        <f t="shared" si="47"/>
        <v>273.58333333333331</v>
      </c>
      <c r="O713" s="32">
        <f>VLOOKUP(H713,клиенты!$A$2:$G$435,5,FALSE)</f>
        <v>44671</v>
      </c>
      <c r="P713">
        <f>Продажи[[#This Row],[дата создания чека]]-Продажи[[#This Row],[Дата регистрации клиента]]</f>
        <v>335</v>
      </c>
      <c r="Q713" t="str">
        <f>VLOOKUP(H713,Таблица3[],7,FALSE)</f>
        <v>Таджикистан</v>
      </c>
    </row>
    <row r="714" spans="1:17" x14ac:dyDescent="0.3">
      <c r="A714">
        <v>713</v>
      </c>
      <c r="B714">
        <v>147</v>
      </c>
      <c r="C714">
        <v>258</v>
      </c>
      <c r="D714">
        <v>5</v>
      </c>
      <c r="E714">
        <v>1290</v>
      </c>
      <c r="F714" s="32">
        <v>45356</v>
      </c>
      <c r="G714" t="s">
        <v>11</v>
      </c>
      <c r="H714">
        <v>202</v>
      </c>
      <c r="I714" t="str">
        <f>VLOOKUP(B714,товар!$A$1:$C$433,2,FALSE)</f>
        <v>Конфеты</v>
      </c>
      <c r="J714" s="22">
        <f t="shared" si="44"/>
        <v>267.85483870967744</v>
      </c>
      <c r="K714" s="24">
        <f t="shared" si="45"/>
        <v>-3.6791714337327752E-2</v>
      </c>
      <c r="L714" t="str">
        <f>VLOOKUP(B714,товар!$A$1:$C$433,3,FALSE)</f>
        <v>Бабаевский</v>
      </c>
      <c r="M714" s="24">
        <f t="shared" si="46"/>
        <v>3.0930886488086395E-2</v>
      </c>
      <c r="N714" s="29">
        <f t="shared" si="47"/>
        <v>250.25925925925927</v>
      </c>
      <c r="O714" s="32">
        <f>VLOOKUP(H714,клиенты!$A$2:$G$435,5,FALSE)</f>
        <v>44766</v>
      </c>
      <c r="P714">
        <f>Продажи[[#This Row],[дата создания чека]]-Продажи[[#This Row],[Дата регистрации клиента]]</f>
        <v>590</v>
      </c>
      <c r="Q714" t="str">
        <f>VLOOKUP(H714,Таблица3[],7,FALSE)</f>
        <v>Беларусь</v>
      </c>
    </row>
    <row r="715" spans="1:17" x14ac:dyDescent="0.3">
      <c r="A715">
        <v>714</v>
      </c>
      <c r="B715">
        <v>47</v>
      </c>
      <c r="C715">
        <v>496</v>
      </c>
      <c r="D715">
        <v>2</v>
      </c>
      <c r="E715">
        <v>992</v>
      </c>
      <c r="F715" s="32">
        <v>45196</v>
      </c>
      <c r="G715" t="s">
        <v>10</v>
      </c>
      <c r="H715">
        <v>140</v>
      </c>
      <c r="I715" t="str">
        <f>VLOOKUP(B715,товар!$A$1:$C$433,2,FALSE)</f>
        <v>Мясо</v>
      </c>
      <c r="J715" s="22">
        <f t="shared" si="44"/>
        <v>271.74545454545455</v>
      </c>
      <c r="K715" s="24">
        <f t="shared" si="45"/>
        <v>0.82523752174494835</v>
      </c>
      <c r="L715" t="str">
        <f>VLOOKUP(B715,товар!$A$1:$C$433,3,FALSE)</f>
        <v>Снежана</v>
      </c>
      <c r="M715" s="24">
        <f t="shared" si="46"/>
        <v>0.8211663066954642</v>
      </c>
      <c r="N715" s="29">
        <f t="shared" si="47"/>
        <v>272.35294117647061</v>
      </c>
      <c r="O715" s="32">
        <f>VLOOKUP(H715,клиенты!$A$2:$G$435,5,FALSE)</f>
        <v>44627</v>
      </c>
      <c r="P715">
        <f>Продажи[[#This Row],[дата создания чека]]-Продажи[[#This Row],[Дата регистрации клиента]]</f>
        <v>569</v>
      </c>
      <c r="Q715" t="str">
        <f>VLOOKUP(H715,Таблица3[],7,FALSE)</f>
        <v>Россия</v>
      </c>
    </row>
    <row r="716" spans="1:17" x14ac:dyDescent="0.3">
      <c r="A716">
        <v>715</v>
      </c>
      <c r="B716">
        <v>369</v>
      </c>
      <c r="C716">
        <v>202</v>
      </c>
      <c r="D716">
        <v>5</v>
      </c>
      <c r="E716">
        <v>1010</v>
      </c>
      <c r="F716" s="32">
        <v>45100</v>
      </c>
      <c r="G716" t="s">
        <v>21</v>
      </c>
      <c r="H716">
        <v>321</v>
      </c>
      <c r="I716" t="str">
        <f>VLOOKUP(B716,товар!$A$1:$C$433,2,FALSE)</f>
        <v>Молоко</v>
      </c>
      <c r="J716" s="22">
        <f t="shared" si="44"/>
        <v>294.95238095238096</v>
      </c>
      <c r="K716" s="24">
        <f t="shared" si="45"/>
        <v>-0.31514368743945753</v>
      </c>
      <c r="L716" t="str">
        <f>VLOOKUP(B716,товар!$A$1:$C$433,3,FALSE)</f>
        <v>Домик в деревне</v>
      </c>
      <c r="M716" s="24">
        <f t="shared" si="46"/>
        <v>-0.2648604933279417</v>
      </c>
      <c r="N716" s="29">
        <f t="shared" si="47"/>
        <v>274.77777777777777</v>
      </c>
      <c r="O716" s="32">
        <f>VLOOKUP(H716,клиенты!$A$2:$G$435,5,FALSE)</f>
        <v>44756</v>
      </c>
      <c r="P716">
        <f>Продажи[[#This Row],[дата создания чека]]-Продажи[[#This Row],[Дата регистрации клиента]]</f>
        <v>344</v>
      </c>
      <c r="Q716" t="str">
        <f>VLOOKUP(H716,Таблица3[],7,FALSE)</f>
        <v>Таджикистан</v>
      </c>
    </row>
    <row r="717" spans="1:17" x14ac:dyDescent="0.3">
      <c r="A717">
        <v>716</v>
      </c>
      <c r="B717">
        <v>296</v>
      </c>
      <c r="C717">
        <v>155</v>
      </c>
      <c r="D717">
        <v>1</v>
      </c>
      <c r="E717">
        <v>155</v>
      </c>
      <c r="F717" s="32">
        <v>45349</v>
      </c>
      <c r="G717" t="s">
        <v>26</v>
      </c>
      <c r="H717">
        <v>188</v>
      </c>
      <c r="I717" t="str">
        <f>VLOOKUP(B717,товар!$A$1:$C$433,2,FALSE)</f>
        <v>Крупа</v>
      </c>
      <c r="J717" s="22">
        <f t="shared" si="44"/>
        <v>255.11627906976744</v>
      </c>
      <c r="K717" s="24">
        <f t="shared" si="45"/>
        <v>-0.39243391066545119</v>
      </c>
      <c r="L717" t="str">
        <f>VLOOKUP(B717,товар!$A$1:$C$433,3,FALSE)</f>
        <v>Мистраль</v>
      </c>
      <c r="M717" s="24">
        <f t="shared" si="46"/>
        <v>-0.38076213890596189</v>
      </c>
      <c r="N717" s="29">
        <f t="shared" si="47"/>
        <v>250.30769230769232</v>
      </c>
      <c r="O717" s="32">
        <f>VLOOKUP(H717,клиенты!$A$2:$G$435,5,FALSE)</f>
        <v>44801</v>
      </c>
      <c r="P717">
        <f>Продажи[[#This Row],[дата создания чека]]-Продажи[[#This Row],[Дата регистрации клиента]]</f>
        <v>548</v>
      </c>
      <c r="Q717" t="str">
        <f>VLOOKUP(H717,Таблица3[],7,FALSE)</f>
        <v>Таджикистан</v>
      </c>
    </row>
    <row r="718" spans="1:17" x14ac:dyDescent="0.3">
      <c r="A718">
        <v>717</v>
      </c>
      <c r="B718">
        <v>448</v>
      </c>
      <c r="C718">
        <v>72</v>
      </c>
      <c r="D718">
        <v>5</v>
      </c>
      <c r="E718">
        <v>360</v>
      </c>
      <c r="F718" s="32">
        <v>45409</v>
      </c>
      <c r="G718" t="s">
        <v>18</v>
      </c>
      <c r="H718">
        <v>63</v>
      </c>
      <c r="I718" t="str">
        <f>VLOOKUP(B718,товар!$A$1:$C$433,2,FALSE)</f>
        <v>Йогурт</v>
      </c>
      <c r="J718" s="22">
        <f t="shared" si="44"/>
        <v>263.25423728813558</v>
      </c>
      <c r="K718" s="24">
        <f t="shared" si="45"/>
        <v>-0.72650012876641767</v>
      </c>
      <c r="L718" t="str">
        <f>VLOOKUP(B718,товар!$A$1:$C$433,3,FALSE)</f>
        <v>Ростагроэкспорт</v>
      </c>
      <c r="M718" s="24">
        <f t="shared" si="46"/>
        <v>-0.72069488952605831</v>
      </c>
      <c r="N718" s="29">
        <f t="shared" si="47"/>
        <v>257.78260869565219</v>
      </c>
      <c r="O718" s="32">
        <f>VLOOKUP(H718,клиенты!$A$2:$G$435,5,FALSE)</f>
        <v>44684</v>
      </c>
      <c r="P718">
        <f>Продажи[[#This Row],[дата создания чека]]-Продажи[[#This Row],[Дата регистрации клиента]]</f>
        <v>725</v>
      </c>
      <c r="Q718" t="str">
        <f>VLOOKUP(H718,Таблица3[],7,FALSE)</f>
        <v>Украина</v>
      </c>
    </row>
    <row r="719" spans="1:17" x14ac:dyDescent="0.3">
      <c r="A719">
        <v>718</v>
      </c>
      <c r="B719">
        <v>38</v>
      </c>
      <c r="C719">
        <v>191</v>
      </c>
      <c r="D719">
        <v>5</v>
      </c>
      <c r="E719">
        <v>955</v>
      </c>
      <c r="F719" s="32">
        <v>44992</v>
      </c>
      <c r="G719" t="s">
        <v>22</v>
      </c>
      <c r="H719">
        <v>25</v>
      </c>
      <c r="I719" t="str">
        <f>VLOOKUP(B719,товар!$A$1:$C$433,2,FALSE)</f>
        <v>Конфеты</v>
      </c>
      <c r="J719" s="22">
        <f t="shared" si="44"/>
        <v>267.85483870967744</v>
      </c>
      <c r="K719" s="24">
        <f t="shared" si="45"/>
        <v>-0.2869271993737581</v>
      </c>
      <c r="L719" t="str">
        <f>VLOOKUP(B719,товар!$A$1:$C$433,3,FALSE)</f>
        <v>Рот Фронт</v>
      </c>
      <c r="M719" s="24">
        <f t="shared" si="46"/>
        <v>-0.33735337849000491</v>
      </c>
      <c r="N719" s="29">
        <f t="shared" si="47"/>
        <v>288.23809523809524</v>
      </c>
      <c r="O719" s="32">
        <f>VLOOKUP(H719,клиенты!$A$2:$G$435,5,FALSE)</f>
        <v>44582</v>
      </c>
      <c r="P719">
        <f>Продажи[[#This Row],[дата создания чека]]-Продажи[[#This Row],[Дата регистрации клиента]]</f>
        <v>410</v>
      </c>
      <c r="Q719" t="str">
        <f>VLOOKUP(H719,Таблица3[],7,FALSE)</f>
        <v>Таджикистан</v>
      </c>
    </row>
    <row r="720" spans="1:17" x14ac:dyDescent="0.3">
      <c r="A720">
        <v>719</v>
      </c>
      <c r="B720">
        <v>272</v>
      </c>
      <c r="C720">
        <v>362</v>
      </c>
      <c r="D720">
        <v>2</v>
      </c>
      <c r="E720">
        <v>724</v>
      </c>
      <c r="F720" s="32">
        <v>45025</v>
      </c>
      <c r="G720" t="s">
        <v>26</v>
      </c>
      <c r="H720">
        <v>409</v>
      </c>
      <c r="I720" t="str">
        <f>VLOOKUP(B720,товар!$A$1:$C$433,2,FALSE)</f>
        <v>Крупа</v>
      </c>
      <c r="J720" s="22">
        <f t="shared" si="44"/>
        <v>255.11627906976744</v>
      </c>
      <c r="K720" s="24">
        <f t="shared" si="45"/>
        <v>0.41896080218778486</v>
      </c>
      <c r="L720" t="str">
        <f>VLOOKUP(B720,товар!$A$1:$C$433,3,FALSE)</f>
        <v>Ярмарка</v>
      </c>
      <c r="M720" s="24">
        <f t="shared" si="46"/>
        <v>0.43598990263252801</v>
      </c>
      <c r="N720" s="29">
        <f t="shared" si="47"/>
        <v>252.09090909090909</v>
      </c>
      <c r="O720" s="32">
        <f>VLOOKUP(H720,клиенты!$A$2:$G$435,5,FALSE)</f>
        <v>44869</v>
      </c>
      <c r="P720">
        <f>Продажи[[#This Row],[дата создания чека]]-Продажи[[#This Row],[Дата регистрации клиента]]</f>
        <v>156</v>
      </c>
      <c r="Q720" t="str">
        <f>VLOOKUP(H720,Таблица3[],7,FALSE)</f>
        <v>Украина</v>
      </c>
    </row>
    <row r="721" spans="1:17" x14ac:dyDescent="0.3">
      <c r="A721">
        <v>720</v>
      </c>
      <c r="B721">
        <v>426</v>
      </c>
      <c r="C721">
        <v>394</v>
      </c>
      <c r="D721">
        <v>5</v>
      </c>
      <c r="E721">
        <v>1970</v>
      </c>
      <c r="F721" s="32">
        <v>45349</v>
      </c>
      <c r="G721" t="s">
        <v>23</v>
      </c>
      <c r="H721">
        <v>386</v>
      </c>
      <c r="I721" t="str">
        <f>VLOOKUP(B721,товар!$A$1:$C$433,2,FALSE)</f>
        <v>Печенье</v>
      </c>
      <c r="J721" s="22">
        <f t="shared" si="44"/>
        <v>283.468085106383</v>
      </c>
      <c r="K721" s="24">
        <f t="shared" si="45"/>
        <v>0.38992719357502059</v>
      </c>
      <c r="L721" t="str">
        <f>VLOOKUP(B721,товар!$A$1:$C$433,3,FALSE)</f>
        <v>Посиделкино</v>
      </c>
      <c r="M721" s="24">
        <f t="shared" si="46"/>
        <v>0.22498586772187679</v>
      </c>
      <c r="N721" s="29">
        <f t="shared" si="47"/>
        <v>321.63636363636363</v>
      </c>
      <c r="O721" s="32">
        <f>VLOOKUP(H721,клиенты!$A$2:$G$435,5,FALSE)</f>
        <v>44734</v>
      </c>
      <c r="P721">
        <f>Продажи[[#This Row],[дата создания чека]]-Продажи[[#This Row],[Дата регистрации клиента]]</f>
        <v>615</v>
      </c>
      <c r="Q721" t="str">
        <f>VLOOKUP(H721,Таблица3[],7,FALSE)</f>
        <v>Узбекистан</v>
      </c>
    </row>
    <row r="722" spans="1:17" x14ac:dyDescent="0.3">
      <c r="A722">
        <v>721</v>
      </c>
      <c r="B722">
        <v>378</v>
      </c>
      <c r="C722">
        <v>203</v>
      </c>
      <c r="D722">
        <v>4</v>
      </c>
      <c r="E722">
        <v>812</v>
      </c>
      <c r="F722" s="32">
        <v>45244</v>
      </c>
      <c r="G722" t="s">
        <v>16</v>
      </c>
      <c r="H722">
        <v>238</v>
      </c>
      <c r="I722" t="str">
        <f>VLOOKUP(B722,товар!$A$1:$C$433,2,FALSE)</f>
        <v>Сок</v>
      </c>
      <c r="J722" s="22">
        <f t="shared" si="44"/>
        <v>268.60344827586209</v>
      </c>
      <c r="K722" s="24">
        <f t="shared" si="45"/>
        <v>-0.24423903973297389</v>
      </c>
      <c r="L722" t="str">
        <f>VLOOKUP(B722,товар!$A$1:$C$433,3,FALSE)</f>
        <v>Фруктовый сад</v>
      </c>
      <c r="M722" s="24">
        <f t="shared" si="46"/>
        <v>-0.28006206361520558</v>
      </c>
      <c r="N722" s="29">
        <f t="shared" si="47"/>
        <v>281.96875</v>
      </c>
      <c r="O722" s="32">
        <f>VLOOKUP(H722,клиенты!$A$2:$G$435,5,FALSE)</f>
        <v>44909</v>
      </c>
      <c r="P722">
        <f>Продажи[[#This Row],[дата создания чека]]-Продажи[[#This Row],[Дата регистрации клиента]]</f>
        <v>335</v>
      </c>
      <c r="Q722" t="str">
        <f>VLOOKUP(H722,Таблица3[],7,FALSE)</f>
        <v>Украина</v>
      </c>
    </row>
    <row r="723" spans="1:17" x14ac:dyDescent="0.3">
      <c r="A723">
        <v>722</v>
      </c>
      <c r="B723">
        <v>134</v>
      </c>
      <c r="C723">
        <v>450</v>
      </c>
      <c r="D723">
        <v>5</v>
      </c>
      <c r="E723">
        <v>2250</v>
      </c>
      <c r="F723" s="32">
        <v>45061</v>
      </c>
      <c r="G723" t="s">
        <v>8</v>
      </c>
      <c r="H723">
        <v>480</v>
      </c>
      <c r="I723" t="str">
        <f>VLOOKUP(B723,товар!$A$1:$C$433,2,FALSE)</f>
        <v>Рыба</v>
      </c>
      <c r="J723" s="22">
        <f t="shared" si="44"/>
        <v>258.5128205128205</v>
      </c>
      <c r="K723" s="24">
        <f t="shared" si="45"/>
        <v>0.74072604641936124</v>
      </c>
      <c r="L723" t="str">
        <f>VLOOKUP(B723,товар!$A$1:$C$433,3,FALSE)</f>
        <v>Меридиан</v>
      </c>
      <c r="M723" s="24">
        <f t="shared" si="46"/>
        <v>0.72647257955314837</v>
      </c>
      <c r="N723" s="29">
        <f t="shared" si="47"/>
        <v>260.64705882352939</v>
      </c>
      <c r="O723" s="32">
        <f>VLOOKUP(H723,клиенты!$A$2:$G$435,5,FALSE)</f>
        <v>44568</v>
      </c>
      <c r="P723">
        <f>Продажи[[#This Row],[дата создания чека]]-Продажи[[#This Row],[Дата регистрации клиента]]</f>
        <v>493</v>
      </c>
      <c r="Q723" t="str">
        <f>VLOOKUP(H723,Таблица3[],7,FALSE)</f>
        <v>Узбекистан</v>
      </c>
    </row>
    <row r="724" spans="1:17" x14ac:dyDescent="0.3">
      <c r="A724">
        <v>723</v>
      </c>
      <c r="B724">
        <v>485</v>
      </c>
      <c r="C724">
        <v>323</v>
      </c>
      <c r="D724">
        <v>1</v>
      </c>
      <c r="E724">
        <v>323</v>
      </c>
      <c r="F724" s="32">
        <v>45144</v>
      </c>
      <c r="G724" t="s">
        <v>25</v>
      </c>
      <c r="H724">
        <v>157</v>
      </c>
      <c r="I724" t="str">
        <f>VLOOKUP(B724,товар!$A$1:$C$433,2,FALSE)</f>
        <v>Макароны</v>
      </c>
      <c r="J724" s="22">
        <f t="shared" si="44"/>
        <v>265.47674418604652</v>
      </c>
      <c r="K724" s="24">
        <f t="shared" si="45"/>
        <v>0.2166790766939688</v>
      </c>
      <c r="L724" t="str">
        <f>VLOOKUP(B724,товар!$A$1:$C$433,3,FALSE)</f>
        <v>Борилла</v>
      </c>
      <c r="M724" s="24">
        <f t="shared" si="46"/>
        <v>0.36704611792177455</v>
      </c>
      <c r="N724" s="29">
        <f t="shared" si="47"/>
        <v>236.27586206896552</v>
      </c>
      <c r="O724" s="32">
        <f>VLOOKUP(H724,клиенты!$A$2:$G$435,5,FALSE)</f>
        <v>44783</v>
      </c>
      <c r="P724">
        <f>Продажи[[#This Row],[дата создания чека]]-Продажи[[#This Row],[Дата регистрации клиента]]</f>
        <v>361</v>
      </c>
      <c r="Q724" t="str">
        <f>VLOOKUP(H724,Таблица3[],7,FALSE)</f>
        <v>Россия</v>
      </c>
    </row>
    <row r="725" spans="1:17" x14ac:dyDescent="0.3">
      <c r="A725">
        <v>724</v>
      </c>
      <c r="B725">
        <v>400</v>
      </c>
      <c r="C725">
        <v>358</v>
      </c>
      <c r="D725">
        <v>4</v>
      </c>
      <c r="E725">
        <v>1432</v>
      </c>
      <c r="F725" s="32">
        <v>45103</v>
      </c>
      <c r="G725" t="s">
        <v>10</v>
      </c>
      <c r="H725">
        <v>9</v>
      </c>
      <c r="I725" t="str">
        <f>VLOOKUP(B725,товар!$A$1:$C$433,2,FALSE)</f>
        <v>Молоко</v>
      </c>
      <c r="J725" s="22">
        <f t="shared" si="44"/>
        <v>294.95238095238096</v>
      </c>
      <c r="K725" s="24">
        <f t="shared" si="45"/>
        <v>0.21375524701323867</v>
      </c>
      <c r="L725" t="str">
        <f>VLOOKUP(B725,товар!$A$1:$C$433,3,FALSE)</f>
        <v>Беллакт</v>
      </c>
      <c r="M725" s="24">
        <f t="shared" si="46"/>
        <v>0.10992108229988728</v>
      </c>
      <c r="N725" s="29">
        <f t="shared" si="47"/>
        <v>322.54545454545456</v>
      </c>
      <c r="O725" s="32">
        <f>VLOOKUP(H725,клиенты!$A$2:$G$435,5,FALSE)</f>
        <v>44900</v>
      </c>
      <c r="P725">
        <f>Продажи[[#This Row],[дата создания чека]]-Продажи[[#This Row],[Дата регистрации клиента]]</f>
        <v>203</v>
      </c>
      <c r="Q725" t="str">
        <f>VLOOKUP(H725,Таблица3[],7,FALSE)</f>
        <v>Таджикистан</v>
      </c>
    </row>
    <row r="726" spans="1:17" x14ac:dyDescent="0.3">
      <c r="A726">
        <v>725</v>
      </c>
      <c r="B726">
        <v>28</v>
      </c>
      <c r="C726">
        <v>459</v>
      </c>
      <c r="D726">
        <v>1</v>
      </c>
      <c r="E726">
        <v>459</v>
      </c>
      <c r="F726" s="32">
        <v>45377</v>
      </c>
      <c r="G726" t="s">
        <v>8</v>
      </c>
      <c r="H726">
        <v>63</v>
      </c>
      <c r="I726" t="str">
        <f>VLOOKUP(B726,товар!$A$1:$C$433,2,FALSE)</f>
        <v>Крупа</v>
      </c>
      <c r="J726" s="22">
        <f t="shared" si="44"/>
        <v>255.11627906976744</v>
      </c>
      <c r="K726" s="24">
        <f t="shared" si="45"/>
        <v>0.79917958067456696</v>
      </c>
      <c r="L726" t="str">
        <f>VLOOKUP(B726,товар!$A$1:$C$433,3,FALSE)</f>
        <v>Националь</v>
      </c>
      <c r="M726" s="24">
        <f t="shared" si="46"/>
        <v>0.67343750000000013</v>
      </c>
      <c r="N726" s="29">
        <f t="shared" si="47"/>
        <v>274.28571428571428</v>
      </c>
      <c r="O726" s="32">
        <f>VLOOKUP(H726,клиенты!$A$2:$G$435,5,FALSE)</f>
        <v>44684</v>
      </c>
      <c r="P726">
        <f>Продажи[[#This Row],[дата создания чека]]-Продажи[[#This Row],[Дата регистрации клиента]]</f>
        <v>693</v>
      </c>
      <c r="Q726" t="str">
        <f>VLOOKUP(H726,Таблица3[],7,FALSE)</f>
        <v>Украина</v>
      </c>
    </row>
    <row r="727" spans="1:17" x14ac:dyDescent="0.3">
      <c r="A727">
        <v>726</v>
      </c>
      <c r="B727">
        <v>195</v>
      </c>
      <c r="C727">
        <v>497</v>
      </c>
      <c r="D727">
        <v>5</v>
      </c>
      <c r="E727">
        <v>2485</v>
      </c>
      <c r="F727" s="32">
        <v>45136</v>
      </c>
      <c r="G727" t="s">
        <v>24</v>
      </c>
      <c r="H727">
        <v>105</v>
      </c>
      <c r="I727" t="str">
        <f>VLOOKUP(B727,товар!$A$1:$C$433,2,FALSE)</f>
        <v>Хлеб</v>
      </c>
      <c r="J727" s="22">
        <f t="shared" si="44"/>
        <v>300.31818181818181</v>
      </c>
      <c r="K727" s="24">
        <f t="shared" si="45"/>
        <v>0.65491145754502811</v>
      </c>
      <c r="L727" t="str">
        <f>VLOOKUP(B727,товар!$A$1:$C$433,3,FALSE)</f>
        <v>Каравай</v>
      </c>
      <c r="M727" s="24">
        <f t="shared" si="46"/>
        <v>0.50075490689481628</v>
      </c>
      <c r="N727" s="29">
        <f t="shared" si="47"/>
        <v>331.16666666666669</v>
      </c>
      <c r="O727" s="32">
        <f>VLOOKUP(H727,клиенты!$A$2:$G$435,5,FALSE)</f>
        <v>44918</v>
      </c>
      <c r="P727">
        <f>Продажи[[#This Row],[дата создания чека]]-Продажи[[#This Row],[Дата регистрации клиента]]</f>
        <v>218</v>
      </c>
      <c r="Q727" t="str">
        <f>VLOOKUP(H727,Таблица3[],7,FALSE)</f>
        <v>Узбекистан</v>
      </c>
    </row>
    <row r="728" spans="1:17" x14ac:dyDescent="0.3">
      <c r="A728">
        <v>727</v>
      </c>
      <c r="B728">
        <v>398</v>
      </c>
      <c r="C728">
        <v>361</v>
      </c>
      <c r="D728">
        <v>1</v>
      </c>
      <c r="E728">
        <v>361</v>
      </c>
      <c r="F728" s="32">
        <v>45336</v>
      </c>
      <c r="G728" t="s">
        <v>15</v>
      </c>
      <c r="H728">
        <v>40</v>
      </c>
      <c r="I728" t="str">
        <f>VLOOKUP(B728,товар!$A$1:$C$433,2,FALSE)</f>
        <v>Сок</v>
      </c>
      <c r="J728" s="22">
        <f t="shared" si="44"/>
        <v>268.60344827586209</v>
      </c>
      <c r="K728" s="24">
        <f t="shared" si="45"/>
        <v>0.34398870274086901</v>
      </c>
      <c r="L728" t="str">
        <f>VLOOKUP(B728,товар!$A$1:$C$433,3,FALSE)</f>
        <v>Фруктовый сад</v>
      </c>
      <c r="M728" s="24">
        <f t="shared" si="46"/>
        <v>0.28028371938379704</v>
      </c>
      <c r="N728" s="29">
        <f t="shared" si="47"/>
        <v>281.96875</v>
      </c>
      <c r="O728" s="32">
        <f>VLOOKUP(H728,клиенты!$A$2:$G$435,5,FALSE)</f>
        <v>44855</v>
      </c>
      <c r="P728">
        <f>Продажи[[#This Row],[дата создания чека]]-Продажи[[#This Row],[Дата регистрации клиента]]</f>
        <v>481</v>
      </c>
      <c r="Q728" t="str">
        <f>VLOOKUP(H728,Таблица3[],7,FALSE)</f>
        <v>Россия</v>
      </c>
    </row>
    <row r="729" spans="1:17" x14ac:dyDescent="0.3">
      <c r="A729">
        <v>728</v>
      </c>
      <c r="B729">
        <v>77</v>
      </c>
      <c r="C729">
        <v>160</v>
      </c>
      <c r="D729">
        <v>2</v>
      </c>
      <c r="E729">
        <v>320</v>
      </c>
      <c r="F729" s="32">
        <v>45222</v>
      </c>
      <c r="G729" t="s">
        <v>19</v>
      </c>
      <c r="H729">
        <v>260</v>
      </c>
      <c r="I729" t="str">
        <f>VLOOKUP(B729,товар!$A$1:$C$433,2,FALSE)</f>
        <v>Макароны</v>
      </c>
      <c r="J729" s="22">
        <f t="shared" si="44"/>
        <v>265.47674418604652</v>
      </c>
      <c r="K729" s="24">
        <f t="shared" si="45"/>
        <v>-0.39731067408348297</v>
      </c>
      <c r="L729" t="str">
        <f>VLOOKUP(B729,товар!$A$1:$C$433,3,FALSE)</f>
        <v>Паста Зара</v>
      </c>
      <c r="M729" s="24">
        <f t="shared" si="46"/>
        <v>-0.42170557780599782</v>
      </c>
      <c r="N729" s="29">
        <f t="shared" si="47"/>
        <v>276.67567567567568</v>
      </c>
      <c r="O729" s="32">
        <f>VLOOKUP(H729,клиенты!$A$2:$G$435,5,FALSE)</f>
        <v>44729</v>
      </c>
      <c r="P729">
        <f>Продажи[[#This Row],[дата создания чека]]-Продажи[[#This Row],[Дата регистрации клиента]]</f>
        <v>493</v>
      </c>
      <c r="Q729" t="str">
        <f>VLOOKUP(H729,Таблица3[],7,FALSE)</f>
        <v>Украина</v>
      </c>
    </row>
    <row r="730" spans="1:17" x14ac:dyDescent="0.3">
      <c r="A730">
        <v>729</v>
      </c>
      <c r="B730">
        <v>128</v>
      </c>
      <c r="C730">
        <v>419</v>
      </c>
      <c r="D730">
        <v>5</v>
      </c>
      <c r="E730">
        <v>2095</v>
      </c>
      <c r="F730" s="32">
        <v>44943</v>
      </c>
      <c r="G730" t="s">
        <v>12</v>
      </c>
      <c r="H730">
        <v>220</v>
      </c>
      <c r="I730" t="str">
        <f>VLOOKUP(B730,товар!$A$1:$C$433,2,FALSE)</f>
        <v>Мясо</v>
      </c>
      <c r="J730" s="22">
        <f t="shared" si="44"/>
        <v>271.74545454545455</v>
      </c>
      <c r="K730" s="24">
        <f t="shared" si="45"/>
        <v>0.54188411615147869</v>
      </c>
      <c r="L730" t="str">
        <f>VLOOKUP(B730,товар!$A$1:$C$433,3,FALSE)</f>
        <v>Мираторг</v>
      </c>
      <c r="M730" s="24">
        <f t="shared" si="46"/>
        <v>0.32350618583837853</v>
      </c>
      <c r="N730" s="29">
        <f t="shared" si="47"/>
        <v>316.58333333333331</v>
      </c>
      <c r="O730" s="32">
        <f>VLOOKUP(H730,клиенты!$A$2:$G$435,5,FALSE)</f>
        <v>44570</v>
      </c>
      <c r="P730">
        <f>Продажи[[#This Row],[дата создания чека]]-Продажи[[#This Row],[Дата регистрации клиента]]</f>
        <v>373</v>
      </c>
      <c r="Q730" t="str">
        <f>VLOOKUP(H730,Таблица3[],7,FALSE)</f>
        <v>Украина</v>
      </c>
    </row>
    <row r="731" spans="1:17" x14ac:dyDescent="0.3">
      <c r="A731">
        <v>730</v>
      </c>
      <c r="B731">
        <v>328</v>
      </c>
      <c r="C731">
        <v>429</v>
      </c>
      <c r="D731">
        <v>4</v>
      </c>
      <c r="E731">
        <v>1716</v>
      </c>
      <c r="F731" s="32">
        <v>45245</v>
      </c>
      <c r="G731" t="s">
        <v>15</v>
      </c>
      <c r="H731">
        <v>88</v>
      </c>
      <c r="I731" t="str">
        <f>VLOOKUP(B731,товар!$A$1:$C$433,2,FALSE)</f>
        <v>Чипсы</v>
      </c>
      <c r="J731" s="22">
        <f t="shared" si="44"/>
        <v>273.72549019607845</v>
      </c>
      <c r="K731" s="24">
        <f t="shared" si="45"/>
        <v>0.56726361031518602</v>
      </c>
      <c r="L731" t="str">
        <f>VLOOKUP(B731,товар!$A$1:$C$433,3,FALSE)</f>
        <v>Русская картошка</v>
      </c>
      <c r="M731" s="24">
        <f t="shared" si="46"/>
        <v>0.77394900068917982</v>
      </c>
      <c r="N731" s="29">
        <f t="shared" si="47"/>
        <v>241.83333333333334</v>
      </c>
      <c r="O731" s="32">
        <f>VLOOKUP(H731,клиенты!$A$2:$G$435,5,FALSE)</f>
        <v>44630</v>
      </c>
      <c r="P731">
        <f>Продажи[[#This Row],[дата создания чека]]-Продажи[[#This Row],[Дата регистрации клиента]]</f>
        <v>615</v>
      </c>
      <c r="Q731" t="str">
        <f>VLOOKUP(H731,Таблица3[],7,FALSE)</f>
        <v>Украина</v>
      </c>
    </row>
    <row r="732" spans="1:17" x14ac:dyDescent="0.3">
      <c r="A732">
        <v>731</v>
      </c>
      <c r="B732">
        <v>455</v>
      </c>
      <c r="C732">
        <v>72</v>
      </c>
      <c r="D732">
        <v>2</v>
      </c>
      <c r="E732">
        <v>144</v>
      </c>
      <c r="F732" s="32">
        <v>45102</v>
      </c>
      <c r="G732" t="s">
        <v>13</v>
      </c>
      <c r="H732">
        <v>66</v>
      </c>
      <c r="I732" t="str">
        <f>VLOOKUP(B732,товар!$A$1:$C$433,2,FALSE)</f>
        <v>Соль</v>
      </c>
      <c r="J732" s="22">
        <f t="shared" si="44"/>
        <v>264.8679245283019</v>
      </c>
      <c r="K732" s="24">
        <f t="shared" si="45"/>
        <v>-0.72816640547086475</v>
      </c>
      <c r="L732" t="str">
        <f>VLOOKUP(B732,товар!$A$1:$C$433,3,FALSE)</f>
        <v>Славянская</v>
      </c>
      <c r="M732" s="24">
        <f t="shared" si="46"/>
        <v>-0.69609567358424196</v>
      </c>
      <c r="N732" s="29">
        <f t="shared" si="47"/>
        <v>236.91666666666666</v>
      </c>
      <c r="O732" s="32">
        <f>VLOOKUP(H732,клиенты!$A$2:$G$435,5,FALSE)</f>
        <v>44777</v>
      </c>
      <c r="P732">
        <f>Продажи[[#This Row],[дата создания чека]]-Продажи[[#This Row],[Дата регистрации клиента]]</f>
        <v>325</v>
      </c>
      <c r="Q732" t="str">
        <f>VLOOKUP(H732,Таблица3[],7,FALSE)</f>
        <v>Россия</v>
      </c>
    </row>
    <row r="733" spans="1:17" x14ac:dyDescent="0.3">
      <c r="A733">
        <v>732</v>
      </c>
      <c r="B733">
        <v>371</v>
      </c>
      <c r="C733">
        <v>97</v>
      </c>
      <c r="D733">
        <v>3</v>
      </c>
      <c r="E733">
        <v>291</v>
      </c>
      <c r="F733" s="32">
        <v>45134</v>
      </c>
      <c r="G733" t="s">
        <v>9</v>
      </c>
      <c r="H733">
        <v>15</v>
      </c>
      <c r="I733" t="str">
        <f>VLOOKUP(B733,товар!$A$1:$C$433,2,FALSE)</f>
        <v>Сахар</v>
      </c>
      <c r="J733" s="22">
        <f t="shared" si="44"/>
        <v>252.76271186440678</v>
      </c>
      <c r="K733" s="24">
        <f t="shared" si="45"/>
        <v>-0.6162408636759874</v>
      </c>
      <c r="L733" t="str">
        <f>VLOOKUP(B733,товар!$A$1:$C$433,3,FALSE)</f>
        <v>Русский сахар</v>
      </c>
      <c r="M733" s="24">
        <f t="shared" si="46"/>
        <v>-0.66940657578187657</v>
      </c>
      <c r="N733" s="29">
        <f t="shared" si="47"/>
        <v>293.41176470588238</v>
      </c>
      <c r="O733" s="32">
        <f>VLOOKUP(H733,клиенты!$A$2:$G$435,5,FALSE)</f>
        <v>44711</v>
      </c>
      <c r="P733">
        <f>Продажи[[#This Row],[дата создания чека]]-Продажи[[#This Row],[Дата регистрации клиента]]</f>
        <v>423</v>
      </c>
      <c r="Q733" t="str">
        <f>VLOOKUP(H733,Таблица3[],7,FALSE)</f>
        <v>Украина</v>
      </c>
    </row>
    <row r="734" spans="1:17" x14ac:dyDescent="0.3">
      <c r="A734">
        <v>733</v>
      </c>
      <c r="B734">
        <v>486</v>
      </c>
      <c r="C734">
        <v>57</v>
      </c>
      <c r="D734">
        <v>2</v>
      </c>
      <c r="E734">
        <v>114</v>
      </c>
      <c r="F734" s="32">
        <v>45198</v>
      </c>
      <c r="G734" t="s">
        <v>8</v>
      </c>
      <c r="H734">
        <v>485</v>
      </c>
      <c r="I734" t="str">
        <f>VLOOKUP(B734,товар!$A$1:$C$433,2,FALSE)</f>
        <v>Соль</v>
      </c>
      <c r="J734" s="22">
        <f t="shared" si="44"/>
        <v>264.8679245283019</v>
      </c>
      <c r="K734" s="24">
        <f t="shared" si="45"/>
        <v>-0.78479840433110137</v>
      </c>
      <c r="L734" t="str">
        <f>VLOOKUP(B734,товар!$A$1:$C$433,3,FALSE)</f>
        <v>Илецкая</v>
      </c>
      <c r="M734" s="24">
        <f t="shared" si="46"/>
        <v>-0.76067179846046185</v>
      </c>
      <c r="N734" s="29">
        <f t="shared" si="47"/>
        <v>238.16666666666666</v>
      </c>
      <c r="O734" s="32">
        <f>VLOOKUP(H734,клиенты!$A$2:$G$435,5,FALSE)</f>
        <v>44723</v>
      </c>
      <c r="P734">
        <f>Продажи[[#This Row],[дата создания чека]]-Продажи[[#This Row],[Дата регистрации клиента]]</f>
        <v>475</v>
      </c>
      <c r="Q734" t="str">
        <f>VLOOKUP(H734,Таблица3[],7,FALSE)</f>
        <v>Россия</v>
      </c>
    </row>
    <row r="735" spans="1:17" x14ac:dyDescent="0.3">
      <c r="A735">
        <v>734</v>
      </c>
      <c r="B735">
        <v>359</v>
      </c>
      <c r="C735">
        <v>126</v>
      </c>
      <c r="D735">
        <v>4</v>
      </c>
      <c r="E735">
        <v>504</v>
      </c>
      <c r="F735" s="32">
        <v>45065</v>
      </c>
      <c r="G735" t="s">
        <v>15</v>
      </c>
      <c r="H735">
        <v>394</v>
      </c>
      <c r="I735" t="str">
        <f>VLOOKUP(B735,товар!$A$1:$C$433,2,FALSE)</f>
        <v>Мясо</v>
      </c>
      <c r="J735" s="22">
        <f t="shared" si="44"/>
        <v>271.74545454545455</v>
      </c>
      <c r="K735" s="24">
        <f t="shared" si="45"/>
        <v>-0.53633079084704938</v>
      </c>
      <c r="L735" t="str">
        <f>VLOOKUP(B735,товар!$A$1:$C$433,3,FALSE)</f>
        <v>Мираторг</v>
      </c>
      <c r="M735" s="24">
        <f t="shared" si="46"/>
        <v>-0.60200052645433</v>
      </c>
      <c r="N735" s="29">
        <f t="shared" si="47"/>
        <v>316.58333333333331</v>
      </c>
      <c r="O735" s="32">
        <f>VLOOKUP(H735,клиенты!$A$2:$G$435,5,FALSE)</f>
        <v>44708</v>
      </c>
      <c r="P735">
        <f>Продажи[[#This Row],[дата создания чека]]-Продажи[[#This Row],[Дата регистрации клиента]]</f>
        <v>357</v>
      </c>
      <c r="Q735" t="str">
        <f>VLOOKUP(H735,Таблица3[],7,FALSE)</f>
        <v>Россия</v>
      </c>
    </row>
    <row r="736" spans="1:17" x14ac:dyDescent="0.3">
      <c r="A736">
        <v>735</v>
      </c>
      <c r="B736">
        <v>267</v>
      </c>
      <c r="C736">
        <v>54</v>
      </c>
      <c r="D736">
        <v>2</v>
      </c>
      <c r="E736">
        <v>108</v>
      </c>
      <c r="F736" s="32">
        <v>45251</v>
      </c>
      <c r="G736" t="s">
        <v>23</v>
      </c>
      <c r="H736">
        <v>290</v>
      </c>
      <c r="I736" t="str">
        <f>VLOOKUP(B736,товар!$A$1:$C$433,2,FALSE)</f>
        <v>Овощи</v>
      </c>
      <c r="J736" s="22">
        <f t="shared" si="44"/>
        <v>250.48780487804879</v>
      </c>
      <c r="K736" s="24">
        <f t="shared" si="45"/>
        <v>-0.78442064264849076</v>
      </c>
      <c r="L736" t="str">
        <f>VLOOKUP(B736,товар!$A$1:$C$433,3,FALSE)</f>
        <v>Семко</v>
      </c>
      <c r="M736" s="24">
        <f t="shared" si="46"/>
        <v>-0.74038461538461542</v>
      </c>
      <c r="N736" s="29">
        <f t="shared" si="47"/>
        <v>208</v>
      </c>
      <c r="O736" s="32">
        <f>VLOOKUP(H736,клиенты!$A$2:$G$435,5,FALSE)</f>
        <v>44777</v>
      </c>
      <c r="P736">
        <f>Продажи[[#This Row],[дата создания чека]]-Продажи[[#This Row],[Дата регистрации клиента]]</f>
        <v>474</v>
      </c>
      <c r="Q736" t="str">
        <f>VLOOKUP(H736,Таблица3[],7,FALSE)</f>
        <v>Россия</v>
      </c>
    </row>
    <row r="737" spans="1:17" x14ac:dyDescent="0.3">
      <c r="A737">
        <v>736</v>
      </c>
      <c r="B737">
        <v>52</v>
      </c>
      <c r="C737">
        <v>150</v>
      </c>
      <c r="D737">
        <v>4</v>
      </c>
      <c r="E737">
        <v>600</v>
      </c>
      <c r="F737" s="32">
        <v>45303</v>
      </c>
      <c r="G737" t="s">
        <v>11</v>
      </c>
      <c r="H737">
        <v>279</v>
      </c>
      <c r="I737" t="str">
        <f>VLOOKUP(B737,товар!$A$1:$C$433,2,FALSE)</f>
        <v>Соль</v>
      </c>
      <c r="J737" s="22">
        <f t="shared" si="44"/>
        <v>264.8679245283019</v>
      </c>
      <c r="K737" s="24">
        <f t="shared" si="45"/>
        <v>-0.43368001139763501</v>
      </c>
      <c r="L737" t="str">
        <f>VLOOKUP(B737,товар!$A$1:$C$433,3,FALSE)</f>
        <v>Илецкая</v>
      </c>
      <c r="M737" s="24">
        <f t="shared" si="46"/>
        <v>-0.37018894331700491</v>
      </c>
      <c r="N737" s="29">
        <f t="shared" si="47"/>
        <v>238.16666666666666</v>
      </c>
      <c r="O737" s="32">
        <f>VLOOKUP(H737,клиенты!$A$2:$G$435,5,FALSE)</f>
        <v>44786</v>
      </c>
      <c r="P737">
        <f>Продажи[[#This Row],[дата создания чека]]-Продажи[[#This Row],[Дата регистрации клиента]]</f>
        <v>517</v>
      </c>
      <c r="Q737" t="str">
        <f>VLOOKUP(H737,Таблица3[],7,FALSE)</f>
        <v>Узбекистан</v>
      </c>
    </row>
    <row r="738" spans="1:17" x14ac:dyDescent="0.3">
      <c r="A738">
        <v>737</v>
      </c>
      <c r="B738">
        <v>187</v>
      </c>
      <c r="C738">
        <v>233</v>
      </c>
      <c r="D738">
        <v>4</v>
      </c>
      <c r="E738">
        <v>932</v>
      </c>
      <c r="F738" s="32">
        <v>45086</v>
      </c>
      <c r="G738" t="s">
        <v>17</v>
      </c>
      <c r="H738">
        <v>245</v>
      </c>
      <c r="I738" t="str">
        <f>VLOOKUP(B738,товар!$A$1:$C$433,2,FALSE)</f>
        <v>Макароны</v>
      </c>
      <c r="J738" s="22">
        <f t="shared" si="44"/>
        <v>265.47674418604652</v>
      </c>
      <c r="K738" s="24">
        <f t="shared" si="45"/>
        <v>-0.12233366913407206</v>
      </c>
      <c r="L738" t="str">
        <f>VLOOKUP(B738,товар!$A$1:$C$433,3,FALSE)</f>
        <v>Паста Зара</v>
      </c>
      <c r="M738" s="24">
        <f t="shared" si="46"/>
        <v>-0.15785874767998442</v>
      </c>
      <c r="N738" s="29">
        <f t="shared" si="47"/>
        <v>276.67567567567568</v>
      </c>
      <c r="O738" s="32">
        <f>VLOOKUP(H738,клиенты!$A$2:$G$435,5,FALSE)</f>
        <v>44695</v>
      </c>
      <c r="P738">
        <f>Продажи[[#This Row],[дата создания чека]]-Продажи[[#This Row],[Дата регистрации клиента]]</f>
        <v>391</v>
      </c>
      <c r="Q738" t="str">
        <f>VLOOKUP(H738,Таблица3[],7,FALSE)</f>
        <v>Узбекистан</v>
      </c>
    </row>
    <row r="739" spans="1:17" x14ac:dyDescent="0.3">
      <c r="A739">
        <v>738</v>
      </c>
      <c r="B739">
        <v>118</v>
      </c>
      <c r="C739">
        <v>156</v>
      </c>
      <c r="D739">
        <v>5</v>
      </c>
      <c r="E739">
        <v>780</v>
      </c>
      <c r="F739" s="32">
        <v>45303</v>
      </c>
      <c r="G739" t="s">
        <v>21</v>
      </c>
      <c r="H739">
        <v>261</v>
      </c>
      <c r="I739" t="str">
        <f>VLOOKUP(B739,товар!$A$1:$C$433,2,FALSE)</f>
        <v>Сахар</v>
      </c>
      <c r="J739" s="22">
        <f t="shared" si="44"/>
        <v>252.76271186440678</v>
      </c>
      <c r="K739" s="24">
        <f t="shared" si="45"/>
        <v>-0.38282035807684567</v>
      </c>
      <c r="L739" t="str">
        <f>VLOOKUP(B739,товар!$A$1:$C$433,3,FALSE)</f>
        <v>Продимекс</v>
      </c>
      <c r="M739" s="24">
        <f t="shared" si="46"/>
        <v>-0.35135135135135132</v>
      </c>
      <c r="N739" s="29">
        <f t="shared" si="47"/>
        <v>240.5</v>
      </c>
      <c r="O739" s="32">
        <f>VLOOKUP(H739,клиенты!$A$2:$G$435,5,FALSE)</f>
        <v>44848</v>
      </c>
      <c r="P739">
        <f>Продажи[[#This Row],[дата создания чека]]-Продажи[[#This Row],[Дата регистрации клиента]]</f>
        <v>455</v>
      </c>
      <c r="Q739" t="str">
        <f>VLOOKUP(H739,Таблица3[],7,FALSE)</f>
        <v>Россия</v>
      </c>
    </row>
    <row r="740" spans="1:17" x14ac:dyDescent="0.3">
      <c r="A740">
        <v>739</v>
      </c>
      <c r="B740">
        <v>218</v>
      </c>
      <c r="C740">
        <v>383</v>
      </c>
      <c r="D740">
        <v>2</v>
      </c>
      <c r="E740">
        <v>766</v>
      </c>
      <c r="F740" s="32">
        <v>45338</v>
      </c>
      <c r="G740" t="s">
        <v>9</v>
      </c>
      <c r="H740">
        <v>9</v>
      </c>
      <c r="I740" t="str">
        <f>VLOOKUP(B740,товар!$A$1:$C$433,2,FALSE)</f>
        <v>Колбаса</v>
      </c>
      <c r="J740" s="22">
        <f t="shared" si="44"/>
        <v>286.92307692307691</v>
      </c>
      <c r="K740" s="24">
        <f t="shared" si="45"/>
        <v>0.33485254691689015</v>
      </c>
      <c r="L740" t="str">
        <f>VLOOKUP(B740,товар!$A$1:$C$433,3,FALSE)</f>
        <v>Дымов</v>
      </c>
      <c r="M740" s="24">
        <f t="shared" si="46"/>
        <v>0.22494669509594867</v>
      </c>
      <c r="N740" s="29">
        <f t="shared" si="47"/>
        <v>312.66666666666669</v>
      </c>
      <c r="O740" s="32">
        <f>VLOOKUP(H740,клиенты!$A$2:$G$435,5,FALSE)</f>
        <v>44900</v>
      </c>
      <c r="P740">
        <f>Продажи[[#This Row],[дата создания чека]]-Продажи[[#This Row],[Дата регистрации клиента]]</f>
        <v>438</v>
      </c>
      <c r="Q740" t="str">
        <f>VLOOKUP(H740,Таблица3[],7,FALSE)</f>
        <v>Таджикистан</v>
      </c>
    </row>
    <row r="741" spans="1:17" x14ac:dyDescent="0.3">
      <c r="A741">
        <v>740</v>
      </c>
      <c r="B741">
        <v>46</v>
      </c>
      <c r="C741">
        <v>370</v>
      </c>
      <c r="D741">
        <v>5</v>
      </c>
      <c r="E741">
        <v>1850</v>
      </c>
      <c r="F741" s="32">
        <v>45034</v>
      </c>
      <c r="G741" t="s">
        <v>25</v>
      </c>
      <c r="H741">
        <v>103</v>
      </c>
      <c r="I741" t="str">
        <f>VLOOKUP(B741,товар!$A$1:$C$433,2,FALSE)</f>
        <v>Йогурт</v>
      </c>
      <c r="J741" s="22">
        <f t="shared" si="44"/>
        <v>263.25423728813558</v>
      </c>
      <c r="K741" s="24">
        <f t="shared" si="45"/>
        <v>0.40548544939479791</v>
      </c>
      <c r="L741" t="str">
        <f>VLOOKUP(B741,товар!$A$1:$C$433,3,FALSE)</f>
        <v>Активиа</v>
      </c>
      <c r="M741" s="24">
        <f t="shared" si="46"/>
        <v>0.25993189557321217</v>
      </c>
      <c r="N741" s="29">
        <f t="shared" si="47"/>
        <v>293.66666666666669</v>
      </c>
      <c r="O741" s="32">
        <f>VLOOKUP(H741,клиенты!$A$2:$G$435,5,FALSE)</f>
        <v>44787</v>
      </c>
      <c r="P741">
        <f>Продажи[[#This Row],[дата создания чека]]-Продажи[[#This Row],[Дата регистрации клиента]]</f>
        <v>247</v>
      </c>
      <c r="Q741" t="str">
        <f>VLOOKUP(H741,Таблица3[],7,FALSE)</f>
        <v>Узбекистан</v>
      </c>
    </row>
    <row r="742" spans="1:17" x14ac:dyDescent="0.3">
      <c r="A742">
        <v>741</v>
      </c>
      <c r="B742">
        <v>263</v>
      </c>
      <c r="C742">
        <v>173</v>
      </c>
      <c r="D742">
        <v>3</v>
      </c>
      <c r="E742">
        <v>519</v>
      </c>
      <c r="F742" s="32">
        <v>45390</v>
      </c>
      <c r="G742" t="s">
        <v>22</v>
      </c>
      <c r="H742">
        <v>142</v>
      </c>
      <c r="I742" t="str">
        <f>VLOOKUP(B742,товар!$A$1:$C$433,2,FALSE)</f>
        <v>Йогурт</v>
      </c>
      <c r="J742" s="22">
        <f t="shared" si="44"/>
        <v>263.25423728813558</v>
      </c>
      <c r="K742" s="24">
        <f t="shared" si="45"/>
        <v>-0.34284058717486476</v>
      </c>
      <c r="L742" t="str">
        <f>VLOOKUP(B742,товар!$A$1:$C$433,3,FALSE)</f>
        <v>Активиа</v>
      </c>
      <c r="M742" s="24">
        <f t="shared" si="46"/>
        <v>-0.41089670828603864</v>
      </c>
      <c r="N742" s="29">
        <f t="shared" si="47"/>
        <v>293.66666666666669</v>
      </c>
      <c r="O742" s="32">
        <f>VLOOKUP(H742,клиенты!$A$2:$G$435,5,FALSE)</f>
        <v>44683</v>
      </c>
      <c r="P742">
        <f>Продажи[[#This Row],[дата создания чека]]-Продажи[[#This Row],[Дата регистрации клиента]]</f>
        <v>707</v>
      </c>
      <c r="Q742" t="str">
        <f>VLOOKUP(H742,Таблица3[],7,FALSE)</f>
        <v>Россия</v>
      </c>
    </row>
    <row r="743" spans="1:17" x14ac:dyDescent="0.3">
      <c r="A743">
        <v>742</v>
      </c>
      <c r="B743">
        <v>201</v>
      </c>
      <c r="C743">
        <v>113</v>
      </c>
      <c r="D743">
        <v>5</v>
      </c>
      <c r="E743">
        <v>565</v>
      </c>
      <c r="F743" s="32">
        <v>44959</v>
      </c>
      <c r="G743" t="s">
        <v>21</v>
      </c>
      <c r="H743">
        <v>470</v>
      </c>
      <c r="I743" t="str">
        <f>VLOOKUP(B743,товар!$A$1:$C$433,2,FALSE)</f>
        <v>Печенье</v>
      </c>
      <c r="J743" s="22">
        <f t="shared" si="44"/>
        <v>283.468085106383</v>
      </c>
      <c r="K743" s="24">
        <f t="shared" si="45"/>
        <v>-0.60136605869548898</v>
      </c>
      <c r="L743" t="str">
        <f>VLOOKUP(B743,товар!$A$1:$C$433,3,FALSE)</f>
        <v>Белогорье</v>
      </c>
      <c r="M743" s="24">
        <f t="shared" si="46"/>
        <v>-0.5470941883767535</v>
      </c>
      <c r="N743" s="29">
        <f t="shared" si="47"/>
        <v>249.5</v>
      </c>
      <c r="O743" s="32">
        <f>VLOOKUP(H743,клиенты!$A$2:$G$435,5,FALSE)</f>
        <v>44690</v>
      </c>
      <c r="P743">
        <f>Продажи[[#This Row],[дата создания чека]]-Продажи[[#This Row],[Дата регистрации клиента]]</f>
        <v>269</v>
      </c>
      <c r="Q743" t="str">
        <f>VLOOKUP(H743,Таблица3[],7,FALSE)</f>
        <v>Таджикистан</v>
      </c>
    </row>
    <row r="744" spans="1:17" x14ac:dyDescent="0.3">
      <c r="A744">
        <v>743</v>
      </c>
      <c r="B744">
        <v>434</v>
      </c>
      <c r="C744">
        <v>366</v>
      </c>
      <c r="D744">
        <v>4</v>
      </c>
      <c r="E744">
        <v>1464</v>
      </c>
      <c r="F744" s="32">
        <v>45107</v>
      </c>
      <c r="G744" t="s">
        <v>13</v>
      </c>
      <c r="H744">
        <v>490</v>
      </c>
      <c r="I744" t="str">
        <f>VLOOKUP(B744,товар!$A$1:$C$433,2,FALSE)</f>
        <v>Сыр</v>
      </c>
      <c r="J744" s="22">
        <f t="shared" si="44"/>
        <v>262.63492063492066</v>
      </c>
      <c r="K744" s="24">
        <f t="shared" si="45"/>
        <v>0.39356944276562289</v>
      </c>
      <c r="L744" t="str">
        <f>VLOOKUP(B744,товар!$A$1:$C$433,3,FALSE)</f>
        <v>Сырная долина</v>
      </c>
      <c r="M744" s="24">
        <f t="shared" si="46"/>
        <v>0.35055350553505527</v>
      </c>
      <c r="N744" s="29">
        <f t="shared" si="47"/>
        <v>271</v>
      </c>
      <c r="O744" s="32">
        <f>VLOOKUP(H744,клиенты!$A$2:$G$435,5,FALSE)</f>
        <v>44603</v>
      </c>
      <c r="P744">
        <f>Продажи[[#This Row],[дата создания чека]]-Продажи[[#This Row],[Дата регистрации клиента]]</f>
        <v>504</v>
      </c>
      <c r="Q744" t="str">
        <f>VLOOKUP(H744,Таблица3[],7,FALSE)</f>
        <v>Россия</v>
      </c>
    </row>
    <row r="745" spans="1:17" x14ac:dyDescent="0.3">
      <c r="A745">
        <v>744</v>
      </c>
      <c r="B745">
        <v>99</v>
      </c>
      <c r="C745">
        <v>92</v>
      </c>
      <c r="D745">
        <v>4</v>
      </c>
      <c r="E745">
        <v>368</v>
      </c>
      <c r="F745" s="32">
        <v>45073</v>
      </c>
      <c r="G745" t="s">
        <v>14</v>
      </c>
      <c r="H745">
        <v>255</v>
      </c>
      <c r="I745" t="str">
        <f>VLOOKUP(B745,товар!$A$1:$C$433,2,FALSE)</f>
        <v>Овощи</v>
      </c>
      <c r="J745" s="22">
        <f t="shared" si="44"/>
        <v>250.48780487804879</v>
      </c>
      <c r="K745" s="24">
        <f t="shared" si="45"/>
        <v>-0.63271665043816938</v>
      </c>
      <c r="L745" t="str">
        <f>VLOOKUP(B745,товар!$A$1:$C$433,3,FALSE)</f>
        <v>Семко</v>
      </c>
      <c r="M745" s="24">
        <f t="shared" si="46"/>
        <v>-0.55769230769230771</v>
      </c>
      <c r="N745" s="29">
        <f t="shared" si="47"/>
        <v>208</v>
      </c>
      <c r="O745" s="32">
        <f>VLOOKUP(H745,клиенты!$A$2:$G$435,5,FALSE)</f>
        <v>44793</v>
      </c>
      <c r="P745">
        <f>Продажи[[#This Row],[дата создания чека]]-Продажи[[#This Row],[Дата регистрации клиента]]</f>
        <v>280</v>
      </c>
      <c r="Q745" t="str">
        <f>VLOOKUP(H745,Таблица3[],7,FALSE)</f>
        <v>Украина</v>
      </c>
    </row>
    <row r="746" spans="1:17" x14ac:dyDescent="0.3">
      <c r="A746">
        <v>745</v>
      </c>
      <c r="B746">
        <v>357</v>
      </c>
      <c r="C746">
        <v>290</v>
      </c>
      <c r="D746">
        <v>4</v>
      </c>
      <c r="E746">
        <v>1160</v>
      </c>
      <c r="F746" s="32">
        <v>45077</v>
      </c>
      <c r="G746" t="s">
        <v>13</v>
      </c>
      <c r="H746">
        <v>422</v>
      </c>
      <c r="I746" t="str">
        <f>VLOOKUP(B746,товар!$A$1:$C$433,2,FALSE)</f>
        <v>Мясо</v>
      </c>
      <c r="J746" s="22">
        <f t="shared" si="44"/>
        <v>271.74545454545455</v>
      </c>
      <c r="K746" s="24">
        <f t="shared" si="45"/>
        <v>6.7175163923457681E-2</v>
      </c>
      <c r="L746" t="str">
        <f>VLOOKUP(B746,товар!$A$1:$C$433,3,FALSE)</f>
        <v>Снежана</v>
      </c>
      <c r="M746" s="24">
        <f t="shared" si="46"/>
        <v>6.4794816414686762E-2</v>
      </c>
      <c r="N746" s="29">
        <f t="shared" si="47"/>
        <v>272.35294117647061</v>
      </c>
      <c r="O746" s="32">
        <f>VLOOKUP(H746,клиенты!$A$2:$G$435,5,FALSE)</f>
        <v>44784</v>
      </c>
      <c r="P746">
        <f>Продажи[[#This Row],[дата создания чека]]-Продажи[[#This Row],[Дата регистрации клиента]]</f>
        <v>293</v>
      </c>
      <c r="Q746" t="str">
        <f>VLOOKUP(H746,Таблица3[],7,FALSE)</f>
        <v>Украина</v>
      </c>
    </row>
    <row r="747" spans="1:17" x14ac:dyDescent="0.3">
      <c r="A747">
        <v>746</v>
      </c>
      <c r="B747">
        <v>337</v>
      </c>
      <c r="C747">
        <v>453</v>
      </c>
      <c r="D747">
        <v>4</v>
      </c>
      <c r="E747">
        <v>1812</v>
      </c>
      <c r="F747" s="32">
        <v>45415</v>
      </c>
      <c r="G747" t="s">
        <v>26</v>
      </c>
      <c r="H747">
        <v>115</v>
      </c>
      <c r="I747" t="str">
        <f>VLOOKUP(B747,товар!$A$1:$C$433,2,FALSE)</f>
        <v>Макароны</v>
      </c>
      <c r="J747" s="22">
        <f t="shared" si="44"/>
        <v>265.47674418604652</v>
      </c>
      <c r="K747" s="24">
        <f t="shared" si="45"/>
        <v>0.70636415400113872</v>
      </c>
      <c r="L747" t="str">
        <f>VLOOKUP(B747,товар!$A$1:$C$433,3,FALSE)</f>
        <v>Паста Зара</v>
      </c>
      <c r="M747" s="24">
        <f t="shared" si="46"/>
        <v>0.63729608283676864</v>
      </c>
      <c r="N747" s="29">
        <f t="shared" si="47"/>
        <v>276.67567567567568</v>
      </c>
      <c r="O747" s="32">
        <f>VLOOKUP(H747,клиенты!$A$2:$G$435,5,FALSE)</f>
        <v>44832</v>
      </c>
      <c r="P747">
        <f>Продажи[[#This Row],[дата создания чека]]-Продажи[[#This Row],[Дата регистрации клиента]]</f>
        <v>583</v>
      </c>
      <c r="Q747" t="str">
        <f>VLOOKUP(H747,Таблица3[],7,FALSE)</f>
        <v>Беларусь</v>
      </c>
    </row>
    <row r="748" spans="1:17" x14ac:dyDescent="0.3">
      <c r="A748">
        <v>747</v>
      </c>
      <c r="B748">
        <v>230</v>
      </c>
      <c r="C748">
        <v>104</v>
      </c>
      <c r="D748">
        <v>4</v>
      </c>
      <c r="E748">
        <v>416</v>
      </c>
      <c r="F748" s="32">
        <v>44965</v>
      </c>
      <c r="G748" t="s">
        <v>12</v>
      </c>
      <c r="H748">
        <v>163</v>
      </c>
      <c r="I748" t="str">
        <f>VLOOKUP(B748,товар!$A$1:$C$433,2,FALSE)</f>
        <v>Сок</v>
      </c>
      <c r="J748" s="22">
        <f t="shared" si="44"/>
        <v>268.60344827586209</v>
      </c>
      <c r="K748" s="24">
        <f t="shared" si="45"/>
        <v>-0.61281211887797682</v>
      </c>
      <c r="L748" t="str">
        <f>VLOOKUP(B748,товар!$A$1:$C$433,3,FALSE)</f>
        <v>Фруктовый сад</v>
      </c>
      <c r="M748" s="24">
        <f t="shared" si="46"/>
        <v>-0.63116480106394768</v>
      </c>
      <c r="N748" s="29">
        <f t="shared" si="47"/>
        <v>281.96875</v>
      </c>
      <c r="O748" s="32">
        <f>VLOOKUP(H748,клиенты!$A$2:$G$435,5,FALSE)</f>
        <v>44571</v>
      </c>
      <c r="P748">
        <f>Продажи[[#This Row],[дата создания чека]]-Продажи[[#This Row],[Дата регистрации клиента]]</f>
        <v>394</v>
      </c>
      <c r="Q748" t="str">
        <f>VLOOKUP(H748,Таблица3[],7,FALSE)</f>
        <v>Узбекистан</v>
      </c>
    </row>
    <row r="749" spans="1:17" x14ac:dyDescent="0.3">
      <c r="A749">
        <v>748</v>
      </c>
      <c r="B749">
        <v>293</v>
      </c>
      <c r="C749">
        <v>57</v>
      </c>
      <c r="D749">
        <v>5</v>
      </c>
      <c r="E749">
        <v>285</v>
      </c>
      <c r="F749" s="32">
        <v>45004</v>
      </c>
      <c r="G749" t="s">
        <v>26</v>
      </c>
      <c r="H749">
        <v>248</v>
      </c>
      <c r="I749" t="str">
        <f>VLOOKUP(B749,товар!$A$1:$C$433,2,FALSE)</f>
        <v>Конфеты</v>
      </c>
      <c r="J749" s="22">
        <f t="shared" si="44"/>
        <v>267.85483870967744</v>
      </c>
      <c r="K749" s="24">
        <f t="shared" si="45"/>
        <v>-0.78719816944661891</v>
      </c>
      <c r="L749" t="str">
        <f>VLOOKUP(B749,товар!$A$1:$C$433,3,FALSE)</f>
        <v>Бабаевский</v>
      </c>
      <c r="M749" s="24">
        <f t="shared" si="46"/>
        <v>-0.7722361994968181</v>
      </c>
      <c r="N749" s="29">
        <f t="shared" si="47"/>
        <v>250.25925925925927</v>
      </c>
      <c r="O749" s="32">
        <f>VLOOKUP(H749,клиенты!$A$2:$G$435,5,FALSE)</f>
        <v>44694</v>
      </c>
      <c r="P749">
        <f>Продажи[[#This Row],[дата создания чека]]-Продажи[[#This Row],[Дата регистрации клиента]]</f>
        <v>310</v>
      </c>
      <c r="Q749" t="str">
        <f>VLOOKUP(H749,Таблица3[],7,FALSE)</f>
        <v>Россия</v>
      </c>
    </row>
    <row r="750" spans="1:17" x14ac:dyDescent="0.3">
      <c r="A750">
        <v>749</v>
      </c>
      <c r="B750">
        <v>254</v>
      </c>
      <c r="C750">
        <v>326</v>
      </c>
      <c r="D750">
        <v>1</v>
      </c>
      <c r="E750">
        <v>326</v>
      </c>
      <c r="F750" s="32">
        <v>45372</v>
      </c>
      <c r="G750" t="s">
        <v>10</v>
      </c>
      <c r="H750">
        <v>201</v>
      </c>
      <c r="I750" t="str">
        <f>VLOOKUP(B750,товар!$A$1:$C$433,2,FALSE)</f>
        <v>Соль</v>
      </c>
      <c r="J750" s="22">
        <f t="shared" si="44"/>
        <v>264.8679245283019</v>
      </c>
      <c r="K750" s="24">
        <f t="shared" si="45"/>
        <v>0.23080210856247318</v>
      </c>
      <c r="L750" t="str">
        <f>VLOOKUP(B750,товар!$A$1:$C$433,3,FALSE)</f>
        <v>Илецкая</v>
      </c>
      <c r="M750" s="24">
        <f t="shared" si="46"/>
        <v>0.36878936319104283</v>
      </c>
      <c r="N750" s="29">
        <f t="shared" si="47"/>
        <v>238.16666666666666</v>
      </c>
      <c r="O750" s="32">
        <f>VLOOKUP(H750,клиенты!$A$2:$G$435,5,FALSE)</f>
        <v>44843</v>
      </c>
      <c r="P750">
        <f>Продажи[[#This Row],[дата создания чека]]-Продажи[[#This Row],[Дата регистрации клиента]]</f>
        <v>529</v>
      </c>
      <c r="Q750" t="str">
        <f>VLOOKUP(H750,Таблица3[],7,FALSE)</f>
        <v>Таджикистан</v>
      </c>
    </row>
    <row r="751" spans="1:17" x14ac:dyDescent="0.3">
      <c r="A751">
        <v>750</v>
      </c>
      <c r="B751">
        <v>248</v>
      </c>
      <c r="C751">
        <v>176</v>
      </c>
      <c r="D751">
        <v>5</v>
      </c>
      <c r="E751">
        <v>880</v>
      </c>
      <c r="F751" s="32">
        <v>44946</v>
      </c>
      <c r="G751" t="s">
        <v>16</v>
      </c>
      <c r="H751">
        <v>434</v>
      </c>
      <c r="I751" t="str">
        <f>VLOOKUP(B751,товар!$A$1:$C$433,2,FALSE)</f>
        <v>Конфеты</v>
      </c>
      <c r="J751" s="22">
        <f t="shared" si="44"/>
        <v>267.85483870967744</v>
      </c>
      <c r="K751" s="24">
        <f t="shared" si="45"/>
        <v>-0.34292768109833205</v>
      </c>
      <c r="L751" t="str">
        <f>VLOOKUP(B751,товар!$A$1:$C$433,3,FALSE)</f>
        <v>Красный Октябрь</v>
      </c>
      <c r="M751" s="24">
        <f t="shared" si="46"/>
        <v>-0.35678391959798994</v>
      </c>
      <c r="N751" s="29">
        <f t="shared" si="47"/>
        <v>273.625</v>
      </c>
      <c r="O751" s="32">
        <f>VLOOKUP(H751,клиенты!$A$2:$G$435,5,FALSE)</f>
        <v>44730</v>
      </c>
      <c r="P751">
        <f>Продажи[[#This Row],[дата создания чека]]-Продажи[[#This Row],[Дата регистрации клиента]]</f>
        <v>216</v>
      </c>
      <c r="Q751" t="str">
        <f>VLOOKUP(H751,Таблица3[],7,FALSE)</f>
        <v>Украина</v>
      </c>
    </row>
    <row r="752" spans="1:17" x14ac:dyDescent="0.3">
      <c r="A752">
        <v>751</v>
      </c>
      <c r="B752">
        <v>156</v>
      </c>
      <c r="C752">
        <v>490</v>
      </c>
      <c r="D752">
        <v>1</v>
      </c>
      <c r="E752">
        <v>490</v>
      </c>
      <c r="F752" s="32">
        <v>45237</v>
      </c>
      <c r="G752" t="s">
        <v>17</v>
      </c>
      <c r="H752">
        <v>140</v>
      </c>
      <c r="I752" t="str">
        <f>VLOOKUP(B752,товар!$A$1:$C$433,2,FALSE)</f>
        <v>Фрукты</v>
      </c>
      <c r="J752" s="22">
        <f t="shared" si="44"/>
        <v>274.16279069767444</v>
      </c>
      <c r="K752" s="24">
        <f t="shared" si="45"/>
        <v>0.78725930952582912</v>
      </c>
      <c r="L752" t="str">
        <f>VLOOKUP(B752,товар!$A$1:$C$433,3,FALSE)</f>
        <v>Фрукты-Ягоды</v>
      </c>
      <c r="M752" s="24">
        <f t="shared" si="46"/>
        <v>0.74584323040380029</v>
      </c>
      <c r="N752" s="29">
        <f t="shared" si="47"/>
        <v>280.66666666666669</v>
      </c>
      <c r="O752" s="32">
        <f>VLOOKUP(H752,клиенты!$A$2:$G$435,5,FALSE)</f>
        <v>44627</v>
      </c>
      <c r="P752">
        <f>Продажи[[#This Row],[дата создания чека]]-Продажи[[#This Row],[Дата регистрации клиента]]</f>
        <v>610</v>
      </c>
      <c r="Q752" t="str">
        <f>VLOOKUP(H752,Таблица3[],7,FALSE)</f>
        <v>Россия</v>
      </c>
    </row>
    <row r="753" spans="1:17" x14ac:dyDescent="0.3">
      <c r="A753">
        <v>752</v>
      </c>
      <c r="B753">
        <v>370</v>
      </c>
      <c r="C753">
        <v>95</v>
      </c>
      <c r="D753">
        <v>5</v>
      </c>
      <c r="E753">
        <v>475</v>
      </c>
      <c r="F753" s="32">
        <v>45202</v>
      </c>
      <c r="G753" t="s">
        <v>13</v>
      </c>
      <c r="H753">
        <v>250</v>
      </c>
      <c r="I753" t="str">
        <f>VLOOKUP(B753,товар!$A$1:$C$433,2,FALSE)</f>
        <v>Сок</v>
      </c>
      <c r="J753" s="22">
        <f t="shared" si="44"/>
        <v>268.60344827586209</v>
      </c>
      <c r="K753" s="24">
        <f t="shared" si="45"/>
        <v>-0.64631876243661335</v>
      </c>
      <c r="L753" t="str">
        <f>VLOOKUP(B753,товар!$A$1:$C$433,3,FALSE)</f>
        <v>Фруктовый сад</v>
      </c>
      <c r="M753" s="24">
        <f t="shared" si="46"/>
        <v>-0.66308323174110606</v>
      </c>
      <c r="N753" s="29">
        <f t="shared" si="47"/>
        <v>281.96875</v>
      </c>
      <c r="O753" s="32">
        <f>VLOOKUP(H753,клиенты!$A$2:$G$435,5,FALSE)</f>
        <v>44856</v>
      </c>
      <c r="P753">
        <f>Продажи[[#This Row],[дата создания чека]]-Продажи[[#This Row],[Дата регистрации клиента]]</f>
        <v>346</v>
      </c>
      <c r="Q753" t="str">
        <f>VLOOKUP(H753,Таблица3[],7,FALSE)</f>
        <v>Россия</v>
      </c>
    </row>
    <row r="754" spans="1:17" x14ac:dyDescent="0.3">
      <c r="A754">
        <v>753</v>
      </c>
      <c r="B754">
        <v>61</v>
      </c>
      <c r="C754">
        <v>183</v>
      </c>
      <c r="D754">
        <v>5</v>
      </c>
      <c r="E754">
        <v>915</v>
      </c>
      <c r="F754" s="32">
        <v>45062</v>
      </c>
      <c r="G754" t="s">
        <v>17</v>
      </c>
      <c r="H754">
        <v>191</v>
      </c>
      <c r="I754" t="str">
        <f>VLOOKUP(B754,товар!$A$1:$C$433,2,FALSE)</f>
        <v>Йогурт</v>
      </c>
      <c r="J754" s="22">
        <f t="shared" si="44"/>
        <v>263.25423728813558</v>
      </c>
      <c r="K754" s="24">
        <f t="shared" si="45"/>
        <v>-0.30485449394797837</v>
      </c>
      <c r="L754" t="str">
        <f>VLOOKUP(B754,товар!$A$1:$C$433,3,FALSE)</f>
        <v>Эрманн</v>
      </c>
      <c r="M754" s="24">
        <f t="shared" si="46"/>
        <v>-0.26358148893360156</v>
      </c>
      <c r="N754" s="29">
        <f t="shared" si="47"/>
        <v>248.5</v>
      </c>
      <c r="O754" s="32">
        <f>VLOOKUP(H754,клиенты!$A$2:$G$435,5,FALSE)</f>
        <v>44866</v>
      </c>
      <c r="P754">
        <f>Продажи[[#This Row],[дата создания чека]]-Продажи[[#This Row],[Дата регистрации клиента]]</f>
        <v>196</v>
      </c>
      <c r="Q754" t="str">
        <f>VLOOKUP(H754,Таблица3[],7,FALSE)</f>
        <v>Украина</v>
      </c>
    </row>
    <row r="755" spans="1:17" x14ac:dyDescent="0.3">
      <c r="A755">
        <v>754</v>
      </c>
      <c r="B755">
        <v>246</v>
      </c>
      <c r="C755">
        <v>302</v>
      </c>
      <c r="D755">
        <v>5</v>
      </c>
      <c r="E755">
        <v>1510</v>
      </c>
      <c r="F755" s="32">
        <v>45407</v>
      </c>
      <c r="G755" t="s">
        <v>13</v>
      </c>
      <c r="H755">
        <v>336</v>
      </c>
      <c r="I755" t="str">
        <f>VLOOKUP(B755,товар!$A$1:$C$433,2,FALSE)</f>
        <v>Сыр</v>
      </c>
      <c r="J755" s="22">
        <f t="shared" si="44"/>
        <v>262.63492063492066</v>
      </c>
      <c r="K755" s="24">
        <f t="shared" si="45"/>
        <v>0.14988516862081469</v>
      </c>
      <c r="L755" t="str">
        <f>VLOOKUP(B755,товар!$A$1:$C$433,3,FALSE)</f>
        <v>President</v>
      </c>
      <c r="M755" s="24">
        <f t="shared" si="46"/>
        <v>0.26506865254828949</v>
      </c>
      <c r="N755" s="29">
        <f t="shared" si="47"/>
        <v>238.72222222222223</v>
      </c>
      <c r="O755" s="32">
        <f>VLOOKUP(H755,клиенты!$A$2:$G$435,5,FALSE)</f>
        <v>44856</v>
      </c>
      <c r="P755">
        <f>Продажи[[#This Row],[дата создания чека]]-Продажи[[#This Row],[Дата регистрации клиента]]</f>
        <v>551</v>
      </c>
      <c r="Q755" t="str">
        <f>VLOOKUP(H755,Таблица3[],7,FALSE)</f>
        <v>Узбекистан</v>
      </c>
    </row>
    <row r="756" spans="1:17" x14ac:dyDescent="0.3">
      <c r="A756">
        <v>755</v>
      </c>
      <c r="B756">
        <v>322</v>
      </c>
      <c r="C756">
        <v>417</v>
      </c>
      <c r="D756">
        <v>2</v>
      </c>
      <c r="E756">
        <v>834</v>
      </c>
      <c r="F756" s="32">
        <v>45376</v>
      </c>
      <c r="G756" t="s">
        <v>24</v>
      </c>
      <c r="H756">
        <v>3</v>
      </c>
      <c r="I756" t="str">
        <f>VLOOKUP(B756,товар!$A$1:$C$433,2,FALSE)</f>
        <v>Крупа</v>
      </c>
      <c r="J756" s="22">
        <f t="shared" si="44"/>
        <v>255.11627906976744</v>
      </c>
      <c r="K756" s="24">
        <f t="shared" si="45"/>
        <v>0.6345487693710119</v>
      </c>
      <c r="L756" t="str">
        <f>VLOOKUP(B756,товар!$A$1:$C$433,3,FALSE)</f>
        <v>Увелка</v>
      </c>
      <c r="M756" s="24">
        <f t="shared" si="46"/>
        <v>0.65530929540191862</v>
      </c>
      <c r="N756" s="29">
        <f t="shared" si="47"/>
        <v>251.91666666666666</v>
      </c>
      <c r="O756" s="32">
        <f>VLOOKUP(H756,клиенты!$A$2:$G$435,5,FALSE)</f>
        <v>44666</v>
      </c>
      <c r="P756">
        <f>Продажи[[#This Row],[дата создания чека]]-Продажи[[#This Row],[Дата регистрации клиента]]</f>
        <v>710</v>
      </c>
      <c r="Q756" t="str">
        <f>VLOOKUP(H756,Таблица3[],7,FALSE)</f>
        <v>Украина</v>
      </c>
    </row>
    <row r="757" spans="1:17" x14ac:dyDescent="0.3">
      <c r="A757">
        <v>756</v>
      </c>
      <c r="B757">
        <v>51</v>
      </c>
      <c r="C757">
        <v>439</v>
      </c>
      <c r="D757">
        <v>5</v>
      </c>
      <c r="E757">
        <v>2195</v>
      </c>
      <c r="F757" s="32">
        <v>45353</v>
      </c>
      <c r="G757" t="s">
        <v>17</v>
      </c>
      <c r="H757">
        <v>435</v>
      </c>
      <c r="I757" t="str">
        <f>VLOOKUP(B757,товар!$A$1:$C$433,2,FALSE)</f>
        <v>Колбаса</v>
      </c>
      <c r="J757" s="22">
        <f t="shared" si="44"/>
        <v>286.92307692307691</v>
      </c>
      <c r="K757" s="24">
        <f t="shared" si="45"/>
        <v>0.53002680965147464</v>
      </c>
      <c r="L757" t="str">
        <f>VLOOKUP(B757,товар!$A$1:$C$433,3,FALSE)</f>
        <v>Дымов</v>
      </c>
      <c r="M757" s="24">
        <f t="shared" si="46"/>
        <v>0.40405117270788904</v>
      </c>
      <c r="N757" s="29">
        <f t="shared" si="47"/>
        <v>312.66666666666669</v>
      </c>
      <c r="O757" s="32">
        <f>VLOOKUP(H757,клиенты!$A$2:$G$435,5,FALSE)</f>
        <v>44618</v>
      </c>
      <c r="P757">
        <f>Продажи[[#This Row],[дата создания чека]]-Продажи[[#This Row],[Дата регистрации клиента]]</f>
        <v>735</v>
      </c>
      <c r="Q757" t="str">
        <f>VLOOKUP(H757,Таблица3[],7,FALSE)</f>
        <v>Узбекистан</v>
      </c>
    </row>
    <row r="758" spans="1:17" x14ac:dyDescent="0.3">
      <c r="A758">
        <v>757</v>
      </c>
      <c r="B758">
        <v>189</v>
      </c>
      <c r="C758">
        <v>136</v>
      </c>
      <c r="D758">
        <v>5</v>
      </c>
      <c r="E758">
        <v>680</v>
      </c>
      <c r="F758" s="32">
        <v>45232</v>
      </c>
      <c r="G758" t="s">
        <v>26</v>
      </c>
      <c r="H758">
        <v>80</v>
      </c>
      <c r="I758" t="str">
        <f>VLOOKUP(B758,товар!$A$1:$C$433,2,FALSE)</f>
        <v>Хлеб</v>
      </c>
      <c r="J758" s="22">
        <f t="shared" si="44"/>
        <v>300.31818181818181</v>
      </c>
      <c r="K758" s="24">
        <f t="shared" si="45"/>
        <v>-0.54714696533979112</v>
      </c>
      <c r="L758" t="str">
        <f>VLOOKUP(B758,товар!$A$1:$C$433,3,FALSE)</f>
        <v>Дарница</v>
      </c>
      <c r="M758" s="24">
        <f t="shared" si="46"/>
        <v>-0.48484848484848486</v>
      </c>
      <c r="N758" s="29">
        <f t="shared" si="47"/>
        <v>264</v>
      </c>
      <c r="O758" s="32">
        <f>VLOOKUP(H758,клиенты!$A$2:$G$435,5,FALSE)</f>
        <v>44623</v>
      </c>
      <c r="P758">
        <f>Продажи[[#This Row],[дата создания чека]]-Продажи[[#This Row],[Дата регистрации клиента]]</f>
        <v>609</v>
      </c>
      <c r="Q758" t="str">
        <f>VLOOKUP(H758,Таблица3[],7,FALSE)</f>
        <v>Беларусь</v>
      </c>
    </row>
    <row r="759" spans="1:17" x14ac:dyDescent="0.3">
      <c r="A759">
        <v>758</v>
      </c>
      <c r="B759">
        <v>67</v>
      </c>
      <c r="C759">
        <v>274</v>
      </c>
      <c r="D759">
        <v>4</v>
      </c>
      <c r="E759">
        <v>1096</v>
      </c>
      <c r="F759" s="32">
        <v>45298</v>
      </c>
      <c r="G759" t="s">
        <v>10</v>
      </c>
      <c r="H759">
        <v>262</v>
      </c>
      <c r="I759" t="str">
        <f>VLOOKUP(B759,товар!$A$1:$C$433,2,FALSE)</f>
        <v>Йогурт</v>
      </c>
      <c r="J759" s="22">
        <f t="shared" si="44"/>
        <v>263.25423728813558</v>
      </c>
      <c r="K759" s="24">
        <f t="shared" si="45"/>
        <v>4.0818954416688147E-2</v>
      </c>
      <c r="L759" t="str">
        <f>VLOOKUP(B759,товар!$A$1:$C$433,3,FALSE)</f>
        <v>Чудо</v>
      </c>
      <c r="M759" s="24">
        <f t="shared" si="46"/>
        <v>-4.5628700801114697E-2</v>
      </c>
      <c r="N759" s="29">
        <f t="shared" si="47"/>
        <v>287.10000000000002</v>
      </c>
      <c r="O759" s="32">
        <f>VLOOKUP(H759,клиенты!$A$2:$G$435,5,FALSE)</f>
        <v>44778</v>
      </c>
      <c r="P759">
        <f>Продажи[[#This Row],[дата создания чека]]-Продажи[[#This Row],[Дата регистрации клиента]]</f>
        <v>520</v>
      </c>
      <c r="Q759" t="str">
        <f>VLOOKUP(H759,Таблица3[],7,FALSE)</f>
        <v>Таджикистан</v>
      </c>
    </row>
    <row r="760" spans="1:17" x14ac:dyDescent="0.3">
      <c r="A760">
        <v>759</v>
      </c>
      <c r="B760">
        <v>301</v>
      </c>
      <c r="C760">
        <v>189</v>
      </c>
      <c r="D760">
        <v>3</v>
      </c>
      <c r="E760">
        <v>567</v>
      </c>
      <c r="F760" s="32">
        <v>45144</v>
      </c>
      <c r="G760" t="s">
        <v>23</v>
      </c>
      <c r="H760">
        <v>43</v>
      </c>
      <c r="I760" t="str">
        <f>VLOOKUP(B760,товар!$A$1:$C$433,2,FALSE)</f>
        <v>Фрукты</v>
      </c>
      <c r="J760" s="22">
        <f t="shared" si="44"/>
        <v>274.16279069767444</v>
      </c>
      <c r="K760" s="24">
        <f t="shared" si="45"/>
        <v>-0.31062855204003736</v>
      </c>
      <c r="L760" t="str">
        <f>VLOOKUP(B760,товар!$A$1:$C$433,3,FALSE)</f>
        <v>Экзотик</v>
      </c>
      <c r="M760" s="24">
        <f t="shared" si="46"/>
        <v>-0.25498891352549891</v>
      </c>
      <c r="N760" s="29">
        <f t="shared" si="47"/>
        <v>253.6875</v>
      </c>
      <c r="O760" s="32">
        <f>VLOOKUP(H760,клиенты!$A$2:$G$435,5,FALSE)</f>
        <v>44912</v>
      </c>
      <c r="P760">
        <f>Продажи[[#This Row],[дата создания чека]]-Продажи[[#This Row],[Дата регистрации клиента]]</f>
        <v>232</v>
      </c>
      <c r="Q760" t="str">
        <f>VLOOKUP(H760,Таблица3[],7,FALSE)</f>
        <v>Россия</v>
      </c>
    </row>
    <row r="761" spans="1:17" x14ac:dyDescent="0.3">
      <c r="A761">
        <v>760</v>
      </c>
      <c r="B761">
        <v>463</v>
      </c>
      <c r="C761">
        <v>77</v>
      </c>
      <c r="D761">
        <v>4</v>
      </c>
      <c r="E761">
        <v>308</v>
      </c>
      <c r="F761" s="32">
        <v>45293</v>
      </c>
      <c r="G761" t="s">
        <v>21</v>
      </c>
      <c r="H761">
        <v>163</v>
      </c>
      <c r="I761" t="str">
        <f>VLOOKUP(B761,товар!$A$1:$C$433,2,FALSE)</f>
        <v>Кофе</v>
      </c>
      <c r="J761" s="22">
        <f t="shared" si="44"/>
        <v>249.02380952380952</v>
      </c>
      <c r="K761" s="24">
        <f t="shared" si="45"/>
        <v>-0.69079261879720821</v>
      </c>
      <c r="L761" t="str">
        <f>VLOOKUP(B761,товар!$A$1:$C$433,3,FALSE)</f>
        <v>Черная Карта</v>
      </c>
      <c r="M761" s="24">
        <f t="shared" si="46"/>
        <v>-0.65346534653465338</v>
      </c>
      <c r="N761" s="29">
        <f t="shared" si="47"/>
        <v>222.2</v>
      </c>
      <c r="O761" s="32">
        <f>VLOOKUP(H761,клиенты!$A$2:$G$435,5,FALSE)</f>
        <v>44571</v>
      </c>
      <c r="P761">
        <f>Продажи[[#This Row],[дата создания чека]]-Продажи[[#This Row],[Дата регистрации клиента]]</f>
        <v>722</v>
      </c>
      <c r="Q761" t="str">
        <f>VLOOKUP(H761,Таблица3[],7,FALSE)</f>
        <v>Узбекистан</v>
      </c>
    </row>
    <row r="762" spans="1:17" x14ac:dyDescent="0.3">
      <c r="A762">
        <v>761</v>
      </c>
      <c r="B762">
        <v>151</v>
      </c>
      <c r="C762">
        <v>239</v>
      </c>
      <c r="D762">
        <v>2</v>
      </c>
      <c r="E762">
        <v>478</v>
      </c>
      <c r="F762" s="32">
        <v>45056</v>
      </c>
      <c r="G762" t="s">
        <v>14</v>
      </c>
      <c r="H762">
        <v>386</v>
      </c>
      <c r="I762" t="str">
        <f>VLOOKUP(B762,товар!$A$1:$C$433,2,FALSE)</f>
        <v>Молоко</v>
      </c>
      <c r="J762" s="22">
        <f t="shared" si="44"/>
        <v>294.95238095238096</v>
      </c>
      <c r="K762" s="24">
        <f t="shared" si="45"/>
        <v>-0.18969970939618985</v>
      </c>
      <c r="L762" t="str">
        <f>VLOOKUP(B762,товар!$A$1:$C$433,3,FALSE)</f>
        <v>Беллакт</v>
      </c>
      <c r="M762" s="24">
        <f t="shared" si="46"/>
        <v>-0.25901916572717032</v>
      </c>
      <c r="N762" s="29">
        <f t="shared" si="47"/>
        <v>322.54545454545456</v>
      </c>
      <c r="O762" s="32">
        <f>VLOOKUP(H762,клиенты!$A$2:$G$435,5,FALSE)</f>
        <v>44734</v>
      </c>
      <c r="P762">
        <f>Продажи[[#This Row],[дата создания чека]]-Продажи[[#This Row],[Дата регистрации клиента]]</f>
        <v>322</v>
      </c>
      <c r="Q762" t="str">
        <f>VLOOKUP(H762,Таблица3[],7,FALSE)</f>
        <v>Узбекистан</v>
      </c>
    </row>
    <row r="763" spans="1:17" x14ac:dyDescent="0.3">
      <c r="A763">
        <v>762</v>
      </c>
      <c r="B763">
        <v>398</v>
      </c>
      <c r="C763">
        <v>464</v>
      </c>
      <c r="D763">
        <v>5</v>
      </c>
      <c r="E763">
        <v>2320</v>
      </c>
      <c r="F763" s="32">
        <v>45040</v>
      </c>
      <c r="G763" t="s">
        <v>11</v>
      </c>
      <c r="H763">
        <v>342</v>
      </c>
      <c r="I763" t="str">
        <f>VLOOKUP(B763,товар!$A$1:$C$433,2,FALSE)</f>
        <v>Сок</v>
      </c>
      <c r="J763" s="22">
        <f t="shared" si="44"/>
        <v>268.60344827586209</v>
      </c>
      <c r="K763" s="24">
        <f t="shared" si="45"/>
        <v>0.72745362346748821</v>
      </c>
      <c r="L763" t="str">
        <f>VLOOKUP(B763,товар!$A$1:$C$433,3,FALSE)</f>
        <v>Фруктовый сад</v>
      </c>
      <c r="M763" s="24">
        <f t="shared" si="46"/>
        <v>0.64557242602238718</v>
      </c>
      <c r="N763" s="29">
        <f t="shared" si="47"/>
        <v>281.96875</v>
      </c>
      <c r="O763" s="32">
        <f>VLOOKUP(H763,клиенты!$A$2:$G$435,5,FALSE)</f>
        <v>44570</v>
      </c>
      <c r="P763">
        <f>Продажи[[#This Row],[дата создания чека]]-Продажи[[#This Row],[Дата регистрации клиента]]</f>
        <v>470</v>
      </c>
      <c r="Q763" t="str">
        <f>VLOOKUP(H763,Таблица3[],7,FALSE)</f>
        <v>Таджикистан</v>
      </c>
    </row>
    <row r="764" spans="1:17" x14ac:dyDescent="0.3">
      <c r="A764">
        <v>763</v>
      </c>
      <c r="B764">
        <v>483</v>
      </c>
      <c r="C764">
        <v>140</v>
      </c>
      <c r="D764">
        <v>5</v>
      </c>
      <c r="E764">
        <v>700</v>
      </c>
      <c r="F764" s="32">
        <v>45244</v>
      </c>
      <c r="G764" t="s">
        <v>11</v>
      </c>
      <c r="H764">
        <v>7</v>
      </c>
      <c r="I764" t="str">
        <f>VLOOKUP(B764,товар!$A$1:$C$433,2,FALSE)</f>
        <v>Колбаса</v>
      </c>
      <c r="J764" s="22">
        <f t="shared" si="44"/>
        <v>286.92307692307691</v>
      </c>
      <c r="K764" s="24">
        <f t="shared" si="45"/>
        <v>-0.51206434316353877</v>
      </c>
      <c r="L764" t="str">
        <f>VLOOKUP(B764,товар!$A$1:$C$433,3,FALSE)</f>
        <v>Дымов</v>
      </c>
      <c r="M764" s="24">
        <f t="shared" si="46"/>
        <v>-0.55223880597014929</v>
      </c>
      <c r="N764" s="29">
        <f t="shared" si="47"/>
        <v>312.66666666666669</v>
      </c>
      <c r="O764" s="32">
        <f>VLOOKUP(H764,клиенты!$A$2:$G$435,5,FALSE)</f>
        <v>44893</v>
      </c>
      <c r="P764">
        <f>Продажи[[#This Row],[дата создания чека]]-Продажи[[#This Row],[Дата регистрации клиента]]</f>
        <v>351</v>
      </c>
      <c r="Q764" t="str">
        <f>VLOOKUP(H764,Таблица3[],7,FALSE)</f>
        <v>Россия</v>
      </c>
    </row>
    <row r="765" spans="1:17" x14ac:dyDescent="0.3">
      <c r="A765">
        <v>764</v>
      </c>
      <c r="B765">
        <v>86</v>
      </c>
      <c r="C765">
        <v>353</v>
      </c>
      <c r="D765">
        <v>2</v>
      </c>
      <c r="E765">
        <v>706</v>
      </c>
      <c r="F765" s="32">
        <v>45333</v>
      </c>
      <c r="G765" t="s">
        <v>27</v>
      </c>
      <c r="H765">
        <v>264</v>
      </c>
      <c r="I765" t="str">
        <f>VLOOKUP(B765,товар!$A$1:$C$433,2,FALSE)</f>
        <v>Сахар</v>
      </c>
      <c r="J765" s="22">
        <f t="shared" si="44"/>
        <v>252.76271186440678</v>
      </c>
      <c r="K765" s="24">
        <f t="shared" si="45"/>
        <v>0.39656675383893236</v>
      </c>
      <c r="L765" t="str">
        <f>VLOOKUP(B765,товар!$A$1:$C$433,3,FALSE)</f>
        <v>Русский сахар</v>
      </c>
      <c r="M765" s="24">
        <f t="shared" si="46"/>
        <v>0.20308740978348028</v>
      </c>
      <c r="N765" s="29">
        <f t="shared" si="47"/>
        <v>293.41176470588238</v>
      </c>
      <c r="O765" s="32">
        <f>VLOOKUP(H765,клиенты!$A$2:$G$435,5,FALSE)</f>
        <v>44907</v>
      </c>
      <c r="P765">
        <f>Продажи[[#This Row],[дата создания чека]]-Продажи[[#This Row],[Дата регистрации клиента]]</f>
        <v>426</v>
      </c>
      <c r="Q765" t="str">
        <f>VLOOKUP(H765,Таблица3[],7,FALSE)</f>
        <v>Беларусь</v>
      </c>
    </row>
    <row r="766" spans="1:17" x14ac:dyDescent="0.3">
      <c r="A766">
        <v>765</v>
      </c>
      <c r="B766">
        <v>158</v>
      </c>
      <c r="C766">
        <v>318</v>
      </c>
      <c r="D766">
        <v>5</v>
      </c>
      <c r="E766">
        <v>1590</v>
      </c>
      <c r="F766" s="32">
        <v>44958</v>
      </c>
      <c r="G766" t="s">
        <v>15</v>
      </c>
      <c r="H766">
        <v>99</v>
      </c>
      <c r="I766" t="str">
        <f>VLOOKUP(B766,товар!$A$1:$C$433,2,FALSE)</f>
        <v>Сахар</v>
      </c>
      <c r="J766" s="22">
        <f t="shared" si="44"/>
        <v>252.76271186440678</v>
      </c>
      <c r="K766" s="24">
        <f t="shared" si="45"/>
        <v>0.25809696238181457</v>
      </c>
      <c r="L766" t="str">
        <f>VLOOKUP(B766,товар!$A$1:$C$433,3,FALSE)</f>
        <v>Сладов</v>
      </c>
      <c r="M766" s="24">
        <f t="shared" si="46"/>
        <v>0.32352941176470584</v>
      </c>
      <c r="N766" s="29">
        <f t="shared" si="47"/>
        <v>240.26666666666668</v>
      </c>
      <c r="O766" s="32">
        <f>VLOOKUP(H766,клиенты!$A$2:$G$435,5,FALSE)</f>
        <v>44886</v>
      </c>
      <c r="P766">
        <f>Продажи[[#This Row],[дата создания чека]]-Продажи[[#This Row],[Дата регистрации клиента]]</f>
        <v>72</v>
      </c>
      <c r="Q766" t="str">
        <f>VLOOKUP(H766,Таблица3[],7,FALSE)</f>
        <v>Россия</v>
      </c>
    </row>
    <row r="767" spans="1:17" x14ac:dyDescent="0.3">
      <c r="A767">
        <v>766</v>
      </c>
      <c r="B767">
        <v>199</v>
      </c>
      <c r="C767">
        <v>80</v>
      </c>
      <c r="D767">
        <v>5</v>
      </c>
      <c r="E767">
        <v>400</v>
      </c>
      <c r="F767" s="32">
        <v>45408</v>
      </c>
      <c r="G767" t="s">
        <v>17</v>
      </c>
      <c r="H767">
        <v>404</v>
      </c>
      <c r="I767" t="str">
        <f>VLOOKUP(B767,товар!$A$1:$C$433,2,FALSE)</f>
        <v>Макароны</v>
      </c>
      <c r="J767" s="22">
        <f t="shared" si="44"/>
        <v>265.47674418604652</v>
      </c>
      <c r="K767" s="24">
        <f t="shared" si="45"/>
        <v>-0.69865533704174143</v>
      </c>
      <c r="L767" t="str">
        <f>VLOOKUP(B767,товар!$A$1:$C$433,3,FALSE)</f>
        <v>Борилла</v>
      </c>
      <c r="M767" s="24">
        <f t="shared" si="46"/>
        <v>-0.66141272621132519</v>
      </c>
      <c r="N767" s="29">
        <f t="shared" si="47"/>
        <v>236.27586206896552</v>
      </c>
      <c r="O767" s="32">
        <f>VLOOKUP(H767,клиенты!$A$2:$G$435,5,FALSE)</f>
        <v>44913</v>
      </c>
      <c r="P767">
        <f>Продажи[[#This Row],[дата создания чека]]-Продажи[[#This Row],[Дата регистрации клиента]]</f>
        <v>495</v>
      </c>
      <c r="Q767" t="str">
        <f>VLOOKUP(H767,Таблица3[],7,FALSE)</f>
        <v>Украина</v>
      </c>
    </row>
    <row r="768" spans="1:17" x14ac:dyDescent="0.3">
      <c r="A768">
        <v>767</v>
      </c>
      <c r="B768">
        <v>259</v>
      </c>
      <c r="C768">
        <v>90</v>
      </c>
      <c r="D768">
        <v>4</v>
      </c>
      <c r="E768">
        <v>360</v>
      </c>
      <c r="F768" s="32">
        <v>45058</v>
      </c>
      <c r="G768" t="s">
        <v>12</v>
      </c>
      <c r="H768">
        <v>79</v>
      </c>
      <c r="I768" t="str">
        <f>VLOOKUP(B768,товар!$A$1:$C$433,2,FALSE)</f>
        <v>Йогурт</v>
      </c>
      <c r="J768" s="22">
        <f t="shared" si="44"/>
        <v>263.25423728813558</v>
      </c>
      <c r="K768" s="24">
        <f t="shared" si="45"/>
        <v>-0.65812516095802209</v>
      </c>
      <c r="L768" t="str">
        <f>VLOOKUP(B768,товар!$A$1:$C$433,3,FALSE)</f>
        <v>Ростагроэкспорт</v>
      </c>
      <c r="M768" s="24">
        <f t="shared" si="46"/>
        <v>-0.65086861190757295</v>
      </c>
      <c r="N768" s="29">
        <f t="shared" si="47"/>
        <v>257.78260869565219</v>
      </c>
      <c r="O768" s="32">
        <f>VLOOKUP(H768,клиенты!$A$2:$G$435,5,FALSE)</f>
        <v>44716</v>
      </c>
      <c r="P768">
        <f>Продажи[[#This Row],[дата создания чека]]-Продажи[[#This Row],[Дата регистрации клиента]]</f>
        <v>342</v>
      </c>
      <c r="Q768" t="str">
        <f>VLOOKUP(H768,Таблица3[],7,FALSE)</f>
        <v>Таджикистан</v>
      </c>
    </row>
    <row r="769" spans="1:17" x14ac:dyDescent="0.3">
      <c r="A769">
        <v>768</v>
      </c>
      <c r="B769">
        <v>468</v>
      </c>
      <c r="C769">
        <v>167</v>
      </c>
      <c r="D769">
        <v>4</v>
      </c>
      <c r="E769">
        <v>668</v>
      </c>
      <c r="F769" s="32">
        <v>45211</v>
      </c>
      <c r="G769" t="s">
        <v>27</v>
      </c>
      <c r="H769">
        <v>377</v>
      </c>
      <c r="I769" t="str">
        <f>VLOOKUP(B769,товар!$A$1:$C$433,2,FALSE)</f>
        <v>Йогурт</v>
      </c>
      <c r="J769" s="22">
        <f t="shared" si="44"/>
        <v>263.25423728813558</v>
      </c>
      <c r="K769" s="24">
        <f t="shared" si="45"/>
        <v>-0.36563224311099662</v>
      </c>
      <c r="L769" t="str">
        <f>VLOOKUP(B769,товар!$A$1:$C$433,3,FALSE)</f>
        <v>Чудо</v>
      </c>
      <c r="M769" s="24">
        <f t="shared" si="46"/>
        <v>-0.41832114245907359</v>
      </c>
      <c r="N769" s="29">
        <f t="shared" si="47"/>
        <v>287.10000000000002</v>
      </c>
      <c r="O769" s="32">
        <f>VLOOKUP(H769,клиенты!$A$2:$G$435,5,FALSE)</f>
        <v>44794</v>
      </c>
      <c r="P769">
        <f>Продажи[[#This Row],[дата создания чека]]-Продажи[[#This Row],[Дата регистрации клиента]]</f>
        <v>417</v>
      </c>
      <c r="Q769" t="str">
        <f>VLOOKUP(H769,Таблица3[],7,FALSE)</f>
        <v>Узбекистан</v>
      </c>
    </row>
    <row r="770" spans="1:17" x14ac:dyDescent="0.3">
      <c r="A770">
        <v>769</v>
      </c>
      <c r="B770">
        <v>4</v>
      </c>
      <c r="C770">
        <v>478</v>
      </c>
      <c r="D770">
        <v>4</v>
      </c>
      <c r="E770">
        <v>1912</v>
      </c>
      <c r="F770" s="32">
        <v>45156</v>
      </c>
      <c r="G770" t="s">
        <v>21</v>
      </c>
      <c r="H770">
        <v>146</v>
      </c>
      <c r="I770" t="str">
        <f>VLOOKUP(B770,товар!$A$1:$C$433,2,FALSE)</f>
        <v>Рис</v>
      </c>
      <c r="J770" s="22">
        <f t="shared" ref="J770:J833" si="48">AVERAGEIF($I$2:$I$1001,I770,$C$2:$C$1001)</f>
        <v>258.375</v>
      </c>
      <c r="K770" s="24">
        <f t="shared" ref="K770:K833" si="49">C770/J770-1</f>
        <v>0.85002418964683124</v>
      </c>
      <c r="L770" t="str">
        <f>VLOOKUP(B770,товар!$A$1:$C$433,3,FALSE)</f>
        <v>Белый Злат</v>
      </c>
      <c r="M770" s="24">
        <f t="shared" ref="M770:M833" si="50">C770/N770-1</f>
        <v>0.7723009814612869</v>
      </c>
      <c r="N770" s="29">
        <f t="shared" ref="N770:N833" si="51">AVERAGEIFS($C$2:$C$1001,$I$2:$I$1001,I770,$L$2:$L$1001,L770)</f>
        <v>269.70588235294116</v>
      </c>
      <c r="O770" s="32">
        <f>VLOOKUP(H770,клиенты!$A$2:$G$435,5,FALSE)</f>
        <v>44617</v>
      </c>
      <c r="P770">
        <f>Продажи[[#This Row],[дата создания чека]]-Продажи[[#This Row],[Дата регистрации клиента]]</f>
        <v>539</v>
      </c>
      <c r="Q770" t="str">
        <f>VLOOKUP(H770,Таблица3[],7,FALSE)</f>
        <v>Беларусь</v>
      </c>
    </row>
    <row r="771" spans="1:17" x14ac:dyDescent="0.3">
      <c r="A771">
        <v>770</v>
      </c>
      <c r="B771">
        <v>155</v>
      </c>
      <c r="C771">
        <v>310</v>
      </c>
      <c r="D771">
        <v>4</v>
      </c>
      <c r="E771">
        <v>1240</v>
      </c>
      <c r="F771" s="32">
        <v>44930</v>
      </c>
      <c r="G771" t="s">
        <v>19</v>
      </c>
      <c r="H771">
        <v>346</v>
      </c>
      <c r="I771" t="str">
        <f>VLOOKUP(B771,товар!$A$1:$C$433,2,FALSE)</f>
        <v>Йогурт</v>
      </c>
      <c r="J771" s="22">
        <f t="shared" si="48"/>
        <v>263.25423728813558</v>
      </c>
      <c r="K771" s="24">
        <f t="shared" si="49"/>
        <v>0.17756889003347931</v>
      </c>
      <c r="L771" t="str">
        <f>VLOOKUP(B771,товар!$A$1:$C$433,3,FALSE)</f>
        <v>Эрманн</v>
      </c>
      <c r="M771" s="24">
        <f t="shared" si="50"/>
        <v>0.2474849094567404</v>
      </c>
      <c r="N771" s="29">
        <f t="shared" si="51"/>
        <v>248.5</v>
      </c>
      <c r="O771" s="32">
        <f>VLOOKUP(H771,клиенты!$A$2:$G$435,5,FALSE)</f>
        <v>44636</v>
      </c>
      <c r="P771">
        <f>Продажи[[#This Row],[дата создания чека]]-Продажи[[#This Row],[Дата регистрации клиента]]</f>
        <v>294</v>
      </c>
      <c r="Q771" t="str">
        <f>VLOOKUP(H771,Таблица3[],7,FALSE)</f>
        <v>Россия</v>
      </c>
    </row>
    <row r="772" spans="1:17" x14ac:dyDescent="0.3">
      <c r="A772">
        <v>771</v>
      </c>
      <c r="B772">
        <v>413</v>
      </c>
      <c r="C772">
        <v>210</v>
      </c>
      <c r="D772">
        <v>5</v>
      </c>
      <c r="E772">
        <v>1050</v>
      </c>
      <c r="F772" s="32">
        <v>45422</v>
      </c>
      <c r="G772" t="s">
        <v>19</v>
      </c>
      <c r="H772">
        <v>436</v>
      </c>
      <c r="I772" t="str">
        <f>VLOOKUP(B772,товар!$A$1:$C$433,2,FALSE)</f>
        <v>Кофе</v>
      </c>
      <c r="J772" s="22">
        <f t="shared" si="48"/>
        <v>249.02380952380952</v>
      </c>
      <c r="K772" s="24">
        <f t="shared" si="49"/>
        <v>-0.15670714217420401</v>
      </c>
      <c r="L772" t="str">
        <f>VLOOKUP(B772,товар!$A$1:$C$433,3,FALSE)</f>
        <v>Jacobs</v>
      </c>
      <c r="M772" s="24">
        <f t="shared" si="50"/>
        <v>-0.23971036585365857</v>
      </c>
      <c r="N772" s="29">
        <f t="shared" si="51"/>
        <v>276.21052631578948</v>
      </c>
      <c r="O772" s="32">
        <f>VLOOKUP(H772,клиенты!$A$2:$G$435,5,FALSE)</f>
        <v>44683</v>
      </c>
      <c r="P772">
        <f>Продажи[[#This Row],[дата создания чека]]-Продажи[[#This Row],[Дата регистрации клиента]]</f>
        <v>739</v>
      </c>
      <c r="Q772" t="str">
        <f>VLOOKUP(H772,Таблица3[],7,FALSE)</f>
        <v>Россия</v>
      </c>
    </row>
    <row r="773" spans="1:17" x14ac:dyDescent="0.3">
      <c r="A773">
        <v>772</v>
      </c>
      <c r="B773">
        <v>200</v>
      </c>
      <c r="C773">
        <v>67</v>
      </c>
      <c r="D773">
        <v>1</v>
      </c>
      <c r="E773">
        <v>67</v>
      </c>
      <c r="F773" s="32">
        <v>45163</v>
      </c>
      <c r="G773" t="s">
        <v>14</v>
      </c>
      <c r="H773">
        <v>103</v>
      </c>
      <c r="I773" t="str">
        <f>VLOOKUP(B773,товар!$A$1:$C$433,2,FALSE)</f>
        <v>Чипсы</v>
      </c>
      <c r="J773" s="22">
        <f t="shared" si="48"/>
        <v>273.72549019607845</v>
      </c>
      <c r="K773" s="24">
        <f t="shared" si="49"/>
        <v>-0.75522922636103151</v>
      </c>
      <c r="L773" t="str">
        <f>VLOOKUP(B773,товар!$A$1:$C$433,3,FALSE)</f>
        <v>Estrella</v>
      </c>
      <c r="M773" s="24">
        <f t="shared" si="50"/>
        <v>-0.74837828610447255</v>
      </c>
      <c r="N773" s="29">
        <f t="shared" si="51"/>
        <v>266.27272727272725</v>
      </c>
      <c r="O773" s="32">
        <f>VLOOKUP(H773,клиенты!$A$2:$G$435,5,FALSE)</f>
        <v>44787</v>
      </c>
      <c r="P773">
        <f>Продажи[[#This Row],[дата создания чека]]-Продажи[[#This Row],[Дата регистрации клиента]]</f>
        <v>376</v>
      </c>
      <c r="Q773" t="str">
        <f>VLOOKUP(H773,Таблица3[],7,FALSE)</f>
        <v>Узбекистан</v>
      </c>
    </row>
    <row r="774" spans="1:17" x14ac:dyDescent="0.3">
      <c r="A774">
        <v>773</v>
      </c>
      <c r="B774">
        <v>295</v>
      </c>
      <c r="C774">
        <v>294</v>
      </c>
      <c r="D774">
        <v>5</v>
      </c>
      <c r="E774">
        <v>1470</v>
      </c>
      <c r="F774" s="32">
        <v>45147</v>
      </c>
      <c r="G774" t="s">
        <v>26</v>
      </c>
      <c r="H774">
        <v>493</v>
      </c>
      <c r="I774" t="str">
        <f>VLOOKUP(B774,товар!$A$1:$C$433,2,FALSE)</f>
        <v>Печенье</v>
      </c>
      <c r="J774" s="22">
        <f t="shared" si="48"/>
        <v>283.468085106383</v>
      </c>
      <c r="K774" s="24">
        <f t="shared" si="49"/>
        <v>3.715379419049758E-2</v>
      </c>
      <c r="L774" t="str">
        <f>VLOOKUP(B774,товар!$A$1:$C$433,3,FALSE)</f>
        <v>Белогорье</v>
      </c>
      <c r="M774" s="24">
        <f t="shared" si="50"/>
        <v>0.17835671342685377</v>
      </c>
      <c r="N774" s="29">
        <f t="shared" si="51"/>
        <v>249.5</v>
      </c>
      <c r="O774" s="32">
        <f>VLOOKUP(H774,клиенты!$A$2:$G$435,5,FALSE)</f>
        <v>44855</v>
      </c>
      <c r="P774">
        <f>Продажи[[#This Row],[дата создания чека]]-Продажи[[#This Row],[Дата регистрации клиента]]</f>
        <v>292</v>
      </c>
      <c r="Q774" t="str">
        <f>VLOOKUP(H774,Таблица3[],7,FALSE)</f>
        <v>Украина</v>
      </c>
    </row>
    <row r="775" spans="1:17" x14ac:dyDescent="0.3">
      <c r="A775">
        <v>774</v>
      </c>
      <c r="B775">
        <v>39</v>
      </c>
      <c r="C775">
        <v>404</v>
      </c>
      <c r="D775">
        <v>2</v>
      </c>
      <c r="E775">
        <v>808</v>
      </c>
      <c r="F775" s="32">
        <v>45175</v>
      </c>
      <c r="G775" t="s">
        <v>15</v>
      </c>
      <c r="H775">
        <v>252</v>
      </c>
      <c r="I775" t="str">
        <f>VLOOKUP(B775,товар!$A$1:$C$433,2,FALSE)</f>
        <v>Сыр</v>
      </c>
      <c r="J775" s="22">
        <f t="shared" si="48"/>
        <v>262.63492063492066</v>
      </c>
      <c r="K775" s="24">
        <f t="shared" si="49"/>
        <v>0.53825698053910287</v>
      </c>
      <c r="L775" t="str">
        <f>VLOOKUP(B775,товар!$A$1:$C$433,3,FALSE)</f>
        <v>Сырная долина</v>
      </c>
      <c r="M775" s="24">
        <f t="shared" si="50"/>
        <v>0.4907749077490775</v>
      </c>
      <c r="N775" s="29">
        <f t="shared" si="51"/>
        <v>271</v>
      </c>
      <c r="O775" s="32">
        <f>VLOOKUP(H775,клиенты!$A$2:$G$435,5,FALSE)</f>
        <v>44643</v>
      </c>
      <c r="P775">
        <f>Продажи[[#This Row],[дата создания чека]]-Продажи[[#This Row],[Дата регистрации клиента]]</f>
        <v>532</v>
      </c>
      <c r="Q775" t="str">
        <f>VLOOKUP(H775,Таблица3[],7,FALSE)</f>
        <v>Россия</v>
      </c>
    </row>
    <row r="776" spans="1:17" x14ac:dyDescent="0.3">
      <c r="A776">
        <v>775</v>
      </c>
      <c r="B776">
        <v>228</v>
      </c>
      <c r="C776">
        <v>98</v>
      </c>
      <c r="D776">
        <v>2</v>
      </c>
      <c r="E776">
        <v>196</v>
      </c>
      <c r="F776" s="32">
        <v>45344</v>
      </c>
      <c r="G776" t="s">
        <v>12</v>
      </c>
      <c r="H776">
        <v>338</v>
      </c>
      <c r="I776" t="str">
        <f>VLOOKUP(B776,товар!$A$1:$C$433,2,FALSE)</f>
        <v>Рис</v>
      </c>
      <c r="J776" s="22">
        <f t="shared" si="48"/>
        <v>258.375</v>
      </c>
      <c r="K776" s="24">
        <f t="shared" si="49"/>
        <v>-0.62070633768746974</v>
      </c>
      <c r="L776" t="str">
        <f>VLOOKUP(B776,товар!$A$1:$C$433,3,FALSE)</f>
        <v>Мистраль</v>
      </c>
      <c r="M776" s="24">
        <f t="shared" si="50"/>
        <v>-0.46026750590086551</v>
      </c>
      <c r="N776" s="29">
        <f t="shared" si="51"/>
        <v>181.57142857142858</v>
      </c>
      <c r="O776" s="32">
        <f>VLOOKUP(H776,клиенты!$A$2:$G$435,5,FALSE)</f>
        <v>44577</v>
      </c>
      <c r="P776">
        <f>Продажи[[#This Row],[дата создания чека]]-Продажи[[#This Row],[Дата регистрации клиента]]</f>
        <v>767</v>
      </c>
      <c r="Q776" t="str">
        <f>VLOOKUP(H776,Таблица3[],7,FALSE)</f>
        <v>Таджикистан</v>
      </c>
    </row>
    <row r="777" spans="1:17" x14ac:dyDescent="0.3">
      <c r="A777">
        <v>776</v>
      </c>
      <c r="B777">
        <v>37</v>
      </c>
      <c r="C777">
        <v>139</v>
      </c>
      <c r="D777">
        <v>3</v>
      </c>
      <c r="E777">
        <v>417</v>
      </c>
      <c r="F777" s="32">
        <v>45014</v>
      </c>
      <c r="G777" t="s">
        <v>17</v>
      </c>
      <c r="H777">
        <v>397</v>
      </c>
      <c r="I777" t="str">
        <f>VLOOKUP(B777,товар!$A$1:$C$433,2,FALSE)</f>
        <v>Соль</v>
      </c>
      <c r="J777" s="22">
        <f t="shared" si="48"/>
        <v>264.8679245283019</v>
      </c>
      <c r="K777" s="24">
        <f t="shared" si="49"/>
        <v>-0.47521014389514182</v>
      </c>
      <c r="L777" t="str">
        <f>VLOOKUP(B777,товар!$A$1:$C$433,3,FALSE)</f>
        <v>Илецкая</v>
      </c>
      <c r="M777" s="24">
        <f t="shared" si="50"/>
        <v>-0.41637508747375784</v>
      </c>
      <c r="N777" s="29">
        <f t="shared" si="51"/>
        <v>238.16666666666666</v>
      </c>
      <c r="O777" s="32">
        <f>VLOOKUP(H777,клиенты!$A$2:$G$435,5,FALSE)</f>
        <v>44728</v>
      </c>
      <c r="P777">
        <f>Продажи[[#This Row],[дата создания чека]]-Продажи[[#This Row],[Дата регистрации клиента]]</f>
        <v>286</v>
      </c>
      <c r="Q777" t="str">
        <f>VLOOKUP(H777,Таблица3[],7,FALSE)</f>
        <v>Беларусь</v>
      </c>
    </row>
    <row r="778" spans="1:17" x14ac:dyDescent="0.3">
      <c r="A778">
        <v>777</v>
      </c>
      <c r="B778">
        <v>62</v>
      </c>
      <c r="C778">
        <v>241</v>
      </c>
      <c r="D778">
        <v>2</v>
      </c>
      <c r="E778">
        <v>482</v>
      </c>
      <c r="F778" s="32">
        <v>45231</v>
      </c>
      <c r="G778" t="s">
        <v>8</v>
      </c>
      <c r="H778">
        <v>247</v>
      </c>
      <c r="I778" t="str">
        <f>VLOOKUP(B778,товар!$A$1:$C$433,2,FALSE)</f>
        <v>Рыба</v>
      </c>
      <c r="J778" s="22">
        <f t="shared" si="48"/>
        <v>258.5128205128205</v>
      </c>
      <c r="K778" s="24">
        <f t="shared" si="49"/>
        <v>-6.7744495139853145E-2</v>
      </c>
      <c r="L778" t="str">
        <f>VLOOKUP(B778,товар!$A$1:$C$433,3,FALSE)</f>
        <v>Балтийский берег</v>
      </c>
      <c r="M778" s="24">
        <f t="shared" si="50"/>
        <v>-0.16864699118436188</v>
      </c>
      <c r="N778" s="29">
        <f t="shared" si="51"/>
        <v>289.88888888888891</v>
      </c>
      <c r="O778" s="32">
        <f>VLOOKUP(H778,клиенты!$A$2:$G$435,5,FALSE)</f>
        <v>44762</v>
      </c>
      <c r="P778">
        <f>Продажи[[#This Row],[дата создания чека]]-Продажи[[#This Row],[Дата регистрации клиента]]</f>
        <v>469</v>
      </c>
      <c r="Q778" t="str">
        <f>VLOOKUP(H778,Таблица3[],7,FALSE)</f>
        <v>Узбекистан</v>
      </c>
    </row>
    <row r="779" spans="1:17" x14ac:dyDescent="0.3">
      <c r="A779">
        <v>778</v>
      </c>
      <c r="B779">
        <v>468</v>
      </c>
      <c r="C779">
        <v>182</v>
      </c>
      <c r="D779">
        <v>5</v>
      </c>
      <c r="E779">
        <v>910</v>
      </c>
      <c r="F779" s="32">
        <v>45005</v>
      </c>
      <c r="G779" t="s">
        <v>24</v>
      </c>
      <c r="H779">
        <v>445</v>
      </c>
      <c r="I779" t="str">
        <f>VLOOKUP(B779,товар!$A$1:$C$433,2,FALSE)</f>
        <v>Йогурт</v>
      </c>
      <c r="J779" s="22">
        <f t="shared" si="48"/>
        <v>263.25423728813558</v>
      </c>
      <c r="K779" s="24">
        <f t="shared" si="49"/>
        <v>-0.30865310327066697</v>
      </c>
      <c r="L779" t="str">
        <f>VLOOKUP(B779,товар!$A$1:$C$433,3,FALSE)</f>
        <v>Чудо</v>
      </c>
      <c r="M779" s="24">
        <f t="shared" si="50"/>
        <v>-0.3660745384883316</v>
      </c>
      <c r="N779" s="29">
        <f t="shared" si="51"/>
        <v>287.10000000000002</v>
      </c>
      <c r="O779" s="32">
        <f>VLOOKUP(H779,клиенты!$A$2:$G$435,5,FALSE)</f>
        <v>44676</v>
      </c>
      <c r="P779">
        <f>Продажи[[#This Row],[дата создания чека]]-Продажи[[#This Row],[Дата регистрации клиента]]</f>
        <v>329</v>
      </c>
      <c r="Q779" t="str">
        <f>VLOOKUP(H779,Таблица3[],7,FALSE)</f>
        <v>Россия</v>
      </c>
    </row>
    <row r="780" spans="1:17" x14ac:dyDescent="0.3">
      <c r="A780">
        <v>779</v>
      </c>
      <c r="B780">
        <v>497</v>
      </c>
      <c r="C780">
        <v>275</v>
      </c>
      <c r="D780">
        <v>4</v>
      </c>
      <c r="E780">
        <v>1100</v>
      </c>
      <c r="F780" s="32">
        <v>45236</v>
      </c>
      <c r="G780" t="s">
        <v>11</v>
      </c>
      <c r="H780">
        <v>477</v>
      </c>
      <c r="I780" t="str">
        <f>VLOOKUP(B780,товар!$A$1:$C$433,2,FALSE)</f>
        <v>Конфеты</v>
      </c>
      <c r="J780" s="22">
        <f t="shared" si="48"/>
        <v>267.85483870967744</v>
      </c>
      <c r="K780" s="24">
        <f t="shared" si="49"/>
        <v>2.667549828385618E-2</v>
      </c>
      <c r="L780" t="str">
        <f>VLOOKUP(B780,товар!$A$1:$C$433,3,FALSE)</f>
        <v>Бабаевский</v>
      </c>
      <c r="M780" s="24">
        <f t="shared" si="50"/>
        <v>9.8860441024123169E-2</v>
      </c>
      <c r="N780" s="29">
        <f t="shared" si="51"/>
        <v>250.25925925925927</v>
      </c>
      <c r="O780" s="32">
        <f>VLOOKUP(H780,клиенты!$A$2:$G$435,5,FALSE)</f>
        <v>44738</v>
      </c>
      <c r="P780">
        <f>Продажи[[#This Row],[дата создания чека]]-Продажи[[#This Row],[Дата регистрации клиента]]</f>
        <v>498</v>
      </c>
      <c r="Q780" t="str">
        <f>VLOOKUP(H780,Таблица3[],7,FALSE)</f>
        <v>Узбекистан</v>
      </c>
    </row>
    <row r="781" spans="1:17" x14ac:dyDescent="0.3">
      <c r="A781">
        <v>780</v>
      </c>
      <c r="B781">
        <v>372</v>
      </c>
      <c r="C781">
        <v>182</v>
      </c>
      <c r="D781">
        <v>2</v>
      </c>
      <c r="E781">
        <v>364</v>
      </c>
      <c r="F781" s="32">
        <v>44991</v>
      </c>
      <c r="G781" t="s">
        <v>22</v>
      </c>
      <c r="H781">
        <v>402</v>
      </c>
      <c r="I781" t="str">
        <f>VLOOKUP(B781,товар!$A$1:$C$433,2,FALSE)</f>
        <v>Кофе</v>
      </c>
      <c r="J781" s="22">
        <f t="shared" si="48"/>
        <v>249.02380952380952</v>
      </c>
      <c r="K781" s="24">
        <f t="shared" si="49"/>
        <v>-0.26914618988431016</v>
      </c>
      <c r="L781" t="str">
        <f>VLOOKUP(B781,товар!$A$1:$C$433,3,FALSE)</f>
        <v>Черная Карта</v>
      </c>
      <c r="M781" s="24">
        <f t="shared" si="50"/>
        <v>-0.18091809180918084</v>
      </c>
      <c r="N781" s="29">
        <f t="shared" si="51"/>
        <v>222.2</v>
      </c>
      <c r="O781" s="32">
        <f>VLOOKUP(H781,клиенты!$A$2:$G$435,5,FALSE)</f>
        <v>44742</v>
      </c>
      <c r="P781">
        <f>Продажи[[#This Row],[дата создания чека]]-Продажи[[#This Row],[Дата регистрации клиента]]</f>
        <v>249</v>
      </c>
      <c r="Q781" t="str">
        <f>VLOOKUP(H781,Таблица3[],7,FALSE)</f>
        <v>Узбекистан</v>
      </c>
    </row>
    <row r="782" spans="1:17" x14ac:dyDescent="0.3">
      <c r="A782">
        <v>781</v>
      </c>
      <c r="B782">
        <v>354</v>
      </c>
      <c r="C782">
        <v>203</v>
      </c>
      <c r="D782">
        <v>5</v>
      </c>
      <c r="E782">
        <v>1015</v>
      </c>
      <c r="F782" s="32">
        <v>45234</v>
      </c>
      <c r="G782" t="s">
        <v>25</v>
      </c>
      <c r="H782">
        <v>265</v>
      </c>
      <c r="I782" t="str">
        <f>VLOOKUP(B782,товар!$A$1:$C$433,2,FALSE)</f>
        <v>Чай</v>
      </c>
      <c r="J782" s="22">
        <f t="shared" si="48"/>
        <v>271.18181818181819</v>
      </c>
      <c r="K782" s="24">
        <f t="shared" si="49"/>
        <v>-0.25142474019443517</v>
      </c>
      <c r="L782" t="str">
        <f>VLOOKUP(B782,товар!$A$1:$C$433,3,FALSE)</f>
        <v>Lipton</v>
      </c>
      <c r="M782" s="24">
        <f t="shared" si="50"/>
        <v>-0.21970463281408048</v>
      </c>
      <c r="N782" s="29">
        <f t="shared" si="51"/>
        <v>260.15789473684208</v>
      </c>
      <c r="O782" s="32">
        <f>VLOOKUP(H782,клиенты!$A$2:$G$435,5,FALSE)</f>
        <v>44756</v>
      </c>
      <c r="P782">
        <f>Продажи[[#This Row],[дата создания чека]]-Продажи[[#This Row],[Дата регистрации клиента]]</f>
        <v>478</v>
      </c>
      <c r="Q782" t="str">
        <f>VLOOKUP(H782,Таблица3[],7,FALSE)</f>
        <v>Узбекистан</v>
      </c>
    </row>
    <row r="783" spans="1:17" x14ac:dyDescent="0.3">
      <c r="A783">
        <v>782</v>
      </c>
      <c r="B783">
        <v>460</v>
      </c>
      <c r="C783">
        <v>103</v>
      </c>
      <c r="D783">
        <v>5</v>
      </c>
      <c r="E783">
        <v>515</v>
      </c>
      <c r="F783" s="32">
        <v>45411</v>
      </c>
      <c r="G783" t="s">
        <v>20</v>
      </c>
      <c r="H783">
        <v>124</v>
      </c>
      <c r="I783" t="str">
        <f>VLOOKUP(B783,товар!$A$1:$C$433,2,FALSE)</f>
        <v>Кофе</v>
      </c>
      <c r="J783" s="22">
        <f t="shared" si="48"/>
        <v>249.02380952380952</v>
      </c>
      <c r="K783" s="24">
        <f t="shared" si="49"/>
        <v>-0.58638493163782379</v>
      </c>
      <c r="L783" t="str">
        <f>VLOOKUP(B783,товар!$A$1:$C$433,3,FALSE)</f>
        <v>Tchibo</v>
      </c>
      <c r="M783" s="24">
        <f t="shared" si="50"/>
        <v>-0.26428571428571423</v>
      </c>
      <c r="N783" s="29">
        <f t="shared" si="51"/>
        <v>140</v>
      </c>
      <c r="O783" s="32">
        <f>VLOOKUP(H783,клиенты!$A$2:$G$435,5,FALSE)</f>
        <v>44795</v>
      </c>
      <c r="P783">
        <f>Продажи[[#This Row],[дата создания чека]]-Продажи[[#This Row],[Дата регистрации клиента]]</f>
        <v>616</v>
      </c>
      <c r="Q783" t="str">
        <f>VLOOKUP(H783,Таблица3[],7,FALSE)</f>
        <v>Россия</v>
      </c>
    </row>
    <row r="784" spans="1:17" x14ac:dyDescent="0.3">
      <c r="A784">
        <v>783</v>
      </c>
      <c r="B784">
        <v>63</v>
      </c>
      <c r="C784">
        <v>344</v>
      </c>
      <c r="D784">
        <v>2</v>
      </c>
      <c r="E784">
        <v>688</v>
      </c>
      <c r="F784" s="32">
        <v>45194</v>
      </c>
      <c r="G784" t="s">
        <v>21</v>
      </c>
      <c r="H784">
        <v>208</v>
      </c>
      <c r="I784" t="str">
        <f>VLOOKUP(B784,товар!$A$1:$C$433,2,FALSE)</f>
        <v>Рыба</v>
      </c>
      <c r="J784" s="22">
        <f t="shared" si="48"/>
        <v>258.5128205128205</v>
      </c>
      <c r="K784" s="24">
        <f t="shared" si="49"/>
        <v>0.33068835548502284</v>
      </c>
      <c r="L784" t="str">
        <f>VLOOKUP(B784,товар!$A$1:$C$433,3,FALSE)</f>
        <v>Балтийский берег</v>
      </c>
      <c r="M784" s="24">
        <f t="shared" si="50"/>
        <v>0.18666155615178215</v>
      </c>
      <c r="N784" s="29">
        <f t="shared" si="51"/>
        <v>289.88888888888891</v>
      </c>
      <c r="O784" s="32">
        <f>VLOOKUP(H784,клиенты!$A$2:$G$435,5,FALSE)</f>
        <v>44736</v>
      </c>
      <c r="P784">
        <f>Продажи[[#This Row],[дата создания чека]]-Продажи[[#This Row],[Дата регистрации клиента]]</f>
        <v>458</v>
      </c>
      <c r="Q784" t="str">
        <f>VLOOKUP(H784,Таблица3[],7,FALSE)</f>
        <v>Украина</v>
      </c>
    </row>
    <row r="785" spans="1:17" x14ac:dyDescent="0.3">
      <c r="A785">
        <v>784</v>
      </c>
      <c r="B785">
        <v>467</v>
      </c>
      <c r="C785">
        <v>436</v>
      </c>
      <c r="D785">
        <v>3</v>
      </c>
      <c r="E785">
        <v>1308</v>
      </c>
      <c r="F785" s="32">
        <v>45289</v>
      </c>
      <c r="G785" t="s">
        <v>13</v>
      </c>
      <c r="H785">
        <v>343</v>
      </c>
      <c r="I785" t="str">
        <f>VLOOKUP(B785,товар!$A$1:$C$433,2,FALSE)</f>
        <v>Макароны</v>
      </c>
      <c r="J785" s="22">
        <f t="shared" si="48"/>
        <v>265.47674418604652</v>
      </c>
      <c r="K785" s="24">
        <f t="shared" si="49"/>
        <v>0.64232841312250888</v>
      </c>
      <c r="L785" t="str">
        <f>VLOOKUP(B785,товар!$A$1:$C$433,3,FALSE)</f>
        <v>Борилла</v>
      </c>
      <c r="M785" s="24">
        <f t="shared" si="50"/>
        <v>0.84530064214827783</v>
      </c>
      <c r="N785" s="29">
        <f t="shared" si="51"/>
        <v>236.27586206896552</v>
      </c>
      <c r="O785" s="32">
        <f>VLOOKUP(H785,клиенты!$A$2:$G$435,5,FALSE)</f>
        <v>44874</v>
      </c>
      <c r="P785">
        <f>Продажи[[#This Row],[дата создания чека]]-Продажи[[#This Row],[Дата регистрации клиента]]</f>
        <v>415</v>
      </c>
      <c r="Q785" t="str">
        <f>VLOOKUP(H785,Таблица3[],7,FALSE)</f>
        <v>Украина</v>
      </c>
    </row>
    <row r="786" spans="1:17" x14ac:dyDescent="0.3">
      <c r="A786">
        <v>785</v>
      </c>
      <c r="B786">
        <v>184</v>
      </c>
      <c r="C786">
        <v>79</v>
      </c>
      <c r="D786">
        <v>4</v>
      </c>
      <c r="E786">
        <v>316</v>
      </c>
      <c r="F786" s="32">
        <v>45407</v>
      </c>
      <c r="G786" t="s">
        <v>9</v>
      </c>
      <c r="H786">
        <v>394</v>
      </c>
      <c r="I786" t="str">
        <f>VLOOKUP(B786,товар!$A$1:$C$433,2,FALSE)</f>
        <v>Конфеты</v>
      </c>
      <c r="J786" s="22">
        <f t="shared" si="48"/>
        <v>267.85483870967744</v>
      </c>
      <c r="K786" s="24">
        <f t="shared" si="49"/>
        <v>-0.7050641295839104</v>
      </c>
      <c r="L786" t="str">
        <f>VLOOKUP(B786,товар!$A$1:$C$433,3,FALSE)</f>
        <v>Славянка</v>
      </c>
      <c r="M786" s="24">
        <f t="shared" si="50"/>
        <v>-0.70522388059701491</v>
      </c>
      <c r="N786" s="29">
        <f t="shared" si="51"/>
        <v>268</v>
      </c>
      <c r="O786" s="32">
        <f>VLOOKUP(H786,клиенты!$A$2:$G$435,5,FALSE)</f>
        <v>44708</v>
      </c>
      <c r="P786">
        <f>Продажи[[#This Row],[дата создания чека]]-Продажи[[#This Row],[Дата регистрации клиента]]</f>
        <v>699</v>
      </c>
      <c r="Q786" t="str">
        <f>VLOOKUP(H786,Таблица3[],7,FALSE)</f>
        <v>Россия</v>
      </c>
    </row>
    <row r="787" spans="1:17" x14ac:dyDescent="0.3">
      <c r="A787">
        <v>786</v>
      </c>
      <c r="B787">
        <v>265</v>
      </c>
      <c r="C787">
        <v>339</v>
      </c>
      <c r="D787">
        <v>3</v>
      </c>
      <c r="E787">
        <v>1017</v>
      </c>
      <c r="F787" s="32">
        <v>44944</v>
      </c>
      <c r="G787" t="s">
        <v>9</v>
      </c>
      <c r="H787">
        <v>242</v>
      </c>
      <c r="I787" t="str">
        <f>VLOOKUP(B787,товар!$A$1:$C$433,2,FALSE)</f>
        <v>Мясо</v>
      </c>
      <c r="J787" s="22">
        <f t="shared" si="48"/>
        <v>271.74545454545455</v>
      </c>
      <c r="K787" s="24">
        <f t="shared" si="49"/>
        <v>0.24749096748293864</v>
      </c>
      <c r="L787" t="str">
        <f>VLOOKUP(B787,товар!$A$1:$C$433,3,FALSE)</f>
        <v>Мираторг</v>
      </c>
      <c r="M787" s="24">
        <f t="shared" si="50"/>
        <v>7.0808107396683306E-2</v>
      </c>
      <c r="N787" s="29">
        <f t="shared" si="51"/>
        <v>316.58333333333331</v>
      </c>
      <c r="O787" s="32">
        <f>VLOOKUP(H787,клиенты!$A$2:$G$435,5,FALSE)</f>
        <v>44747</v>
      </c>
      <c r="P787">
        <f>Продажи[[#This Row],[дата создания чека]]-Продажи[[#This Row],[Дата регистрации клиента]]</f>
        <v>197</v>
      </c>
      <c r="Q787" t="str">
        <f>VLOOKUP(H787,Таблица3[],7,FALSE)</f>
        <v>Россия</v>
      </c>
    </row>
    <row r="788" spans="1:17" x14ac:dyDescent="0.3">
      <c r="A788">
        <v>787</v>
      </c>
      <c r="B788">
        <v>130</v>
      </c>
      <c r="C788">
        <v>319</v>
      </c>
      <c r="D788">
        <v>3</v>
      </c>
      <c r="E788">
        <v>957</v>
      </c>
      <c r="F788" s="32">
        <v>45145</v>
      </c>
      <c r="G788" t="s">
        <v>27</v>
      </c>
      <c r="H788">
        <v>56</v>
      </c>
      <c r="I788" t="str">
        <f>VLOOKUP(B788,товар!$A$1:$C$433,2,FALSE)</f>
        <v>Соль</v>
      </c>
      <c r="J788" s="22">
        <f t="shared" si="48"/>
        <v>264.8679245283019</v>
      </c>
      <c r="K788" s="24">
        <f t="shared" si="49"/>
        <v>0.20437384242769618</v>
      </c>
      <c r="L788" t="str">
        <f>VLOOKUP(B788,товар!$A$1:$C$433,3,FALSE)</f>
        <v>Илецкая</v>
      </c>
      <c r="M788" s="24">
        <f t="shared" si="50"/>
        <v>0.33939818054583637</v>
      </c>
      <c r="N788" s="29">
        <f t="shared" si="51"/>
        <v>238.16666666666666</v>
      </c>
      <c r="O788" s="32">
        <f>VLOOKUP(H788,клиенты!$A$2:$G$435,5,FALSE)</f>
        <v>44662</v>
      </c>
      <c r="P788">
        <f>Продажи[[#This Row],[дата создания чека]]-Продажи[[#This Row],[Дата регистрации клиента]]</f>
        <v>483</v>
      </c>
      <c r="Q788" t="str">
        <f>VLOOKUP(H788,Таблица3[],7,FALSE)</f>
        <v>Таджикистан</v>
      </c>
    </row>
    <row r="789" spans="1:17" x14ac:dyDescent="0.3">
      <c r="A789">
        <v>788</v>
      </c>
      <c r="B789">
        <v>443</v>
      </c>
      <c r="C789">
        <v>348</v>
      </c>
      <c r="D789">
        <v>3</v>
      </c>
      <c r="E789">
        <v>1044</v>
      </c>
      <c r="F789" s="32">
        <v>44930</v>
      </c>
      <c r="G789" t="s">
        <v>24</v>
      </c>
      <c r="H789">
        <v>324</v>
      </c>
      <c r="I789" t="str">
        <f>VLOOKUP(B789,товар!$A$1:$C$433,2,FALSE)</f>
        <v>Кофе</v>
      </c>
      <c r="J789" s="22">
        <f t="shared" si="48"/>
        <v>249.02380952380952</v>
      </c>
      <c r="K789" s="24">
        <f t="shared" si="49"/>
        <v>0.3974567358256047</v>
      </c>
      <c r="L789" t="str">
        <f>VLOOKUP(B789,товар!$A$1:$C$433,3,FALSE)</f>
        <v>Jacobs</v>
      </c>
      <c r="M789" s="24">
        <f t="shared" si="50"/>
        <v>0.25990853658536572</v>
      </c>
      <c r="N789" s="29">
        <f t="shared" si="51"/>
        <v>276.21052631578948</v>
      </c>
      <c r="O789" s="32">
        <f>VLOOKUP(H789,клиенты!$A$2:$G$435,5,FALSE)</f>
        <v>44761</v>
      </c>
      <c r="P789">
        <f>Продажи[[#This Row],[дата создания чека]]-Продажи[[#This Row],[Дата регистрации клиента]]</f>
        <v>169</v>
      </c>
      <c r="Q789" t="str">
        <f>VLOOKUP(H789,Таблица3[],7,FALSE)</f>
        <v>Узбекистан</v>
      </c>
    </row>
    <row r="790" spans="1:17" x14ac:dyDescent="0.3">
      <c r="A790">
        <v>789</v>
      </c>
      <c r="B790">
        <v>408</v>
      </c>
      <c r="C790">
        <v>60</v>
      </c>
      <c r="D790">
        <v>4</v>
      </c>
      <c r="E790">
        <v>240</v>
      </c>
      <c r="F790" s="32">
        <v>45299</v>
      </c>
      <c r="G790" t="s">
        <v>15</v>
      </c>
      <c r="H790">
        <v>486</v>
      </c>
      <c r="I790" t="str">
        <f>VLOOKUP(B790,товар!$A$1:$C$433,2,FALSE)</f>
        <v>Йогурт</v>
      </c>
      <c r="J790" s="22">
        <f t="shared" si="48"/>
        <v>263.25423728813558</v>
      </c>
      <c r="K790" s="24">
        <f t="shared" si="49"/>
        <v>-0.7720834406386814</v>
      </c>
      <c r="L790" t="str">
        <f>VLOOKUP(B790,товар!$A$1:$C$433,3,FALSE)</f>
        <v>Эрманн</v>
      </c>
      <c r="M790" s="24">
        <f t="shared" si="50"/>
        <v>-0.75855130784708247</v>
      </c>
      <c r="N790" s="29">
        <f t="shared" si="51"/>
        <v>248.5</v>
      </c>
      <c r="O790" s="32">
        <f>VLOOKUP(H790,клиенты!$A$2:$G$435,5,FALSE)</f>
        <v>44723</v>
      </c>
      <c r="P790">
        <f>Продажи[[#This Row],[дата создания чека]]-Продажи[[#This Row],[Дата регистрации клиента]]</f>
        <v>576</v>
      </c>
      <c r="Q790" t="str">
        <f>VLOOKUP(H790,Таблица3[],7,FALSE)</f>
        <v>Россия</v>
      </c>
    </row>
    <row r="791" spans="1:17" x14ac:dyDescent="0.3">
      <c r="A791">
        <v>790</v>
      </c>
      <c r="B791">
        <v>249</v>
      </c>
      <c r="C791">
        <v>125</v>
      </c>
      <c r="D791">
        <v>5</v>
      </c>
      <c r="E791">
        <v>625</v>
      </c>
      <c r="F791" s="32">
        <v>45322</v>
      </c>
      <c r="G791" t="s">
        <v>11</v>
      </c>
      <c r="H791">
        <v>71</v>
      </c>
      <c r="I791" t="str">
        <f>VLOOKUP(B791,товар!$A$1:$C$433,2,FALSE)</f>
        <v>Чай</v>
      </c>
      <c r="J791" s="22">
        <f t="shared" si="48"/>
        <v>271.18181818181819</v>
      </c>
      <c r="K791" s="24">
        <f t="shared" si="49"/>
        <v>-0.539054642976869</v>
      </c>
      <c r="L791" t="str">
        <f>VLOOKUP(B791,товар!$A$1:$C$433,3,FALSE)</f>
        <v>Lipton</v>
      </c>
      <c r="M791" s="24">
        <f t="shared" si="50"/>
        <v>-0.5195225571515274</v>
      </c>
      <c r="N791" s="29">
        <f t="shared" si="51"/>
        <v>260.15789473684208</v>
      </c>
      <c r="O791" s="32">
        <f>VLOOKUP(H791,клиенты!$A$2:$G$435,5,FALSE)</f>
        <v>44762</v>
      </c>
      <c r="P791">
        <f>Продажи[[#This Row],[дата создания чека]]-Продажи[[#This Row],[Дата регистрации клиента]]</f>
        <v>560</v>
      </c>
      <c r="Q791" t="str">
        <f>VLOOKUP(H791,Таблица3[],7,FALSE)</f>
        <v>Украина</v>
      </c>
    </row>
    <row r="792" spans="1:17" x14ac:dyDescent="0.3">
      <c r="A792">
        <v>791</v>
      </c>
      <c r="B792">
        <v>241</v>
      </c>
      <c r="C792">
        <v>490</v>
      </c>
      <c r="D792">
        <v>1</v>
      </c>
      <c r="E792">
        <v>490</v>
      </c>
      <c r="F792" s="32">
        <v>45271</v>
      </c>
      <c r="G792" t="s">
        <v>15</v>
      </c>
      <c r="H792">
        <v>299</v>
      </c>
      <c r="I792" t="str">
        <f>VLOOKUP(B792,товар!$A$1:$C$433,2,FALSE)</f>
        <v>Колбаса</v>
      </c>
      <c r="J792" s="22">
        <f t="shared" si="48"/>
        <v>286.92307692307691</v>
      </c>
      <c r="K792" s="24">
        <f t="shared" si="49"/>
        <v>0.70777479892761397</v>
      </c>
      <c r="L792" t="str">
        <f>VLOOKUP(B792,товар!$A$1:$C$433,3,FALSE)</f>
        <v>Окраина</v>
      </c>
      <c r="M792" s="24">
        <f t="shared" si="50"/>
        <v>0.79104477611940305</v>
      </c>
      <c r="N792" s="29">
        <f t="shared" si="51"/>
        <v>273.58333333333331</v>
      </c>
      <c r="O792" s="32">
        <f>VLOOKUP(H792,клиенты!$A$2:$G$435,5,FALSE)</f>
        <v>44666</v>
      </c>
      <c r="P792">
        <f>Продажи[[#This Row],[дата создания чека]]-Продажи[[#This Row],[Дата регистрации клиента]]</f>
        <v>605</v>
      </c>
      <c r="Q792" t="str">
        <f>VLOOKUP(H792,Таблица3[],7,FALSE)</f>
        <v>Украина</v>
      </c>
    </row>
    <row r="793" spans="1:17" x14ac:dyDescent="0.3">
      <c r="A793">
        <v>792</v>
      </c>
      <c r="B793">
        <v>202</v>
      </c>
      <c r="C793">
        <v>298</v>
      </c>
      <c r="D793">
        <v>4</v>
      </c>
      <c r="E793">
        <v>1192</v>
      </c>
      <c r="F793" s="32">
        <v>44979</v>
      </c>
      <c r="G793" t="s">
        <v>24</v>
      </c>
      <c r="H793">
        <v>265</v>
      </c>
      <c r="I793" t="str">
        <f>VLOOKUP(B793,товар!$A$1:$C$433,2,FALSE)</f>
        <v>Овощи</v>
      </c>
      <c r="J793" s="22">
        <f t="shared" si="48"/>
        <v>250.48780487804879</v>
      </c>
      <c r="K793" s="24">
        <f t="shared" si="49"/>
        <v>0.18967867575462516</v>
      </c>
      <c r="L793" t="str">
        <f>VLOOKUP(B793,товар!$A$1:$C$433,3,FALSE)</f>
        <v>Овощной ряд</v>
      </c>
      <c r="M793" s="24">
        <f t="shared" si="50"/>
        <v>-1.9167473378509214E-2</v>
      </c>
      <c r="N793" s="29">
        <f t="shared" si="51"/>
        <v>303.8235294117647</v>
      </c>
      <c r="O793" s="32">
        <f>VLOOKUP(H793,клиенты!$A$2:$G$435,5,FALSE)</f>
        <v>44756</v>
      </c>
      <c r="P793">
        <f>Продажи[[#This Row],[дата создания чека]]-Продажи[[#This Row],[Дата регистрации клиента]]</f>
        <v>223</v>
      </c>
      <c r="Q793" t="str">
        <f>VLOOKUP(H793,Таблица3[],7,FALSE)</f>
        <v>Узбекистан</v>
      </c>
    </row>
    <row r="794" spans="1:17" x14ac:dyDescent="0.3">
      <c r="A794">
        <v>793</v>
      </c>
      <c r="B794">
        <v>376</v>
      </c>
      <c r="C794">
        <v>441</v>
      </c>
      <c r="D794">
        <v>2</v>
      </c>
      <c r="E794">
        <v>882</v>
      </c>
      <c r="F794" s="32">
        <v>45364</v>
      </c>
      <c r="G794" t="s">
        <v>25</v>
      </c>
      <c r="H794">
        <v>272</v>
      </c>
      <c r="I794" t="str">
        <f>VLOOKUP(B794,товар!$A$1:$C$433,2,FALSE)</f>
        <v>Конфеты</v>
      </c>
      <c r="J794" s="22">
        <f t="shared" si="48"/>
        <v>267.85483870967744</v>
      </c>
      <c r="K794" s="24">
        <f t="shared" si="49"/>
        <v>0.64641416270247465</v>
      </c>
      <c r="L794" t="str">
        <f>VLOOKUP(B794,товар!$A$1:$C$433,3,FALSE)</f>
        <v>Красный Октябрь</v>
      </c>
      <c r="M794" s="24">
        <f t="shared" si="50"/>
        <v>0.61169483782549117</v>
      </c>
      <c r="N794" s="29">
        <f t="shared" si="51"/>
        <v>273.625</v>
      </c>
      <c r="O794" s="32">
        <f>VLOOKUP(H794,клиенты!$A$2:$G$435,5,FALSE)</f>
        <v>44668</v>
      </c>
      <c r="P794">
        <f>Продажи[[#This Row],[дата создания чека]]-Продажи[[#This Row],[Дата регистрации клиента]]</f>
        <v>696</v>
      </c>
      <c r="Q794" t="str">
        <f>VLOOKUP(H794,Таблица3[],7,FALSE)</f>
        <v>Таджикистан</v>
      </c>
    </row>
    <row r="795" spans="1:17" x14ac:dyDescent="0.3">
      <c r="A795">
        <v>794</v>
      </c>
      <c r="B795">
        <v>371</v>
      </c>
      <c r="C795">
        <v>126</v>
      </c>
      <c r="D795">
        <v>5</v>
      </c>
      <c r="E795">
        <v>630</v>
      </c>
      <c r="F795" s="32">
        <v>45230</v>
      </c>
      <c r="G795" t="s">
        <v>13</v>
      </c>
      <c r="H795">
        <v>371</v>
      </c>
      <c r="I795" t="str">
        <f>VLOOKUP(B795,товар!$A$1:$C$433,2,FALSE)</f>
        <v>Сахар</v>
      </c>
      <c r="J795" s="22">
        <f t="shared" si="48"/>
        <v>252.76271186440678</v>
      </c>
      <c r="K795" s="24">
        <f t="shared" si="49"/>
        <v>-0.5015087507543754</v>
      </c>
      <c r="L795" t="str">
        <f>VLOOKUP(B795,товар!$A$1:$C$433,3,FALSE)</f>
        <v>Русский сахар</v>
      </c>
      <c r="M795" s="24">
        <f t="shared" si="50"/>
        <v>-0.57056936647955103</v>
      </c>
      <c r="N795" s="29">
        <f t="shared" si="51"/>
        <v>293.41176470588238</v>
      </c>
      <c r="O795" s="32">
        <f>VLOOKUP(H795,клиенты!$A$2:$G$435,5,FALSE)</f>
        <v>44844</v>
      </c>
      <c r="P795">
        <f>Продажи[[#This Row],[дата создания чека]]-Продажи[[#This Row],[Дата регистрации клиента]]</f>
        <v>386</v>
      </c>
      <c r="Q795" t="str">
        <f>VLOOKUP(H795,Таблица3[],7,FALSE)</f>
        <v>Украина</v>
      </c>
    </row>
    <row r="796" spans="1:17" x14ac:dyDescent="0.3">
      <c r="A796">
        <v>795</v>
      </c>
      <c r="B796">
        <v>308</v>
      </c>
      <c r="C796">
        <v>416</v>
      </c>
      <c r="D796">
        <v>4</v>
      </c>
      <c r="E796">
        <v>1664</v>
      </c>
      <c r="F796" s="32">
        <v>45217</v>
      </c>
      <c r="G796" t="s">
        <v>14</v>
      </c>
      <c r="H796">
        <v>360</v>
      </c>
      <c r="I796" t="str">
        <f>VLOOKUP(B796,товар!$A$1:$C$433,2,FALSE)</f>
        <v>Конфеты</v>
      </c>
      <c r="J796" s="22">
        <f t="shared" si="48"/>
        <v>267.85483870967744</v>
      </c>
      <c r="K796" s="24">
        <f t="shared" si="49"/>
        <v>0.55308002649485144</v>
      </c>
      <c r="L796" t="str">
        <f>VLOOKUP(B796,товар!$A$1:$C$433,3,FALSE)</f>
        <v>Бабаевский</v>
      </c>
      <c r="M796" s="24">
        <f t="shared" si="50"/>
        <v>0.66227615805830986</v>
      </c>
      <c r="N796" s="29">
        <f t="shared" si="51"/>
        <v>250.25925925925927</v>
      </c>
      <c r="O796" s="32">
        <f>VLOOKUP(H796,клиенты!$A$2:$G$435,5,FALSE)</f>
        <v>44728</v>
      </c>
      <c r="P796">
        <f>Продажи[[#This Row],[дата создания чека]]-Продажи[[#This Row],[Дата регистрации клиента]]</f>
        <v>489</v>
      </c>
      <c r="Q796" t="str">
        <f>VLOOKUP(H796,Таблица3[],7,FALSE)</f>
        <v>Беларусь</v>
      </c>
    </row>
    <row r="797" spans="1:17" x14ac:dyDescent="0.3">
      <c r="A797">
        <v>796</v>
      </c>
      <c r="B797">
        <v>146</v>
      </c>
      <c r="C797">
        <v>387</v>
      </c>
      <c r="D797">
        <v>4</v>
      </c>
      <c r="E797">
        <v>1548</v>
      </c>
      <c r="F797" s="32">
        <v>45027</v>
      </c>
      <c r="G797" t="s">
        <v>10</v>
      </c>
      <c r="H797">
        <v>368</v>
      </c>
      <c r="I797" t="str">
        <f>VLOOKUP(B797,товар!$A$1:$C$433,2,FALSE)</f>
        <v>Сок</v>
      </c>
      <c r="J797" s="22">
        <f t="shared" si="48"/>
        <v>268.60344827586209</v>
      </c>
      <c r="K797" s="24">
        <f t="shared" si="49"/>
        <v>0.44078567302137484</v>
      </c>
      <c r="L797" t="str">
        <f>VLOOKUP(B797,товар!$A$1:$C$433,3,FALSE)</f>
        <v>Добрый</v>
      </c>
      <c r="M797" s="24">
        <f t="shared" si="50"/>
        <v>0.59378509921377765</v>
      </c>
      <c r="N797" s="29">
        <f t="shared" si="51"/>
        <v>242.81818181818181</v>
      </c>
      <c r="O797" s="32">
        <f>VLOOKUP(H797,клиенты!$A$2:$G$435,5,FALSE)</f>
        <v>44872</v>
      </c>
      <c r="P797">
        <f>Продажи[[#This Row],[дата создания чека]]-Продажи[[#This Row],[Дата регистрации клиента]]</f>
        <v>155</v>
      </c>
      <c r="Q797" t="str">
        <f>VLOOKUP(H797,Таблица3[],7,FALSE)</f>
        <v>Узбекистан</v>
      </c>
    </row>
    <row r="798" spans="1:17" x14ac:dyDescent="0.3">
      <c r="A798">
        <v>797</v>
      </c>
      <c r="B798">
        <v>77</v>
      </c>
      <c r="C798">
        <v>151</v>
      </c>
      <c r="D798">
        <v>2</v>
      </c>
      <c r="E798">
        <v>302</v>
      </c>
      <c r="F798" s="32">
        <v>45067</v>
      </c>
      <c r="G798" t="s">
        <v>27</v>
      </c>
      <c r="H798">
        <v>481</v>
      </c>
      <c r="I798" t="str">
        <f>VLOOKUP(B798,товар!$A$1:$C$433,2,FALSE)</f>
        <v>Макароны</v>
      </c>
      <c r="J798" s="22">
        <f t="shared" si="48"/>
        <v>265.47674418604652</v>
      </c>
      <c r="K798" s="24">
        <f t="shared" si="49"/>
        <v>-0.43121194866628709</v>
      </c>
      <c r="L798" t="str">
        <f>VLOOKUP(B798,товар!$A$1:$C$433,3,FALSE)</f>
        <v>Паста Зара</v>
      </c>
      <c r="M798" s="24">
        <f t="shared" si="50"/>
        <v>-0.45423463905441053</v>
      </c>
      <c r="N798" s="29">
        <f t="shared" si="51"/>
        <v>276.67567567567568</v>
      </c>
      <c r="O798" s="32">
        <f>VLOOKUP(H798,клиенты!$A$2:$G$435,5,FALSE)</f>
        <v>44756</v>
      </c>
      <c r="P798">
        <f>Продажи[[#This Row],[дата создания чека]]-Продажи[[#This Row],[Дата регистрации клиента]]</f>
        <v>311</v>
      </c>
      <c r="Q798" t="str">
        <f>VLOOKUP(H798,Таблица3[],7,FALSE)</f>
        <v>Беларусь</v>
      </c>
    </row>
    <row r="799" spans="1:17" x14ac:dyDescent="0.3">
      <c r="A799">
        <v>798</v>
      </c>
      <c r="B799">
        <v>407</v>
      </c>
      <c r="C799">
        <v>157</v>
      </c>
      <c r="D799">
        <v>3</v>
      </c>
      <c r="E799">
        <v>471</v>
      </c>
      <c r="F799" s="32">
        <v>45275</v>
      </c>
      <c r="G799" t="s">
        <v>9</v>
      </c>
      <c r="H799">
        <v>354</v>
      </c>
      <c r="I799" t="str">
        <f>VLOOKUP(B799,товар!$A$1:$C$433,2,FALSE)</f>
        <v>Конфеты</v>
      </c>
      <c r="J799" s="22">
        <f t="shared" si="48"/>
        <v>267.85483870967744</v>
      </c>
      <c r="K799" s="24">
        <f t="shared" si="49"/>
        <v>-0.41386162461612575</v>
      </c>
      <c r="L799" t="str">
        <f>VLOOKUP(B799,товар!$A$1:$C$433,3,FALSE)</f>
        <v>Славянка</v>
      </c>
      <c r="M799" s="24">
        <f t="shared" si="50"/>
        <v>-0.41417910447761197</v>
      </c>
      <c r="N799" s="29">
        <f t="shared" si="51"/>
        <v>268</v>
      </c>
      <c r="O799" s="32">
        <f>VLOOKUP(H799,клиенты!$A$2:$G$435,5,FALSE)</f>
        <v>44811</v>
      </c>
      <c r="P799">
        <f>Продажи[[#This Row],[дата создания чека]]-Продажи[[#This Row],[Дата регистрации клиента]]</f>
        <v>464</v>
      </c>
      <c r="Q799" t="str">
        <f>VLOOKUP(H799,Таблица3[],7,FALSE)</f>
        <v>Узбекистан</v>
      </c>
    </row>
    <row r="800" spans="1:17" x14ac:dyDescent="0.3">
      <c r="A800">
        <v>799</v>
      </c>
      <c r="B800">
        <v>357</v>
      </c>
      <c r="C800">
        <v>55</v>
      </c>
      <c r="D800">
        <v>5</v>
      </c>
      <c r="E800">
        <v>275</v>
      </c>
      <c r="F800" s="32">
        <v>45302</v>
      </c>
      <c r="G800" t="s">
        <v>24</v>
      </c>
      <c r="H800">
        <v>8</v>
      </c>
      <c r="I800" t="str">
        <f>VLOOKUP(B800,товар!$A$1:$C$433,2,FALSE)</f>
        <v>Мясо</v>
      </c>
      <c r="J800" s="22">
        <f t="shared" si="48"/>
        <v>271.74545454545455</v>
      </c>
      <c r="K800" s="24">
        <f t="shared" si="49"/>
        <v>-0.79760471029037872</v>
      </c>
      <c r="L800" t="str">
        <f>VLOOKUP(B800,товар!$A$1:$C$433,3,FALSE)</f>
        <v>Снежана</v>
      </c>
      <c r="M800" s="24">
        <f t="shared" si="50"/>
        <v>-0.79805615550755937</v>
      </c>
      <c r="N800" s="29">
        <f t="shared" si="51"/>
        <v>272.35294117647061</v>
      </c>
      <c r="O800" s="32">
        <f>VLOOKUP(H800,клиенты!$A$2:$G$435,5,FALSE)</f>
        <v>44883</v>
      </c>
      <c r="P800">
        <f>Продажи[[#This Row],[дата создания чека]]-Продажи[[#This Row],[Дата регистрации клиента]]</f>
        <v>419</v>
      </c>
      <c r="Q800" t="str">
        <f>VLOOKUP(H800,Таблица3[],7,FALSE)</f>
        <v>Беларусь</v>
      </c>
    </row>
    <row r="801" spans="1:17" x14ac:dyDescent="0.3">
      <c r="A801">
        <v>800</v>
      </c>
      <c r="B801">
        <v>409</v>
      </c>
      <c r="C801">
        <v>235</v>
      </c>
      <c r="D801">
        <v>5</v>
      </c>
      <c r="E801">
        <v>1175</v>
      </c>
      <c r="F801" s="32">
        <v>44960</v>
      </c>
      <c r="G801" t="s">
        <v>16</v>
      </c>
      <c r="H801">
        <v>1</v>
      </c>
      <c r="I801" t="str">
        <f>VLOOKUP(B801,товар!$A$1:$C$433,2,FALSE)</f>
        <v>Фрукты</v>
      </c>
      <c r="J801" s="22">
        <f t="shared" si="48"/>
        <v>274.16279069767444</v>
      </c>
      <c r="K801" s="24">
        <f t="shared" si="49"/>
        <v>-0.14284502502332685</v>
      </c>
      <c r="L801" t="str">
        <f>VLOOKUP(B801,товар!$A$1:$C$433,3,FALSE)</f>
        <v>Фруктовый Рай</v>
      </c>
      <c r="M801" s="24">
        <f t="shared" si="50"/>
        <v>-9.0232281119714153E-2</v>
      </c>
      <c r="N801" s="29">
        <f t="shared" si="51"/>
        <v>258.30769230769232</v>
      </c>
      <c r="O801" s="32">
        <f>VLOOKUP(H801,клиенты!$A$2:$G$435,5,FALSE)</f>
        <v>44585</v>
      </c>
      <c r="P801">
        <f>Продажи[[#This Row],[дата создания чека]]-Продажи[[#This Row],[Дата регистрации клиента]]</f>
        <v>375</v>
      </c>
      <c r="Q801" t="str">
        <f>VLOOKUP(H801,Таблица3[],7,FALSE)</f>
        <v>Россия</v>
      </c>
    </row>
    <row r="802" spans="1:17" x14ac:dyDescent="0.3">
      <c r="A802">
        <v>801</v>
      </c>
      <c r="B802">
        <v>148</v>
      </c>
      <c r="C802">
        <v>474</v>
      </c>
      <c r="D802">
        <v>4</v>
      </c>
      <c r="E802">
        <v>1896</v>
      </c>
      <c r="F802" s="32">
        <v>45074</v>
      </c>
      <c r="G802" t="s">
        <v>19</v>
      </c>
      <c r="H802">
        <v>333</v>
      </c>
      <c r="I802" t="str">
        <f>VLOOKUP(B802,товар!$A$1:$C$433,2,FALSE)</f>
        <v>Сок</v>
      </c>
      <c r="J802" s="22">
        <f t="shared" si="48"/>
        <v>268.60344827586209</v>
      </c>
      <c r="K802" s="24">
        <f t="shared" si="49"/>
        <v>0.76468322742152872</v>
      </c>
      <c r="L802" t="str">
        <f>VLOOKUP(B802,товар!$A$1:$C$433,3,FALSE)</f>
        <v>Фруктовый сад</v>
      </c>
      <c r="M802" s="24">
        <f t="shared" si="50"/>
        <v>0.68103734899700763</v>
      </c>
      <c r="N802" s="29">
        <f t="shared" si="51"/>
        <v>281.96875</v>
      </c>
      <c r="O802" s="32">
        <f>VLOOKUP(H802,клиенты!$A$2:$G$435,5,FALSE)</f>
        <v>44857</v>
      </c>
      <c r="P802">
        <f>Продажи[[#This Row],[дата создания чека]]-Продажи[[#This Row],[Дата регистрации клиента]]</f>
        <v>217</v>
      </c>
      <c r="Q802" t="str">
        <f>VLOOKUP(H802,Таблица3[],7,FALSE)</f>
        <v>Россия</v>
      </c>
    </row>
    <row r="803" spans="1:17" x14ac:dyDescent="0.3">
      <c r="A803">
        <v>802</v>
      </c>
      <c r="B803">
        <v>63</v>
      </c>
      <c r="C803">
        <v>479</v>
      </c>
      <c r="D803">
        <v>4</v>
      </c>
      <c r="E803">
        <v>1916</v>
      </c>
      <c r="F803" s="32">
        <v>45235</v>
      </c>
      <c r="G803" t="s">
        <v>11</v>
      </c>
      <c r="H803">
        <v>396</v>
      </c>
      <c r="I803" t="str">
        <f>VLOOKUP(B803,товар!$A$1:$C$433,2,FALSE)</f>
        <v>Рыба</v>
      </c>
      <c r="J803" s="22">
        <f t="shared" si="48"/>
        <v>258.5128205128205</v>
      </c>
      <c r="K803" s="24">
        <f t="shared" si="49"/>
        <v>0.85290616941083131</v>
      </c>
      <c r="L803" t="str">
        <f>VLOOKUP(B803,товар!$A$1:$C$433,3,FALSE)</f>
        <v>Балтийский берег</v>
      </c>
      <c r="M803" s="24">
        <f t="shared" si="50"/>
        <v>0.65235722499041771</v>
      </c>
      <c r="N803" s="29">
        <f t="shared" si="51"/>
        <v>289.88888888888891</v>
      </c>
      <c r="O803" s="32">
        <f>VLOOKUP(H803,клиенты!$A$2:$G$435,5,FALSE)</f>
        <v>44871</v>
      </c>
      <c r="P803">
        <f>Продажи[[#This Row],[дата создания чека]]-Продажи[[#This Row],[Дата регистрации клиента]]</f>
        <v>364</v>
      </c>
      <c r="Q803" t="str">
        <f>VLOOKUP(H803,Таблица3[],7,FALSE)</f>
        <v>Украина</v>
      </c>
    </row>
    <row r="804" spans="1:17" x14ac:dyDescent="0.3">
      <c r="A804">
        <v>803</v>
      </c>
      <c r="B804">
        <v>410</v>
      </c>
      <c r="C804">
        <v>320</v>
      </c>
      <c r="D804">
        <v>4</v>
      </c>
      <c r="E804">
        <v>1280</v>
      </c>
      <c r="F804" s="32">
        <v>45045</v>
      </c>
      <c r="G804" t="s">
        <v>16</v>
      </c>
      <c r="H804">
        <v>401</v>
      </c>
      <c r="I804" t="str">
        <f>VLOOKUP(B804,товар!$A$1:$C$433,2,FALSE)</f>
        <v>Чипсы</v>
      </c>
      <c r="J804" s="22">
        <f t="shared" si="48"/>
        <v>273.72549019607845</v>
      </c>
      <c r="K804" s="24">
        <f t="shared" si="49"/>
        <v>0.16905444126074487</v>
      </c>
      <c r="L804" t="str">
        <f>VLOOKUP(B804,товар!$A$1:$C$433,3,FALSE)</f>
        <v>Lay's</v>
      </c>
      <c r="M804" s="24">
        <f t="shared" si="50"/>
        <v>-1.7825311942958333E-3</v>
      </c>
      <c r="N804" s="29">
        <f t="shared" si="51"/>
        <v>320.57142857142856</v>
      </c>
      <c r="O804" s="32">
        <f>VLOOKUP(H804,клиенты!$A$2:$G$435,5,FALSE)</f>
        <v>44856</v>
      </c>
      <c r="P804">
        <f>Продажи[[#This Row],[дата создания чека]]-Продажи[[#This Row],[Дата регистрации клиента]]</f>
        <v>189</v>
      </c>
      <c r="Q804" t="str">
        <f>VLOOKUP(H804,Таблица3[],7,FALSE)</f>
        <v>Россия</v>
      </c>
    </row>
    <row r="805" spans="1:17" x14ac:dyDescent="0.3">
      <c r="A805">
        <v>804</v>
      </c>
      <c r="B805">
        <v>223</v>
      </c>
      <c r="C805">
        <v>477</v>
      </c>
      <c r="D805">
        <v>4</v>
      </c>
      <c r="E805">
        <v>1908</v>
      </c>
      <c r="F805" s="32">
        <v>45064</v>
      </c>
      <c r="G805" t="s">
        <v>15</v>
      </c>
      <c r="H805">
        <v>121</v>
      </c>
      <c r="I805" t="str">
        <f>VLOOKUP(B805,товар!$A$1:$C$433,2,FALSE)</f>
        <v>Чай</v>
      </c>
      <c r="J805" s="22">
        <f t="shared" si="48"/>
        <v>271.18181818181819</v>
      </c>
      <c r="K805" s="24">
        <f t="shared" si="49"/>
        <v>0.75896748240026812</v>
      </c>
      <c r="L805" t="str">
        <f>VLOOKUP(B805,товар!$A$1:$C$433,3,FALSE)</f>
        <v>Greenfield</v>
      </c>
      <c r="M805" s="24">
        <f t="shared" si="50"/>
        <v>0.63661883967560828</v>
      </c>
      <c r="N805" s="29">
        <f t="shared" si="51"/>
        <v>291.45454545454544</v>
      </c>
      <c r="O805" s="32">
        <f>VLOOKUP(H805,клиенты!$A$2:$G$435,5,FALSE)</f>
        <v>44763</v>
      </c>
      <c r="P805">
        <f>Продажи[[#This Row],[дата создания чека]]-Продажи[[#This Row],[Дата регистрации клиента]]</f>
        <v>301</v>
      </c>
      <c r="Q805" t="str">
        <f>VLOOKUP(H805,Таблица3[],7,FALSE)</f>
        <v>Россия</v>
      </c>
    </row>
    <row r="806" spans="1:17" x14ac:dyDescent="0.3">
      <c r="A806">
        <v>805</v>
      </c>
      <c r="B806">
        <v>35</v>
      </c>
      <c r="C806">
        <v>277</v>
      </c>
      <c r="D806">
        <v>4</v>
      </c>
      <c r="E806">
        <v>1108</v>
      </c>
      <c r="F806" s="32">
        <v>45422</v>
      </c>
      <c r="G806" t="s">
        <v>10</v>
      </c>
      <c r="H806">
        <v>108</v>
      </c>
      <c r="I806" t="str">
        <f>VLOOKUP(B806,товар!$A$1:$C$433,2,FALSE)</f>
        <v>Крупа</v>
      </c>
      <c r="J806" s="22">
        <f t="shared" si="48"/>
        <v>255.11627906976744</v>
      </c>
      <c r="K806" s="24">
        <f t="shared" si="49"/>
        <v>8.5779398359161263E-2</v>
      </c>
      <c r="L806" t="str">
        <f>VLOOKUP(B806,товар!$A$1:$C$433,3,FALSE)</f>
        <v>Мистраль</v>
      </c>
      <c r="M806" s="24">
        <f t="shared" si="50"/>
        <v>0.10663798401966806</v>
      </c>
      <c r="N806" s="29">
        <f t="shared" si="51"/>
        <v>250.30769230769232</v>
      </c>
      <c r="O806" s="32">
        <f>VLOOKUP(H806,клиенты!$A$2:$G$435,5,FALSE)</f>
        <v>44835</v>
      </c>
      <c r="P806">
        <f>Продажи[[#This Row],[дата создания чека]]-Продажи[[#This Row],[Дата регистрации клиента]]</f>
        <v>587</v>
      </c>
      <c r="Q806" t="str">
        <f>VLOOKUP(H806,Таблица3[],7,FALSE)</f>
        <v>Узбекистан</v>
      </c>
    </row>
    <row r="807" spans="1:17" x14ac:dyDescent="0.3">
      <c r="A807">
        <v>806</v>
      </c>
      <c r="B807">
        <v>398</v>
      </c>
      <c r="C807">
        <v>127</v>
      </c>
      <c r="D807">
        <v>5</v>
      </c>
      <c r="E807">
        <v>635</v>
      </c>
      <c r="F807" s="32">
        <v>45253</v>
      </c>
      <c r="G807" t="s">
        <v>15</v>
      </c>
      <c r="H807">
        <v>191</v>
      </c>
      <c r="I807" t="str">
        <f>VLOOKUP(B807,товар!$A$1:$C$433,2,FALSE)</f>
        <v>Сок</v>
      </c>
      <c r="J807" s="22">
        <f t="shared" si="48"/>
        <v>268.60344827586209</v>
      </c>
      <c r="K807" s="24">
        <f t="shared" si="49"/>
        <v>-0.52718402978368317</v>
      </c>
      <c r="L807" t="str">
        <f>VLOOKUP(B807,товар!$A$1:$C$433,3,FALSE)</f>
        <v>Фруктовый сад</v>
      </c>
      <c r="M807" s="24">
        <f t="shared" si="50"/>
        <v>-0.54959547822232069</v>
      </c>
      <c r="N807" s="29">
        <f t="shared" si="51"/>
        <v>281.96875</v>
      </c>
      <c r="O807" s="32">
        <f>VLOOKUP(H807,клиенты!$A$2:$G$435,5,FALSE)</f>
        <v>44866</v>
      </c>
      <c r="P807">
        <f>Продажи[[#This Row],[дата создания чека]]-Продажи[[#This Row],[Дата регистрации клиента]]</f>
        <v>387</v>
      </c>
      <c r="Q807" t="str">
        <f>VLOOKUP(H807,Таблица3[],7,FALSE)</f>
        <v>Украина</v>
      </c>
    </row>
    <row r="808" spans="1:17" x14ac:dyDescent="0.3">
      <c r="A808">
        <v>807</v>
      </c>
      <c r="B808">
        <v>132</v>
      </c>
      <c r="C808">
        <v>154</v>
      </c>
      <c r="D808">
        <v>3</v>
      </c>
      <c r="E808">
        <v>462</v>
      </c>
      <c r="F808" s="32">
        <v>45294</v>
      </c>
      <c r="G808" t="s">
        <v>19</v>
      </c>
      <c r="H808">
        <v>443</v>
      </c>
      <c r="I808" t="str">
        <f>VLOOKUP(B808,товар!$A$1:$C$433,2,FALSE)</f>
        <v>Рыба</v>
      </c>
      <c r="J808" s="22">
        <f t="shared" si="48"/>
        <v>258.5128205128205</v>
      </c>
      <c r="K808" s="24">
        <f t="shared" si="49"/>
        <v>-0.40428486411426301</v>
      </c>
      <c r="L808" t="str">
        <f>VLOOKUP(B808,товар!$A$1:$C$433,3,FALSE)</f>
        <v>Меридиан</v>
      </c>
      <c r="M808" s="24">
        <f t="shared" si="50"/>
        <v>-0.40916271721958919</v>
      </c>
      <c r="N808" s="29">
        <f t="shared" si="51"/>
        <v>260.64705882352939</v>
      </c>
      <c r="O808" s="32">
        <f>VLOOKUP(H808,клиенты!$A$2:$G$435,5,FALSE)</f>
        <v>44649</v>
      </c>
      <c r="P808">
        <f>Продажи[[#This Row],[дата создания чека]]-Продажи[[#This Row],[Дата регистрации клиента]]</f>
        <v>645</v>
      </c>
      <c r="Q808" t="str">
        <f>VLOOKUP(H808,Таблица3[],7,FALSE)</f>
        <v>Россия</v>
      </c>
    </row>
    <row r="809" spans="1:17" x14ac:dyDescent="0.3">
      <c r="A809">
        <v>808</v>
      </c>
      <c r="B809">
        <v>415</v>
      </c>
      <c r="C809">
        <v>84</v>
      </c>
      <c r="D809">
        <v>5</v>
      </c>
      <c r="E809">
        <v>420</v>
      </c>
      <c r="F809" s="32">
        <v>45156</v>
      </c>
      <c r="G809" t="s">
        <v>26</v>
      </c>
      <c r="H809">
        <v>191</v>
      </c>
      <c r="I809" t="str">
        <f>VLOOKUP(B809,товар!$A$1:$C$433,2,FALSE)</f>
        <v>Чипсы</v>
      </c>
      <c r="J809" s="22">
        <f t="shared" si="48"/>
        <v>273.72549019607845</v>
      </c>
      <c r="K809" s="24">
        <f t="shared" si="49"/>
        <v>-0.69312320916905446</v>
      </c>
      <c r="L809" t="str">
        <f>VLOOKUP(B809,товар!$A$1:$C$433,3,FALSE)</f>
        <v>Pringles</v>
      </c>
      <c r="M809" s="24">
        <f t="shared" si="50"/>
        <v>-0.70025488530161428</v>
      </c>
      <c r="N809" s="29">
        <f t="shared" si="51"/>
        <v>280.23809523809524</v>
      </c>
      <c r="O809" s="32">
        <f>VLOOKUP(H809,клиенты!$A$2:$G$435,5,FALSE)</f>
        <v>44866</v>
      </c>
      <c r="P809">
        <f>Продажи[[#This Row],[дата создания чека]]-Продажи[[#This Row],[Дата регистрации клиента]]</f>
        <v>290</v>
      </c>
      <c r="Q809" t="str">
        <f>VLOOKUP(H809,Таблица3[],7,FALSE)</f>
        <v>Украина</v>
      </c>
    </row>
    <row r="810" spans="1:17" x14ac:dyDescent="0.3">
      <c r="A810">
        <v>809</v>
      </c>
      <c r="B810">
        <v>384</v>
      </c>
      <c r="C810">
        <v>423</v>
      </c>
      <c r="D810">
        <v>5</v>
      </c>
      <c r="E810">
        <v>2115</v>
      </c>
      <c r="F810" s="32">
        <v>45346</v>
      </c>
      <c r="G810" t="s">
        <v>25</v>
      </c>
      <c r="H810">
        <v>249</v>
      </c>
      <c r="I810" t="str">
        <f>VLOOKUP(B810,товар!$A$1:$C$433,2,FALSE)</f>
        <v>Сахар</v>
      </c>
      <c r="J810" s="22">
        <f t="shared" si="48"/>
        <v>252.76271186440678</v>
      </c>
      <c r="K810" s="24">
        <f t="shared" si="49"/>
        <v>0.6735063367531684</v>
      </c>
      <c r="L810" t="str">
        <f>VLOOKUP(B810,товар!$A$1:$C$433,3,FALSE)</f>
        <v>Сладов</v>
      </c>
      <c r="M810" s="24">
        <f t="shared" si="50"/>
        <v>0.76054384017758037</v>
      </c>
      <c r="N810" s="29">
        <f t="shared" si="51"/>
        <v>240.26666666666668</v>
      </c>
      <c r="O810" s="32">
        <f>VLOOKUP(H810,клиенты!$A$2:$G$435,5,FALSE)</f>
        <v>44781</v>
      </c>
      <c r="P810">
        <f>Продажи[[#This Row],[дата создания чека]]-Продажи[[#This Row],[Дата регистрации клиента]]</f>
        <v>565</v>
      </c>
      <c r="Q810" t="str">
        <f>VLOOKUP(H810,Таблица3[],7,FALSE)</f>
        <v>Россия</v>
      </c>
    </row>
    <row r="811" spans="1:17" x14ac:dyDescent="0.3">
      <c r="A811">
        <v>810</v>
      </c>
      <c r="B811">
        <v>311</v>
      </c>
      <c r="C811">
        <v>470</v>
      </c>
      <c r="D811">
        <v>2</v>
      </c>
      <c r="E811">
        <v>940</v>
      </c>
      <c r="F811" s="32">
        <v>45304</v>
      </c>
      <c r="G811" t="s">
        <v>19</v>
      </c>
      <c r="H811">
        <v>418</v>
      </c>
      <c r="I811" t="str">
        <f>VLOOKUP(B811,товар!$A$1:$C$433,2,FALSE)</f>
        <v>Макароны</v>
      </c>
      <c r="J811" s="22">
        <f t="shared" si="48"/>
        <v>265.47674418604652</v>
      </c>
      <c r="K811" s="24">
        <f t="shared" si="49"/>
        <v>0.77039989487976879</v>
      </c>
      <c r="L811" t="str">
        <f>VLOOKUP(B811,товар!$A$1:$C$433,3,FALSE)</f>
        <v>Паста Зара</v>
      </c>
      <c r="M811" s="24">
        <f t="shared" si="50"/>
        <v>0.69873986519488129</v>
      </c>
      <c r="N811" s="29">
        <f t="shared" si="51"/>
        <v>276.67567567567568</v>
      </c>
      <c r="O811" s="32">
        <f>VLOOKUP(H811,клиенты!$A$2:$G$435,5,FALSE)</f>
        <v>44700</v>
      </c>
      <c r="P811">
        <f>Продажи[[#This Row],[дата создания чека]]-Продажи[[#This Row],[Дата регистрации клиента]]</f>
        <v>604</v>
      </c>
      <c r="Q811" t="str">
        <f>VLOOKUP(H811,Таблица3[],7,FALSE)</f>
        <v>Беларусь</v>
      </c>
    </row>
    <row r="812" spans="1:17" x14ac:dyDescent="0.3">
      <c r="A812">
        <v>811</v>
      </c>
      <c r="B812">
        <v>328</v>
      </c>
      <c r="C812">
        <v>59</v>
      </c>
      <c r="D812">
        <v>1</v>
      </c>
      <c r="E812">
        <v>59</v>
      </c>
      <c r="F812" s="32">
        <v>44991</v>
      </c>
      <c r="G812" t="s">
        <v>22</v>
      </c>
      <c r="H812">
        <v>126</v>
      </c>
      <c r="I812" t="str">
        <f>VLOOKUP(B812,товар!$A$1:$C$433,2,FALSE)</f>
        <v>Чипсы</v>
      </c>
      <c r="J812" s="22">
        <f t="shared" si="48"/>
        <v>273.72549019607845</v>
      </c>
      <c r="K812" s="24">
        <f t="shared" si="49"/>
        <v>-0.78445558739255017</v>
      </c>
      <c r="L812" t="str">
        <f>VLOOKUP(B812,товар!$A$1:$C$433,3,FALSE)</f>
        <v>Русская картошка</v>
      </c>
      <c r="M812" s="24">
        <f t="shared" si="50"/>
        <v>-0.75603032391454172</v>
      </c>
      <c r="N812" s="29">
        <f t="shared" si="51"/>
        <v>241.83333333333334</v>
      </c>
      <c r="O812" s="32">
        <f>VLOOKUP(H812,клиенты!$A$2:$G$435,5,FALSE)</f>
        <v>44822</v>
      </c>
      <c r="P812">
        <f>Продажи[[#This Row],[дата создания чека]]-Продажи[[#This Row],[Дата регистрации клиента]]</f>
        <v>169</v>
      </c>
      <c r="Q812" t="str">
        <f>VLOOKUP(H812,Таблица3[],7,FALSE)</f>
        <v>Узбекистан</v>
      </c>
    </row>
    <row r="813" spans="1:17" x14ac:dyDescent="0.3">
      <c r="A813">
        <v>812</v>
      </c>
      <c r="B813">
        <v>74</v>
      </c>
      <c r="C813">
        <v>332</v>
      </c>
      <c r="D813">
        <v>3</v>
      </c>
      <c r="E813">
        <v>996</v>
      </c>
      <c r="F813" s="32">
        <v>45000</v>
      </c>
      <c r="G813" t="s">
        <v>24</v>
      </c>
      <c r="H813">
        <v>497</v>
      </c>
      <c r="I813" t="str">
        <f>VLOOKUP(B813,товар!$A$1:$C$433,2,FALSE)</f>
        <v>Колбаса</v>
      </c>
      <c r="J813" s="22">
        <f t="shared" si="48"/>
        <v>286.92307692307691</v>
      </c>
      <c r="K813" s="24">
        <f t="shared" si="49"/>
        <v>0.15710455764075082</v>
      </c>
      <c r="L813" t="str">
        <f>VLOOKUP(B813,товар!$A$1:$C$433,3,FALSE)</f>
        <v>Черкизово</v>
      </c>
      <c r="M813" s="24">
        <f t="shared" si="50"/>
        <v>3.669008587041378E-2</v>
      </c>
      <c r="N813" s="29">
        <f t="shared" si="51"/>
        <v>320.25</v>
      </c>
      <c r="O813" s="32">
        <f>VLOOKUP(H813,клиенты!$A$2:$G$435,5,FALSE)</f>
        <v>44826</v>
      </c>
      <c r="P813">
        <f>Продажи[[#This Row],[дата создания чека]]-Продажи[[#This Row],[Дата регистрации клиента]]</f>
        <v>174</v>
      </c>
      <c r="Q813" t="str">
        <f>VLOOKUP(H813,Таблица3[],7,FALSE)</f>
        <v>Узбекистан</v>
      </c>
    </row>
    <row r="814" spans="1:17" x14ac:dyDescent="0.3">
      <c r="A814">
        <v>813</v>
      </c>
      <c r="B814">
        <v>152</v>
      </c>
      <c r="C814">
        <v>94</v>
      </c>
      <c r="D814">
        <v>5</v>
      </c>
      <c r="E814">
        <v>470</v>
      </c>
      <c r="F814" s="32">
        <v>44942</v>
      </c>
      <c r="G814" t="s">
        <v>24</v>
      </c>
      <c r="H814">
        <v>332</v>
      </c>
      <c r="I814" t="str">
        <f>VLOOKUP(B814,товар!$A$1:$C$433,2,FALSE)</f>
        <v>Печенье</v>
      </c>
      <c r="J814" s="22">
        <f t="shared" si="48"/>
        <v>283.468085106383</v>
      </c>
      <c r="K814" s="24">
        <f t="shared" si="49"/>
        <v>-0.66839300457854844</v>
      </c>
      <c r="L814" t="str">
        <f>VLOOKUP(B814,товар!$A$1:$C$433,3,FALSE)</f>
        <v>Белогорье</v>
      </c>
      <c r="M814" s="24">
        <f t="shared" si="50"/>
        <v>-0.62324649298597201</v>
      </c>
      <c r="N814" s="29">
        <f t="shared" si="51"/>
        <v>249.5</v>
      </c>
      <c r="O814" s="32">
        <f>VLOOKUP(H814,клиенты!$A$2:$G$435,5,FALSE)</f>
        <v>44858</v>
      </c>
      <c r="P814">
        <f>Продажи[[#This Row],[дата создания чека]]-Продажи[[#This Row],[Дата регистрации клиента]]</f>
        <v>84</v>
      </c>
      <c r="Q814" t="str">
        <f>VLOOKUP(H814,Таблица3[],7,FALSE)</f>
        <v>Узбекистан</v>
      </c>
    </row>
    <row r="815" spans="1:17" x14ac:dyDescent="0.3">
      <c r="A815">
        <v>814</v>
      </c>
      <c r="B815">
        <v>319</v>
      </c>
      <c r="C815">
        <v>148</v>
      </c>
      <c r="D815">
        <v>1</v>
      </c>
      <c r="E815">
        <v>148</v>
      </c>
      <c r="F815" s="32">
        <v>45143</v>
      </c>
      <c r="G815" t="s">
        <v>14</v>
      </c>
      <c r="H815">
        <v>445</v>
      </c>
      <c r="I815" t="str">
        <f>VLOOKUP(B815,товар!$A$1:$C$433,2,FALSE)</f>
        <v>Йогурт</v>
      </c>
      <c r="J815" s="22">
        <f t="shared" si="48"/>
        <v>263.25423728813558</v>
      </c>
      <c r="K815" s="24">
        <f t="shared" si="49"/>
        <v>-0.43780582024208081</v>
      </c>
      <c r="L815" t="str">
        <f>VLOOKUP(B815,товар!$A$1:$C$433,3,FALSE)</f>
        <v>Эрманн</v>
      </c>
      <c r="M815" s="24">
        <f t="shared" si="50"/>
        <v>-0.40442655935613681</v>
      </c>
      <c r="N815" s="29">
        <f t="shared" si="51"/>
        <v>248.5</v>
      </c>
      <c r="O815" s="32">
        <f>VLOOKUP(H815,клиенты!$A$2:$G$435,5,FALSE)</f>
        <v>44676</v>
      </c>
      <c r="P815">
        <f>Продажи[[#This Row],[дата создания чека]]-Продажи[[#This Row],[Дата регистрации клиента]]</f>
        <v>467</v>
      </c>
      <c r="Q815" t="str">
        <f>VLOOKUP(H815,Таблица3[],7,FALSE)</f>
        <v>Россия</v>
      </c>
    </row>
    <row r="816" spans="1:17" x14ac:dyDescent="0.3">
      <c r="A816">
        <v>815</v>
      </c>
      <c r="B816">
        <v>19</v>
      </c>
      <c r="C816">
        <v>378</v>
      </c>
      <c r="D816">
        <v>2</v>
      </c>
      <c r="E816">
        <v>756</v>
      </c>
      <c r="F816" s="32">
        <v>45358</v>
      </c>
      <c r="G816" t="s">
        <v>23</v>
      </c>
      <c r="H816">
        <v>167</v>
      </c>
      <c r="I816" t="str">
        <f>VLOOKUP(B816,товар!$A$1:$C$433,2,FALSE)</f>
        <v>Мясо</v>
      </c>
      <c r="J816" s="22">
        <f t="shared" si="48"/>
        <v>271.74545454545455</v>
      </c>
      <c r="K816" s="24">
        <f t="shared" si="49"/>
        <v>0.39100762745885187</v>
      </c>
      <c r="L816" t="str">
        <f>VLOOKUP(B816,товар!$A$1:$C$433,3,FALSE)</f>
        <v>Снежана</v>
      </c>
      <c r="M816" s="24">
        <f t="shared" si="50"/>
        <v>0.38790496760259163</v>
      </c>
      <c r="N816" s="29">
        <f t="shared" si="51"/>
        <v>272.35294117647061</v>
      </c>
      <c r="O816" s="32">
        <f>VLOOKUP(H816,клиенты!$A$2:$G$435,5,FALSE)</f>
        <v>44563</v>
      </c>
      <c r="P816">
        <f>Продажи[[#This Row],[дата создания чека]]-Продажи[[#This Row],[Дата регистрации клиента]]</f>
        <v>795</v>
      </c>
      <c r="Q816" t="str">
        <f>VLOOKUP(H816,Таблица3[],7,FALSE)</f>
        <v>Узбекистан</v>
      </c>
    </row>
    <row r="817" spans="1:17" x14ac:dyDescent="0.3">
      <c r="A817">
        <v>816</v>
      </c>
      <c r="B817">
        <v>242</v>
      </c>
      <c r="C817">
        <v>265</v>
      </c>
      <c r="D817">
        <v>4</v>
      </c>
      <c r="E817">
        <v>1060</v>
      </c>
      <c r="F817" s="32">
        <v>44931</v>
      </c>
      <c r="G817" t="s">
        <v>27</v>
      </c>
      <c r="H817">
        <v>415</v>
      </c>
      <c r="I817" t="str">
        <f>VLOOKUP(B817,товар!$A$1:$C$433,2,FALSE)</f>
        <v>Овощи</v>
      </c>
      <c r="J817" s="22">
        <f t="shared" si="48"/>
        <v>250.48780487804879</v>
      </c>
      <c r="K817" s="24">
        <f t="shared" si="49"/>
        <v>5.7935735150924872E-2</v>
      </c>
      <c r="L817" t="str">
        <f>VLOOKUP(B817,товар!$A$1:$C$433,3,FALSE)</f>
        <v>Овощной ряд</v>
      </c>
      <c r="M817" s="24">
        <f t="shared" si="50"/>
        <v>-0.12778315585672795</v>
      </c>
      <c r="N817" s="29">
        <f t="shared" si="51"/>
        <v>303.8235294117647</v>
      </c>
      <c r="O817" s="32">
        <f>VLOOKUP(H817,клиенты!$A$2:$G$435,5,FALSE)</f>
        <v>44661</v>
      </c>
      <c r="P817">
        <f>Продажи[[#This Row],[дата создания чека]]-Продажи[[#This Row],[Дата регистрации клиента]]</f>
        <v>270</v>
      </c>
      <c r="Q817" t="str">
        <f>VLOOKUP(H817,Таблица3[],7,FALSE)</f>
        <v>Украина</v>
      </c>
    </row>
    <row r="818" spans="1:17" x14ac:dyDescent="0.3">
      <c r="A818">
        <v>817</v>
      </c>
      <c r="B818">
        <v>354</v>
      </c>
      <c r="C818">
        <v>431</v>
      </c>
      <c r="D818">
        <v>1</v>
      </c>
      <c r="E818">
        <v>431</v>
      </c>
      <c r="F818" s="32">
        <v>45419</v>
      </c>
      <c r="G818" t="s">
        <v>20</v>
      </c>
      <c r="H818">
        <v>229</v>
      </c>
      <c r="I818" t="str">
        <f>VLOOKUP(B818,товар!$A$1:$C$433,2,FALSE)</f>
        <v>Чай</v>
      </c>
      <c r="J818" s="22">
        <f t="shared" si="48"/>
        <v>271.18181818181819</v>
      </c>
      <c r="K818" s="24">
        <f t="shared" si="49"/>
        <v>0.58933959101575595</v>
      </c>
      <c r="L818" t="str">
        <f>VLOOKUP(B818,товар!$A$1:$C$433,3,FALSE)</f>
        <v>Lipton</v>
      </c>
      <c r="M818" s="24">
        <f t="shared" si="50"/>
        <v>0.65668622294153356</v>
      </c>
      <c r="N818" s="29">
        <f t="shared" si="51"/>
        <v>260.15789473684208</v>
      </c>
      <c r="O818" s="32">
        <f>VLOOKUP(H818,клиенты!$A$2:$G$435,5,FALSE)</f>
        <v>44766</v>
      </c>
      <c r="P818">
        <f>Продажи[[#This Row],[дата создания чека]]-Продажи[[#This Row],[Дата регистрации клиента]]</f>
        <v>653</v>
      </c>
      <c r="Q818" t="str">
        <f>VLOOKUP(H818,Таблица3[],7,FALSE)</f>
        <v>Беларусь</v>
      </c>
    </row>
    <row r="819" spans="1:17" x14ac:dyDescent="0.3">
      <c r="A819">
        <v>818</v>
      </c>
      <c r="B819">
        <v>354</v>
      </c>
      <c r="C819">
        <v>382</v>
      </c>
      <c r="D819">
        <v>4</v>
      </c>
      <c r="E819">
        <v>1528</v>
      </c>
      <c r="F819" s="32">
        <v>44939</v>
      </c>
      <c r="G819" t="s">
        <v>16</v>
      </c>
      <c r="H819">
        <v>119</v>
      </c>
      <c r="I819" t="str">
        <f>VLOOKUP(B819,товар!$A$1:$C$433,2,FALSE)</f>
        <v>Чай</v>
      </c>
      <c r="J819" s="22">
        <f t="shared" si="48"/>
        <v>271.18181818181819</v>
      </c>
      <c r="K819" s="24">
        <f t="shared" si="49"/>
        <v>0.40864901106268858</v>
      </c>
      <c r="L819" t="str">
        <f>VLOOKUP(B819,товар!$A$1:$C$433,3,FALSE)</f>
        <v>Lipton</v>
      </c>
      <c r="M819" s="24">
        <f t="shared" si="50"/>
        <v>0.46833906534493241</v>
      </c>
      <c r="N819" s="29">
        <f t="shared" si="51"/>
        <v>260.15789473684208</v>
      </c>
      <c r="O819" s="32">
        <f>VLOOKUP(H819,клиенты!$A$2:$G$435,5,FALSE)</f>
        <v>44690</v>
      </c>
      <c r="P819">
        <f>Продажи[[#This Row],[дата создания чека]]-Продажи[[#This Row],[Дата регистрации клиента]]</f>
        <v>249</v>
      </c>
      <c r="Q819" t="str">
        <f>VLOOKUP(H819,Таблица3[],7,FALSE)</f>
        <v>Россия</v>
      </c>
    </row>
    <row r="820" spans="1:17" x14ac:dyDescent="0.3">
      <c r="A820">
        <v>819</v>
      </c>
      <c r="B820">
        <v>245</v>
      </c>
      <c r="C820">
        <v>281</v>
      </c>
      <c r="D820">
        <v>1</v>
      </c>
      <c r="E820">
        <v>281</v>
      </c>
      <c r="F820" s="32">
        <v>45036</v>
      </c>
      <c r="G820" t="s">
        <v>11</v>
      </c>
      <c r="H820">
        <v>341</v>
      </c>
      <c r="I820" t="str">
        <f>VLOOKUP(B820,товар!$A$1:$C$433,2,FALSE)</f>
        <v>Сахар</v>
      </c>
      <c r="J820" s="22">
        <f t="shared" si="48"/>
        <v>252.76271186440678</v>
      </c>
      <c r="K820" s="24">
        <f t="shared" si="49"/>
        <v>0.11171461141286132</v>
      </c>
      <c r="L820" t="str">
        <f>VLOOKUP(B820,товар!$A$1:$C$433,3,FALSE)</f>
        <v>Продимекс</v>
      </c>
      <c r="M820" s="24">
        <f t="shared" si="50"/>
        <v>0.16839916839916835</v>
      </c>
      <c r="N820" s="29">
        <f t="shared" si="51"/>
        <v>240.5</v>
      </c>
      <c r="O820" s="32">
        <f>VLOOKUP(H820,клиенты!$A$2:$G$435,5,FALSE)</f>
        <v>44724</v>
      </c>
      <c r="P820">
        <f>Продажи[[#This Row],[дата создания чека]]-Продажи[[#This Row],[Дата регистрации клиента]]</f>
        <v>312</v>
      </c>
      <c r="Q820" t="str">
        <f>VLOOKUP(H820,Таблица3[],7,FALSE)</f>
        <v>Россия</v>
      </c>
    </row>
    <row r="821" spans="1:17" x14ac:dyDescent="0.3">
      <c r="A821">
        <v>820</v>
      </c>
      <c r="B821">
        <v>386</v>
      </c>
      <c r="C821">
        <v>149</v>
      </c>
      <c r="D821">
        <v>5</v>
      </c>
      <c r="E821">
        <v>745</v>
      </c>
      <c r="F821" s="32">
        <v>45103</v>
      </c>
      <c r="G821" t="s">
        <v>8</v>
      </c>
      <c r="H821">
        <v>407</v>
      </c>
      <c r="I821" t="str">
        <f>VLOOKUP(B821,товар!$A$1:$C$433,2,FALSE)</f>
        <v>Крупа</v>
      </c>
      <c r="J821" s="22">
        <f t="shared" si="48"/>
        <v>255.11627906976744</v>
      </c>
      <c r="K821" s="24">
        <f t="shared" si="49"/>
        <v>-0.41595259799453055</v>
      </c>
      <c r="L821" t="str">
        <f>VLOOKUP(B821,товар!$A$1:$C$433,3,FALSE)</f>
        <v>Увелка</v>
      </c>
      <c r="M821" s="24">
        <f t="shared" si="50"/>
        <v>-0.4085345683096262</v>
      </c>
      <c r="N821" s="29">
        <f t="shared" si="51"/>
        <v>251.91666666666666</v>
      </c>
      <c r="O821" s="32">
        <f>VLOOKUP(H821,клиенты!$A$2:$G$435,5,FALSE)</f>
        <v>44621</v>
      </c>
      <c r="P821">
        <f>Продажи[[#This Row],[дата создания чека]]-Продажи[[#This Row],[Дата регистрации клиента]]</f>
        <v>482</v>
      </c>
      <c r="Q821" t="str">
        <f>VLOOKUP(H821,Таблица3[],7,FALSE)</f>
        <v>Беларусь</v>
      </c>
    </row>
    <row r="822" spans="1:17" x14ac:dyDescent="0.3">
      <c r="A822">
        <v>821</v>
      </c>
      <c r="B822">
        <v>434</v>
      </c>
      <c r="C822">
        <v>257</v>
      </c>
      <c r="D822">
        <v>2</v>
      </c>
      <c r="E822">
        <v>514</v>
      </c>
      <c r="F822" s="32">
        <v>45128</v>
      </c>
      <c r="G822" t="s">
        <v>10</v>
      </c>
      <c r="H822">
        <v>264</v>
      </c>
      <c r="I822" t="str">
        <f>VLOOKUP(B822,товар!$A$1:$C$433,2,FALSE)</f>
        <v>Сыр</v>
      </c>
      <c r="J822" s="22">
        <f t="shared" si="48"/>
        <v>262.63492063492066</v>
      </c>
      <c r="K822" s="24">
        <f t="shared" si="49"/>
        <v>-2.1455336637253852E-2</v>
      </c>
      <c r="L822" t="str">
        <f>VLOOKUP(B822,товар!$A$1:$C$433,3,FALSE)</f>
        <v>Сырная долина</v>
      </c>
      <c r="M822" s="24">
        <f t="shared" si="50"/>
        <v>-5.1660516605166018E-2</v>
      </c>
      <c r="N822" s="29">
        <f t="shared" si="51"/>
        <v>271</v>
      </c>
      <c r="O822" s="32">
        <f>VLOOKUP(H822,клиенты!$A$2:$G$435,5,FALSE)</f>
        <v>44907</v>
      </c>
      <c r="P822">
        <f>Продажи[[#This Row],[дата создания чека]]-Продажи[[#This Row],[Дата регистрации клиента]]</f>
        <v>221</v>
      </c>
      <c r="Q822" t="str">
        <f>VLOOKUP(H822,Таблица3[],7,FALSE)</f>
        <v>Беларусь</v>
      </c>
    </row>
    <row r="823" spans="1:17" x14ac:dyDescent="0.3">
      <c r="A823">
        <v>822</v>
      </c>
      <c r="B823">
        <v>402</v>
      </c>
      <c r="C823">
        <v>218</v>
      </c>
      <c r="D823">
        <v>1</v>
      </c>
      <c r="E823">
        <v>218</v>
      </c>
      <c r="F823" s="32">
        <v>45322</v>
      </c>
      <c r="G823" t="s">
        <v>14</v>
      </c>
      <c r="H823">
        <v>91</v>
      </c>
      <c r="I823" t="str">
        <f>VLOOKUP(B823,товар!$A$1:$C$433,2,FALSE)</f>
        <v>Хлеб</v>
      </c>
      <c r="J823" s="22">
        <f t="shared" si="48"/>
        <v>300.31818181818181</v>
      </c>
      <c r="K823" s="24">
        <f t="shared" si="49"/>
        <v>-0.27410322385348873</v>
      </c>
      <c r="L823" t="str">
        <f>VLOOKUP(B823,товар!$A$1:$C$433,3,FALSE)</f>
        <v>Каравай</v>
      </c>
      <c r="M823" s="24">
        <f t="shared" si="50"/>
        <v>-0.34172118772018123</v>
      </c>
      <c r="N823" s="29">
        <f t="shared" si="51"/>
        <v>331.16666666666669</v>
      </c>
      <c r="O823" s="32">
        <f>VLOOKUP(H823,клиенты!$A$2:$G$435,5,FALSE)</f>
        <v>44687</v>
      </c>
      <c r="P823">
        <f>Продажи[[#This Row],[дата создания чека]]-Продажи[[#This Row],[Дата регистрации клиента]]</f>
        <v>635</v>
      </c>
      <c r="Q823" t="str">
        <f>VLOOKUP(H823,Таблица3[],7,FALSE)</f>
        <v>Россия</v>
      </c>
    </row>
    <row r="824" spans="1:17" x14ac:dyDescent="0.3">
      <c r="A824">
        <v>823</v>
      </c>
      <c r="B824">
        <v>326</v>
      </c>
      <c r="C824">
        <v>198</v>
      </c>
      <c r="D824">
        <v>2</v>
      </c>
      <c r="E824">
        <v>396</v>
      </c>
      <c r="F824" s="32">
        <v>45396</v>
      </c>
      <c r="G824" t="s">
        <v>10</v>
      </c>
      <c r="H824">
        <v>362</v>
      </c>
      <c r="I824" t="str">
        <f>VLOOKUP(B824,товар!$A$1:$C$433,2,FALSE)</f>
        <v>Крупа</v>
      </c>
      <c r="J824" s="22">
        <f t="shared" si="48"/>
        <v>255.11627906976744</v>
      </c>
      <c r="K824" s="24">
        <f t="shared" si="49"/>
        <v>-0.22388331814038287</v>
      </c>
      <c r="L824" t="str">
        <f>VLOOKUP(B824,товар!$A$1:$C$433,3,FALSE)</f>
        <v>Увелка</v>
      </c>
      <c r="M824" s="24">
        <f t="shared" si="50"/>
        <v>-0.21402580218326162</v>
      </c>
      <c r="N824" s="29">
        <f t="shared" si="51"/>
        <v>251.91666666666666</v>
      </c>
      <c r="O824" s="32">
        <f>VLOOKUP(H824,клиенты!$A$2:$G$435,5,FALSE)</f>
        <v>44916</v>
      </c>
      <c r="P824">
        <f>Продажи[[#This Row],[дата создания чека]]-Продажи[[#This Row],[Дата регистрации клиента]]</f>
        <v>480</v>
      </c>
      <c r="Q824" t="str">
        <f>VLOOKUP(H824,Таблица3[],7,FALSE)</f>
        <v>Россия</v>
      </c>
    </row>
    <row r="825" spans="1:17" x14ac:dyDescent="0.3">
      <c r="A825">
        <v>824</v>
      </c>
      <c r="B825">
        <v>491</v>
      </c>
      <c r="C825">
        <v>111</v>
      </c>
      <c r="D825">
        <v>4</v>
      </c>
      <c r="E825">
        <v>444</v>
      </c>
      <c r="F825" s="32">
        <v>45145</v>
      </c>
      <c r="G825" t="s">
        <v>9</v>
      </c>
      <c r="H825">
        <v>473</v>
      </c>
      <c r="I825" t="str">
        <f>VLOOKUP(B825,товар!$A$1:$C$433,2,FALSE)</f>
        <v>Овощи</v>
      </c>
      <c r="J825" s="22">
        <f t="shared" si="48"/>
        <v>250.48780487804879</v>
      </c>
      <c r="K825" s="24">
        <f t="shared" si="49"/>
        <v>-0.5568646543330088</v>
      </c>
      <c r="L825" t="str">
        <f>VLOOKUP(B825,товар!$A$1:$C$433,3,FALSE)</f>
        <v>Зеленая грядка</v>
      </c>
      <c r="M825" s="24">
        <f t="shared" si="50"/>
        <v>-0.30276381909547734</v>
      </c>
      <c r="N825" s="29">
        <f t="shared" si="51"/>
        <v>159.19999999999999</v>
      </c>
      <c r="O825" s="32">
        <f>VLOOKUP(H825,клиенты!$A$2:$G$435,5,FALSE)</f>
        <v>44799</v>
      </c>
      <c r="P825">
        <f>Продажи[[#This Row],[дата создания чека]]-Продажи[[#This Row],[Дата регистрации клиента]]</f>
        <v>346</v>
      </c>
      <c r="Q825" t="str">
        <f>VLOOKUP(H825,Таблица3[],7,FALSE)</f>
        <v>Россия</v>
      </c>
    </row>
    <row r="826" spans="1:17" x14ac:dyDescent="0.3">
      <c r="A826">
        <v>825</v>
      </c>
      <c r="B826">
        <v>240</v>
      </c>
      <c r="C826">
        <v>306</v>
      </c>
      <c r="D826">
        <v>5</v>
      </c>
      <c r="E826">
        <v>1530</v>
      </c>
      <c r="F826" s="32">
        <v>45319</v>
      </c>
      <c r="G826" t="s">
        <v>27</v>
      </c>
      <c r="H826">
        <v>482</v>
      </c>
      <c r="I826" t="str">
        <f>VLOOKUP(B826,товар!$A$1:$C$433,2,FALSE)</f>
        <v>Макароны</v>
      </c>
      <c r="J826" s="22">
        <f t="shared" si="48"/>
        <v>265.47674418604652</v>
      </c>
      <c r="K826" s="24">
        <f t="shared" si="49"/>
        <v>0.15264333581533873</v>
      </c>
      <c r="L826" t="str">
        <f>VLOOKUP(B826,товар!$A$1:$C$433,3,FALSE)</f>
        <v>Борилла</v>
      </c>
      <c r="M826" s="24">
        <f t="shared" si="50"/>
        <v>0.29509632224168114</v>
      </c>
      <c r="N826" s="29">
        <f t="shared" si="51"/>
        <v>236.27586206896552</v>
      </c>
      <c r="O826" s="32">
        <f>VLOOKUP(H826,клиенты!$A$2:$G$435,5,FALSE)</f>
        <v>44679</v>
      </c>
      <c r="P826">
        <f>Продажи[[#This Row],[дата создания чека]]-Продажи[[#This Row],[Дата регистрации клиента]]</f>
        <v>640</v>
      </c>
      <c r="Q826" t="str">
        <f>VLOOKUP(H826,Таблица3[],7,FALSE)</f>
        <v>Украина</v>
      </c>
    </row>
    <row r="827" spans="1:17" x14ac:dyDescent="0.3">
      <c r="A827">
        <v>826</v>
      </c>
      <c r="B827">
        <v>352</v>
      </c>
      <c r="C827">
        <v>391</v>
      </c>
      <c r="D827">
        <v>1</v>
      </c>
      <c r="E827">
        <v>391</v>
      </c>
      <c r="F827" s="32">
        <v>45099</v>
      </c>
      <c r="G827" t="s">
        <v>20</v>
      </c>
      <c r="H827">
        <v>367</v>
      </c>
      <c r="I827" t="str">
        <f>VLOOKUP(B827,товар!$A$1:$C$433,2,FALSE)</f>
        <v>Йогурт</v>
      </c>
      <c r="J827" s="22">
        <f t="shared" si="48"/>
        <v>263.25423728813558</v>
      </c>
      <c r="K827" s="24">
        <f t="shared" si="49"/>
        <v>0.48525624517125943</v>
      </c>
      <c r="L827" t="str">
        <f>VLOOKUP(B827,товар!$A$1:$C$433,3,FALSE)</f>
        <v>Эрманн</v>
      </c>
      <c r="M827" s="24">
        <f t="shared" si="50"/>
        <v>0.57344064386317917</v>
      </c>
      <c r="N827" s="29">
        <f t="shared" si="51"/>
        <v>248.5</v>
      </c>
      <c r="O827" s="32">
        <f>VLOOKUP(H827,клиенты!$A$2:$G$435,5,FALSE)</f>
        <v>44867</v>
      </c>
      <c r="P827">
        <f>Продажи[[#This Row],[дата создания чека]]-Продажи[[#This Row],[Дата регистрации клиента]]</f>
        <v>232</v>
      </c>
      <c r="Q827" t="str">
        <f>VLOOKUP(H827,Таблица3[],7,FALSE)</f>
        <v>Таджикистан</v>
      </c>
    </row>
    <row r="828" spans="1:17" x14ac:dyDescent="0.3">
      <c r="A828">
        <v>827</v>
      </c>
      <c r="B828">
        <v>305</v>
      </c>
      <c r="C828">
        <v>252</v>
      </c>
      <c r="D828">
        <v>1</v>
      </c>
      <c r="E828">
        <v>252</v>
      </c>
      <c r="F828" s="32">
        <v>45413</v>
      </c>
      <c r="G828" t="s">
        <v>18</v>
      </c>
      <c r="H828">
        <v>172</v>
      </c>
      <c r="I828" t="str">
        <f>VLOOKUP(B828,товар!$A$1:$C$433,2,FALSE)</f>
        <v>Печенье</v>
      </c>
      <c r="J828" s="22">
        <f t="shared" si="48"/>
        <v>283.468085106383</v>
      </c>
      <c r="K828" s="24">
        <f t="shared" si="49"/>
        <v>-0.11101103355100206</v>
      </c>
      <c r="L828" t="str">
        <f>VLOOKUP(B828,товар!$A$1:$C$433,3,FALSE)</f>
        <v>Посиделкино</v>
      </c>
      <c r="M828" s="24">
        <f t="shared" si="50"/>
        <v>-0.21650650084793666</v>
      </c>
      <c r="N828" s="29">
        <f t="shared" si="51"/>
        <v>321.63636363636363</v>
      </c>
      <c r="O828" s="32">
        <f>VLOOKUP(H828,клиенты!$A$2:$G$435,5,FALSE)</f>
        <v>44737</v>
      </c>
      <c r="P828">
        <f>Продажи[[#This Row],[дата создания чека]]-Продажи[[#This Row],[Дата регистрации клиента]]</f>
        <v>676</v>
      </c>
      <c r="Q828" t="str">
        <f>VLOOKUP(H828,Таблица3[],7,FALSE)</f>
        <v>Россия</v>
      </c>
    </row>
    <row r="829" spans="1:17" x14ac:dyDescent="0.3">
      <c r="A829">
        <v>828</v>
      </c>
      <c r="B829">
        <v>269</v>
      </c>
      <c r="C829">
        <v>398</v>
      </c>
      <c r="D829">
        <v>4</v>
      </c>
      <c r="E829">
        <v>1592</v>
      </c>
      <c r="F829" s="32">
        <v>45051</v>
      </c>
      <c r="G829" t="s">
        <v>23</v>
      </c>
      <c r="H829">
        <v>466</v>
      </c>
      <c r="I829" t="str">
        <f>VLOOKUP(B829,товар!$A$1:$C$433,2,FALSE)</f>
        <v>Сахар</v>
      </c>
      <c r="J829" s="22">
        <f t="shared" si="48"/>
        <v>252.76271186440678</v>
      </c>
      <c r="K829" s="24">
        <f t="shared" si="49"/>
        <v>0.57459934285522696</v>
      </c>
      <c r="L829" t="str">
        <f>VLOOKUP(B829,товар!$A$1:$C$433,3,FALSE)</f>
        <v>Русский сахар</v>
      </c>
      <c r="M829" s="24">
        <f t="shared" si="50"/>
        <v>0.35645549318364056</v>
      </c>
      <c r="N829" s="29">
        <f t="shared" si="51"/>
        <v>293.41176470588238</v>
      </c>
      <c r="O829" s="32">
        <f>VLOOKUP(H829,клиенты!$A$2:$G$435,5,FALSE)</f>
        <v>44772</v>
      </c>
      <c r="P829">
        <f>Продажи[[#This Row],[дата создания чека]]-Продажи[[#This Row],[Дата регистрации клиента]]</f>
        <v>279</v>
      </c>
      <c r="Q829" t="str">
        <f>VLOOKUP(H829,Таблица3[],7,FALSE)</f>
        <v>Беларусь</v>
      </c>
    </row>
    <row r="830" spans="1:17" x14ac:dyDescent="0.3">
      <c r="A830">
        <v>829</v>
      </c>
      <c r="B830">
        <v>380</v>
      </c>
      <c r="C830">
        <v>100</v>
      </c>
      <c r="D830">
        <v>2</v>
      </c>
      <c r="E830">
        <v>200</v>
      </c>
      <c r="F830" s="32">
        <v>45082</v>
      </c>
      <c r="G830" t="s">
        <v>17</v>
      </c>
      <c r="H830">
        <v>57</v>
      </c>
      <c r="I830" t="str">
        <f>VLOOKUP(B830,товар!$A$1:$C$433,2,FALSE)</f>
        <v>Конфеты</v>
      </c>
      <c r="J830" s="22">
        <f t="shared" si="48"/>
        <v>267.85483870967744</v>
      </c>
      <c r="K830" s="24">
        <f t="shared" si="49"/>
        <v>-0.62666345516950683</v>
      </c>
      <c r="L830" t="str">
        <f>VLOOKUP(B830,товар!$A$1:$C$433,3,FALSE)</f>
        <v>Бабаевский</v>
      </c>
      <c r="M830" s="24">
        <f t="shared" si="50"/>
        <v>-0.60041438508213707</v>
      </c>
      <c r="N830" s="29">
        <f t="shared" si="51"/>
        <v>250.25925925925927</v>
      </c>
      <c r="O830" s="32">
        <f>VLOOKUP(H830,клиенты!$A$2:$G$435,5,FALSE)</f>
        <v>44669</v>
      </c>
      <c r="P830">
        <f>Продажи[[#This Row],[дата создания чека]]-Продажи[[#This Row],[Дата регистрации клиента]]</f>
        <v>413</v>
      </c>
      <c r="Q830" t="str">
        <f>VLOOKUP(H830,Таблица3[],7,FALSE)</f>
        <v>Россия</v>
      </c>
    </row>
    <row r="831" spans="1:17" x14ac:dyDescent="0.3">
      <c r="A831">
        <v>830</v>
      </c>
      <c r="B831">
        <v>44</v>
      </c>
      <c r="C831">
        <v>310</v>
      </c>
      <c r="D831">
        <v>3</v>
      </c>
      <c r="E831">
        <v>930</v>
      </c>
      <c r="F831" s="32">
        <v>44971</v>
      </c>
      <c r="G831" t="s">
        <v>15</v>
      </c>
      <c r="H831">
        <v>48</v>
      </c>
      <c r="I831" t="str">
        <f>VLOOKUP(B831,товар!$A$1:$C$433,2,FALSE)</f>
        <v>Молоко</v>
      </c>
      <c r="J831" s="22">
        <f t="shared" si="48"/>
        <v>294.95238095238096</v>
      </c>
      <c r="K831" s="24">
        <f t="shared" si="49"/>
        <v>5.1017113335485975E-2</v>
      </c>
      <c r="L831" t="str">
        <f>VLOOKUP(B831,товар!$A$1:$C$433,3,FALSE)</f>
        <v>Беллакт</v>
      </c>
      <c r="M831" s="24">
        <f t="shared" si="50"/>
        <v>-3.8895152198421656E-2</v>
      </c>
      <c r="N831" s="29">
        <f t="shared" si="51"/>
        <v>322.54545454545456</v>
      </c>
      <c r="O831" s="32">
        <f>VLOOKUP(H831,клиенты!$A$2:$G$435,5,FALSE)</f>
        <v>44856</v>
      </c>
      <c r="P831">
        <f>Продажи[[#This Row],[дата создания чека]]-Продажи[[#This Row],[Дата регистрации клиента]]</f>
        <v>115</v>
      </c>
      <c r="Q831" t="str">
        <f>VLOOKUP(H831,Таблица3[],7,FALSE)</f>
        <v>Узбекистан</v>
      </c>
    </row>
    <row r="832" spans="1:17" x14ac:dyDescent="0.3">
      <c r="A832">
        <v>831</v>
      </c>
      <c r="B832">
        <v>183</v>
      </c>
      <c r="C832">
        <v>286</v>
      </c>
      <c r="D832">
        <v>2</v>
      </c>
      <c r="E832">
        <v>572</v>
      </c>
      <c r="F832" s="32">
        <v>44983</v>
      </c>
      <c r="G832" t="s">
        <v>22</v>
      </c>
      <c r="H832">
        <v>11</v>
      </c>
      <c r="I832" t="str">
        <f>VLOOKUP(B832,товар!$A$1:$C$433,2,FALSE)</f>
        <v>Конфеты</v>
      </c>
      <c r="J832" s="22">
        <f t="shared" si="48"/>
        <v>267.85483870967744</v>
      </c>
      <c r="K832" s="24">
        <f t="shared" si="49"/>
        <v>6.774251821521049E-2</v>
      </c>
      <c r="L832" t="str">
        <f>VLOOKUP(B832,товар!$A$1:$C$433,3,FALSE)</f>
        <v>Бабаевский</v>
      </c>
      <c r="M832" s="24">
        <f t="shared" si="50"/>
        <v>0.14281485866508792</v>
      </c>
      <c r="N832" s="29">
        <f t="shared" si="51"/>
        <v>250.25925925925927</v>
      </c>
      <c r="O832" s="32">
        <f>VLOOKUP(H832,клиенты!$A$2:$G$435,5,FALSE)</f>
        <v>44690</v>
      </c>
      <c r="P832">
        <f>Продажи[[#This Row],[дата создания чека]]-Продажи[[#This Row],[Дата регистрации клиента]]</f>
        <v>293</v>
      </c>
      <c r="Q832" t="str">
        <f>VLOOKUP(H832,Таблица3[],7,FALSE)</f>
        <v>Таджикистан</v>
      </c>
    </row>
    <row r="833" spans="1:17" x14ac:dyDescent="0.3">
      <c r="A833">
        <v>832</v>
      </c>
      <c r="B833">
        <v>65</v>
      </c>
      <c r="C833">
        <v>201</v>
      </c>
      <c r="D833">
        <v>2</v>
      </c>
      <c r="E833">
        <v>402</v>
      </c>
      <c r="F833" s="32">
        <v>45296</v>
      </c>
      <c r="G833" t="s">
        <v>9</v>
      </c>
      <c r="H833">
        <v>125</v>
      </c>
      <c r="I833" t="str">
        <f>VLOOKUP(B833,товар!$A$1:$C$433,2,FALSE)</f>
        <v>Хлеб</v>
      </c>
      <c r="J833" s="22">
        <f t="shared" si="48"/>
        <v>300.31818181818181</v>
      </c>
      <c r="K833" s="24">
        <f t="shared" si="49"/>
        <v>-0.33070985318601487</v>
      </c>
      <c r="L833" t="str">
        <f>VLOOKUP(B833,товар!$A$1:$C$433,3,FALSE)</f>
        <v>Хлебный Дом</v>
      </c>
      <c r="M833" s="24">
        <f t="shared" si="50"/>
        <v>-0.28655939422621868</v>
      </c>
      <c r="N833" s="29">
        <f t="shared" si="51"/>
        <v>281.73333333333335</v>
      </c>
      <c r="O833" s="32">
        <f>VLOOKUP(H833,клиенты!$A$2:$G$435,5,FALSE)</f>
        <v>44701</v>
      </c>
      <c r="P833">
        <f>Продажи[[#This Row],[дата создания чека]]-Продажи[[#This Row],[Дата регистрации клиента]]</f>
        <v>595</v>
      </c>
      <c r="Q833" t="str">
        <f>VLOOKUP(H833,Таблица3[],7,FALSE)</f>
        <v>Россия</v>
      </c>
    </row>
    <row r="834" spans="1:17" x14ac:dyDescent="0.3">
      <c r="A834">
        <v>833</v>
      </c>
      <c r="B834">
        <v>425</v>
      </c>
      <c r="C834">
        <v>258</v>
      </c>
      <c r="D834">
        <v>4</v>
      </c>
      <c r="E834">
        <v>1032</v>
      </c>
      <c r="F834" s="32">
        <v>45128</v>
      </c>
      <c r="G834" t="s">
        <v>23</v>
      </c>
      <c r="H834">
        <v>72</v>
      </c>
      <c r="I834" t="str">
        <f>VLOOKUP(B834,товар!$A$1:$C$433,2,FALSE)</f>
        <v>Соль</v>
      </c>
      <c r="J834" s="22">
        <f t="shared" ref="J834:J897" si="52">AVERAGEIF($I$2:$I$1001,I834,$C$2:$C$1001)</f>
        <v>264.8679245283019</v>
      </c>
      <c r="K834" s="24">
        <f t="shared" ref="K834:K897" si="53">C834/J834-1</f>
        <v>-2.5929619603932252E-2</v>
      </c>
      <c r="L834" t="str">
        <f>VLOOKUP(B834,товар!$A$1:$C$433,3,FALSE)</f>
        <v>Экстра</v>
      </c>
      <c r="M834" s="24">
        <f t="shared" ref="M834:M897" si="54">C834/N834-1</f>
        <v>-0.1958762886597939</v>
      </c>
      <c r="N834" s="29">
        <f t="shared" ref="N834:N897" si="55">AVERAGEIFS($C$2:$C$1001,$I$2:$I$1001,I834,$L$2:$L$1001,L834)</f>
        <v>320.84615384615387</v>
      </c>
      <c r="O834" s="32">
        <f>VLOOKUP(H834,клиенты!$A$2:$G$435,5,FALSE)</f>
        <v>44906</v>
      </c>
      <c r="P834">
        <f>Продажи[[#This Row],[дата создания чека]]-Продажи[[#This Row],[Дата регистрации клиента]]</f>
        <v>222</v>
      </c>
      <c r="Q834" t="str">
        <f>VLOOKUP(H834,Таблица3[],7,FALSE)</f>
        <v>Таджикистан</v>
      </c>
    </row>
    <row r="835" spans="1:17" x14ac:dyDescent="0.3">
      <c r="A835">
        <v>834</v>
      </c>
      <c r="B835">
        <v>230</v>
      </c>
      <c r="C835">
        <v>179</v>
      </c>
      <c r="D835">
        <v>4</v>
      </c>
      <c r="E835">
        <v>716</v>
      </c>
      <c r="F835" s="32">
        <v>45395</v>
      </c>
      <c r="G835" t="s">
        <v>27</v>
      </c>
      <c r="H835">
        <v>68</v>
      </c>
      <c r="I835" t="str">
        <f>VLOOKUP(B835,товар!$A$1:$C$433,2,FALSE)</f>
        <v>Сок</v>
      </c>
      <c r="J835" s="22">
        <f t="shared" si="52"/>
        <v>268.60344827586209</v>
      </c>
      <c r="K835" s="24">
        <f t="shared" si="53"/>
        <v>-0.33359008922267164</v>
      </c>
      <c r="L835" t="str">
        <f>VLOOKUP(B835,товар!$A$1:$C$433,3,FALSE)</f>
        <v>Фруктовый сад</v>
      </c>
      <c r="M835" s="24">
        <f t="shared" si="54"/>
        <v>-0.36517787875429453</v>
      </c>
      <c r="N835" s="29">
        <f t="shared" si="55"/>
        <v>281.96875</v>
      </c>
      <c r="O835" s="32">
        <f>VLOOKUP(H835,клиенты!$A$2:$G$435,5,FALSE)</f>
        <v>44882</v>
      </c>
      <c r="P835">
        <f>Продажи[[#This Row],[дата создания чека]]-Продажи[[#This Row],[Дата регистрации клиента]]</f>
        <v>513</v>
      </c>
      <c r="Q835" t="str">
        <f>VLOOKUP(H835,Таблица3[],7,FALSE)</f>
        <v>Узбекистан</v>
      </c>
    </row>
    <row r="836" spans="1:17" x14ac:dyDescent="0.3">
      <c r="A836">
        <v>835</v>
      </c>
      <c r="B836">
        <v>497</v>
      </c>
      <c r="C836">
        <v>113</v>
      </c>
      <c r="D836">
        <v>2</v>
      </c>
      <c r="E836">
        <v>226</v>
      </c>
      <c r="F836" s="32">
        <v>45243</v>
      </c>
      <c r="G836" t="s">
        <v>25</v>
      </c>
      <c r="H836">
        <v>219</v>
      </c>
      <c r="I836" t="str">
        <f>VLOOKUP(B836,товар!$A$1:$C$433,2,FALSE)</f>
        <v>Конфеты</v>
      </c>
      <c r="J836" s="22">
        <f t="shared" si="52"/>
        <v>267.85483870967744</v>
      </c>
      <c r="K836" s="24">
        <f t="shared" si="53"/>
        <v>-0.57812970434154276</v>
      </c>
      <c r="L836" t="str">
        <f>VLOOKUP(B836,товар!$A$1:$C$433,3,FALSE)</f>
        <v>Бабаевский</v>
      </c>
      <c r="M836" s="24">
        <f t="shared" si="54"/>
        <v>-0.54846825514281483</v>
      </c>
      <c r="N836" s="29">
        <f t="shared" si="55"/>
        <v>250.25925925925927</v>
      </c>
      <c r="O836" s="32">
        <f>VLOOKUP(H836,клиенты!$A$2:$G$435,5,FALSE)</f>
        <v>44585</v>
      </c>
      <c r="P836">
        <f>Продажи[[#This Row],[дата создания чека]]-Продажи[[#This Row],[Дата регистрации клиента]]</f>
        <v>658</v>
      </c>
      <c r="Q836" t="str">
        <f>VLOOKUP(H836,Таблица3[],7,FALSE)</f>
        <v>Таджикистан</v>
      </c>
    </row>
    <row r="837" spans="1:17" x14ac:dyDescent="0.3">
      <c r="A837">
        <v>836</v>
      </c>
      <c r="B837">
        <v>82</v>
      </c>
      <c r="C837">
        <v>73</v>
      </c>
      <c r="D837">
        <v>1</v>
      </c>
      <c r="E837">
        <v>73</v>
      </c>
      <c r="F837" s="32">
        <v>45159</v>
      </c>
      <c r="G837" t="s">
        <v>16</v>
      </c>
      <c r="H837">
        <v>218</v>
      </c>
      <c r="I837" t="str">
        <f>VLOOKUP(B837,товар!$A$1:$C$433,2,FALSE)</f>
        <v>Сыр</v>
      </c>
      <c r="J837" s="22">
        <f t="shared" si="52"/>
        <v>262.63492063492066</v>
      </c>
      <c r="K837" s="24">
        <f t="shared" si="53"/>
        <v>-0.72204762480357787</v>
      </c>
      <c r="L837" t="str">
        <f>VLOOKUP(B837,товар!$A$1:$C$433,3,FALSE)</f>
        <v>Hochland</v>
      </c>
      <c r="M837" s="24">
        <f t="shared" si="54"/>
        <v>-0.56547619047619047</v>
      </c>
      <c r="N837" s="29">
        <f t="shared" si="55"/>
        <v>168</v>
      </c>
      <c r="O837" s="32">
        <f>VLOOKUP(H837,клиенты!$A$2:$G$435,5,FALSE)</f>
        <v>44721</v>
      </c>
      <c r="P837">
        <f>Продажи[[#This Row],[дата создания чека]]-Продажи[[#This Row],[Дата регистрации клиента]]</f>
        <v>438</v>
      </c>
      <c r="Q837" t="str">
        <f>VLOOKUP(H837,Таблица3[],7,FALSE)</f>
        <v>Узбекистан</v>
      </c>
    </row>
    <row r="838" spans="1:17" x14ac:dyDescent="0.3">
      <c r="A838">
        <v>837</v>
      </c>
      <c r="B838">
        <v>104</v>
      </c>
      <c r="C838">
        <v>420</v>
      </c>
      <c r="D838">
        <v>2</v>
      </c>
      <c r="E838">
        <v>840</v>
      </c>
      <c r="F838" s="32">
        <v>45427</v>
      </c>
      <c r="G838" t="s">
        <v>10</v>
      </c>
      <c r="H838">
        <v>26</v>
      </c>
      <c r="I838" t="str">
        <f>VLOOKUP(B838,товар!$A$1:$C$433,2,FALSE)</f>
        <v>Йогурт</v>
      </c>
      <c r="J838" s="22">
        <f t="shared" si="52"/>
        <v>263.25423728813558</v>
      </c>
      <c r="K838" s="24">
        <f t="shared" si="53"/>
        <v>0.59541591552923001</v>
      </c>
      <c r="L838" t="str">
        <f>VLOOKUP(B838,товар!$A$1:$C$433,3,FALSE)</f>
        <v>Ростагроэкспорт</v>
      </c>
      <c r="M838" s="24">
        <f t="shared" si="54"/>
        <v>0.62927981109799291</v>
      </c>
      <c r="N838" s="29">
        <f t="shared" si="55"/>
        <v>257.78260869565219</v>
      </c>
      <c r="O838" s="32">
        <f>VLOOKUP(H838,клиенты!$A$2:$G$435,5,FALSE)</f>
        <v>44819</v>
      </c>
      <c r="P838">
        <f>Продажи[[#This Row],[дата создания чека]]-Продажи[[#This Row],[Дата регистрации клиента]]</f>
        <v>608</v>
      </c>
      <c r="Q838" t="str">
        <f>VLOOKUP(H838,Таблица3[],7,FALSE)</f>
        <v>Таджикистан</v>
      </c>
    </row>
    <row r="839" spans="1:17" x14ac:dyDescent="0.3">
      <c r="A839">
        <v>838</v>
      </c>
      <c r="B839">
        <v>364</v>
      </c>
      <c r="C839">
        <v>496</v>
      </c>
      <c r="D839">
        <v>1</v>
      </c>
      <c r="E839">
        <v>496</v>
      </c>
      <c r="F839" s="32">
        <v>45060</v>
      </c>
      <c r="G839" t="s">
        <v>10</v>
      </c>
      <c r="H839">
        <v>417</v>
      </c>
      <c r="I839" t="str">
        <f>VLOOKUP(B839,товар!$A$1:$C$433,2,FALSE)</f>
        <v>Сахар</v>
      </c>
      <c r="J839" s="22">
        <f t="shared" si="52"/>
        <v>252.76271186440678</v>
      </c>
      <c r="K839" s="24">
        <f t="shared" si="53"/>
        <v>0.96231475893515728</v>
      </c>
      <c r="L839" t="str">
        <f>VLOOKUP(B839,товар!$A$1:$C$433,3,FALSE)</f>
        <v>Русский сахар</v>
      </c>
      <c r="M839" s="24">
        <f t="shared" si="54"/>
        <v>0.69045709703287872</v>
      </c>
      <c r="N839" s="29">
        <f t="shared" si="55"/>
        <v>293.41176470588238</v>
      </c>
      <c r="O839" s="32">
        <f>VLOOKUP(H839,клиенты!$A$2:$G$435,5,FALSE)</f>
        <v>44608</v>
      </c>
      <c r="P839">
        <f>Продажи[[#This Row],[дата создания чека]]-Продажи[[#This Row],[Дата регистрации клиента]]</f>
        <v>452</v>
      </c>
      <c r="Q839" t="str">
        <f>VLOOKUP(H839,Таблица3[],7,FALSE)</f>
        <v>Таджикистан</v>
      </c>
    </row>
    <row r="840" spans="1:17" x14ac:dyDescent="0.3">
      <c r="A840">
        <v>839</v>
      </c>
      <c r="B840">
        <v>334</v>
      </c>
      <c r="C840">
        <v>223</v>
      </c>
      <c r="D840">
        <v>2</v>
      </c>
      <c r="E840">
        <v>446</v>
      </c>
      <c r="F840" s="32">
        <v>45234</v>
      </c>
      <c r="G840" t="s">
        <v>12</v>
      </c>
      <c r="H840">
        <v>216</v>
      </c>
      <c r="I840" t="str">
        <f>VLOOKUP(B840,товар!$A$1:$C$433,2,FALSE)</f>
        <v>Молоко</v>
      </c>
      <c r="J840" s="22">
        <f t="shared" si="52"/>
        <v>294.95238095238096</v>
      </c>
      <c r="K840" s="24">
        <f t="shared" si="53"/>
        <v>-0.24394575395544082</v>
      </c>
      <c r="L840" t="str">
        <f>VLOOKUP(B840,товар!$A$1:$C$433,3,FALSE)</f>
        <v>Домик в деревне</v>
      </c>
      <c r="M840" s="24">
        <f t="shared" si="54"/>
        <v>-0.18843509906995548</v>
      </c>
      <c r="N840" s="29">
        <f t="shared" si="55"/>
        <v>274.77777777777777</v>
      </c>
      <c r="O840" s="32">
        <f>VLOOKUP(H840,клиенты!$A$2:$G$435,5,FALSE)</f>
        <v>44655</v>
      </c>
      <c r="P840">
        <f>Продажи[[#This Row],[дата создания чека]]-Продажи[[#This Row],[Дата регистрации клиента]]</f>
        <v>579</v>
      </c>
      <c r="Q840" t="str">
        <f>VLOOKUP(H840,Таблица3[],7,FALSE)</f>
        <v>Таджикистан</v>
      </c>
    </row>
    <row r="841" spans="1:17" x14ac:dyDescent="0.3">
      <c r="A841">
        <v>840</v>
      </c>
      <c r="B841">
        <v>356</v>
      </c>
      <c r="C841">
        <v>97</v>
      </c>
      <c r="D841">
        <v>2</v>
      </c>
      <c r="E841">
        <v>194</v>
      </c>
      <c r="F841" s="32">
        <v>45032</v>
      </c>
      <c r="G841" t="s">
        <v>11</v>
      </c>
      <c r="H841">
        <v>491</v>
      </c>
      <c r="I841" t="str">
        <f>VLOOKUP(B841,товар!$A$1:$C$433,2,FALSE)</f>
        <v>Печенье</v>
      </c>
      <c r="J841" s="22">
        <f t="shared" si="52"/>
        <v>283.468085106383</v>
      </c>
      <c r="K841" s="24">
        <f t="shared" si="53"/>
        <v>-0.65780980259701272</v>
      </c>
      <c r="L841" t="str">
        <f>VLOOKUP(B841,товар!$A$1:$C$433,3,FALSE)</f>
        <v>Посиделкино</v>
      </c>
      <c r="M841" s="24">
        <f t="shared" si="54"/>
        <v>-0.69841718485019788</v>
      </c>
      <c r="N841" s="29">
        <f t="shared" si="55"/>
        <v>321.63636363636363</v>
      </c>
      <c r="O841" s="32">
        <f>VLOOKUP(H841,клиенты!$A$2:$G$435,5,FALSE)</f>
        <v>44752</v>
      </c>
      <c r="P841">
        <f>Продажи[[#This Row],[дата создания чека]]-Продажи[[#This Row],[Дата регистрации клиента]]</f>
        <v>280</v>
      </c>
      <c r="Q841" t="str">
        <f>VLOOKUP(H841,Таблица3[],7,FALSE)</f>
        <v>Россия</v>
      </c>
    </row>
    <row r="842" spans="1:17" x14ac:dyDescent="0.3">
      <c r="A842">
        <v>841</v>
      </c>
      <c r="B842">
        <v>446</v>
      </c>
      <c r="C842">
        <v>445</v>
      </c>
      <c r="D842">
        <v>5</v>
      </c>
      <c r="E842">
        <v>2225</v>
      </c>
      <c r="F842" s="32">
        <v>44993</v>
      </c>
      <c r="G842" t="s">
        <v>23</v>
      </c>
      <c r="H842">
        <v>307</v>
      </c>
      <c r="I842" t="str">
        <f>VLOOKUP(B842,товар!$A$1:$C$433,2,FALSE)</f>
        <v>Чипсы</v>
      </c>
      <c r="J842" s="22">
        <f t="shared" si="52"/>
        <v>273.72549019607845</v>
      </c>
      <c r="K842" s="24">
        <f t="shared" si="53"/>
        <v>0.62571633237822333</v>
      </c>
      <c r="L842" t="str">
        <f>VLOOKUP(B842,товар!$A$1:$C$433,3,FALSE)</f>
        <v>Lay's</v>
      </c>
      <c r="M842" s="24">
        <f t="shared" si="54"/>
        <v>0.3881461675579323</v>
      </c>
      <c r="N842" s="29">
        <f t="shared" si="55"/>
        <v>320.57142857142856</v>
      </c>
      <c r="O842" s="32">
        <f>VLOOKUP(H842,клиенты!$A$2:$G$435,5,FALSE)</f>
        <v>44764</v>
      </c>
      <c r="P842">
        <f>Продажи[[#This Row],[дата создания чека]]-Продажи[[#This Row],[Дата регистрации клиента]]</f>
        <v>229</v>
      </c>
      <c r="Q842" t="str">
        <f>VLOOKUP(H842,Таблица3[],7,FALSE)</f>
        <v>Беларусь</v>
      </c>
    </row>
    <row r="843" spans="1:17" x14ac:dyDescent="0.3">
      <c r="A843">
        <v>842</v>
      </c>
      <c r="B843">
        <v>88</v>
      </c>
      <c r="C843">
        <v>206</v>
      </c>
      <c r="D843">
        <v>4</v>
      </c>
      <c r="E843">
        <v>824</v>
      </c>
      <c r="F843" s="32">
        <v>45237</v>
      </c>
      <c r="G843" t="s">
        <v>23</v>
      </c>
      <c r="H843">
        <v>492</v>
      </c>
      <c r="I843" t="str">
        <f>VLOOKUP(B843,товар!$A$1:$C$433,2,FALSE)</f>
        <v>Крупа</v>
      </c>
      <c r="J843" s="22">
        <f t="shared" si="52"/>
        <v>255.11627906976744</v>
      </c>
      <c r="K843" s="24">
        <f t="shared" si="53"/>
        <v>-0.1925250683682771</v>
      </c>
      <c r="L843" t="str">
        <f>VLOOKUP(B843,товар!$A$1:$C$433,3,FALSE)</f>
        <v>Мистраль</v>
      </c>
      <c r="M843" s="24">
        <f t="shared" si="54"/>
        <v>-0.17701290719114937</v>
      </c>
      <c r="N843" s="29">
        <f t="shared" si="55"/>
        <v>250.30769230769232</v>
      </c>
      <c r="O843" s="32">
        <f>VLOOKUP(H843,клиенты!$A$2:$G$435,5,FALSE)</f>
        <v>44688</v>
      </c>
      <c r="P843">
        <f>Продажи[[#This Row],[дата создания чека]]-Продажи[[#This Row],[Дата регистрации клиента]]</f>
        <v>549</v>
      </c>
      <c r="Q843" t="str">
        <f>VLOOKUP(H843,Таблица3[],7,FALSE)</f>
        <v>Украина</v>
      </c>
    </row>
    <row r="844" spans="1:17" x14ac:dyDescent="0.3">
      <c r="A844">
        <v>843</v>
      </c>
      <c r="B844">
        <v>347</v>
      </c>
      <c r="C844">
        <v>265</v>
      </c>
      <c r="D844">
        <v>1</v>
      </c>
      <c r="E844">
        <v>265</v>
      </c>
      <c r="F844" s="32">
        <v>45390</v>
      </c>
      <c r="G844" t="s">
        <v>19</v>
      </c>
      <c r="H844">
        <v>264</v>
      </c>
      <c r="I844" t="str">
        <f>VLOOKUP(B844,товар!$A$1:$C$433,2,FALSE)</f>
        <v>Макароны</v>
      </c>
      <c r="J844" s="22">
        <f t="shared" si="52"/>
        <v>265.47674418604652</v>
      </c>
      <c r="K844" s="24">
        <f t="shared" si="53"/>
        <v>-1.7958039507687262E-3</v>
      </c>
      <c r="L844" t="str">
        <f>VLOOKUP(B844,товар!$A$1:$C$433,3,FALSE)</f>
        <v>Паста Зара</v>
      </c>
      <c r="M844" s="24">
        <f t="shared" si="54"/>
        <v>-4.2199863241183966E-2</v>
      </c>
      <c r="N844" s="29">
        <f t="shared" si="55"/>
        <v>276.67567567567568</v>
      </c>
      <c r="O844" s="32">
        <f>VLOOKUP(H844,клиенты!$A$2:$G$435,5,FALSE)</f>
        <v>44907</v>
      </c>
      <c r="P844">
        <f>Продажи[[#This Row],[дата создания чека]]-Продажи[[#This Row],[Дата регистрации клиента]]</f>
        <v>483</v>
      </c>
      <c r="Q844" t="str">
        <f>VLOOKUP(H844,Таблица3[],7,FALSE)</f>
        <v>Беларусь</v>
      </c>
    </row>
    <row r="845" spans="1:17" x14ac:dyDescent="0.3">
      <c r="A845">
        <v>844</v>
      </c>
      <c r="B845">
        <v>342</v>
      </c>
      <c r="C845">
        <v>269</v>
      </c>
      <c r="D845">
        <v>4</v>
      </c>
      <c r="E845">
        <v>1076</v>
      </c>
      <c r="F845" s="32">
        <v>45093</v>
      </c>
      <c r="G845" t="s">
        <v>21</v>
      </c>
      <c r="H845">
        <v>190</v>
      </c>
      <c r="I845" t="str">
        <f>VLOOKUP(B845,товар!$A$1:$C$433,2,FALSE)</f>
        <v>Овощи</v>
      </c>
      <c r="J845" s="22">
        <f t="shared" si="52"/>
        <v>250.48780487804879</v>
      </c>
      <c r="K845" s="24">
        <f t="shared" si="53"/>
        <v>7.3904576436222058E-2</v>
      </c>
      <c r="L845" t="str">
        <f>VLOOKUP(B845,товар!$A$1:$C$433,3,FALSE)</f>
        <v>Овощной ряд</v>
      </c>
      <c r="M845" s="24">
        <f t="shared" si="54"/>
        <v>-0.11461761858664077</v>
      </c>
      <c r="N845" s="29">
        <f t="shared" si="55"/>
        <v>303.8235294117647</v>
      </c>
      <c r="O845" s="32">
        <f>VLOOKUP(H845,клиенты!$A$2:$G$435,5,FALSE)</f>
        <v>44689</v>
      </c>
      <c r="P845">
        <f>Продажи[[#This Row],[дата создания чека]]-Продажи[[#This Row],[Дата регистрации клиента]]</f>
        <v>404</v>
      </c>
      <c r="Q845" t="str">
        <f>VLOOKUP(H845,Таблица3[],7,FALSE)</f>
        <v>Беларусь</v>
      </c>
    </row>
    <row r="846" spans="1:17" x14ac:dyDescent="0.3">
      <c r="A846">
        <v>845</v>
      </c>
      <c r="B846">
        <v>474</v>
      </c>
      <c r="C846">
        <v>405</v>
      </c>
      <c r="D846">
        <v>2</v>
      </c>
      <c r="E846">
        <v>810</v>
      </c>
      <c r="F846" s="32">
        <v>45390</v>
      </c>
      <c r="G846" t="s">
        <v>16</v>
      </c>
      <c r="H846">
        <v>18</v>
      </c>
      <c r="I846" t="str">
        <f>VLOOKUP(B846,товар!$A$1:$C$433,2,FALSE)</f>
        <v>Молоко</v>
      </c>
      <c r="J846" s="22">
        <f t="shared" si="52"/>
        <v>294.95238095238096</v>
      </c>
      <c r="K846" s="24">
        <f t="shared" si="53"/>
        <v>0.37310300290603804</v>
      </c>
      <c r="L846" t="str">
        <f>VLOOKUP(B846,товар!$A$1:$C$433,3,FALSE)</f>
        <v>Простоквашино</v>
      </c>
      <c r="M846" s="24">
        <f t="shared" si="54"/>
        <v>0.27031650983746802</v>
      </c>
      <c r="N846" s="29">
        <f t="shared" si="55"/>
        <v>318.81818181818181</v>
      </c>
      <c r="O846" s="32">
        <f>VLOOKUP(H846,клиенты!$A$2:$G$435,5,FALSE)</f>
        <v>44578</v>
      </c>
      <c r="P846">
        <f>Продажи[[#This Row],[дата создания чека]]-Продажи[[#This Row],[Дата регистрации клиента]]</f>
        <v>812</v>
      </c>
      <c r="Q846" t="str">
        <f>VLOOKUP(H846,Таблица3[],7,FALSE)</f>
        <v>Украина</v>
      </c>
    </row>
    <row r="847" spans="1:17" x14ac:dyDescent="0.3">
      <c r="A847">
        <v>846</v>
      </c>
      <c r="B847">
        <v>69</v>
      </c>
      <c r="C847">
        <v>197</v>
      </c>
      <c r="D847">
        <v>2</v>
      </c>
      <c r="E847">
        <v>394</v>
      </c>
      <c r="F847" s="32">
        <v>45195</v>
      </c>
      <c r="G847" t="s">
        <v>21</v>
      </c>
      <c r="H847">
        <v>125</v>
      </c>
      <c r="I847" t="str">
        <f>VLOOKUP(B847,товар!$A$1:$C$433,2,FALSE)</f>
        <v>Чипсы</v>
      </c>
      <c r="J847" s="22">
        <f t="shared" si="52"/>
        <v>273.72549019607845</v>
      </c>
      <c r="K847" s="24">
        <f t="shared" si="53"/>
        <v>-0.28030085959885398</v>
      </c>
      <c r="L847" t="str">
        <f>VLOOKUP(B847,товар!$A$1:$C$433,3,FALSE)</f>
        <v>Estrella</v>
      </c>
      <c r="M847" s="24">
        <f t="shared" si="54"/>
        <v>-0.26015705018777735</v>
      </c>
      <c r="N847" s="29">
        <f t="shared" si="55"/>
        <v>266.27272727272725</v>
      </c>
      <c r="O847" s="32">
        <f>VLOOKUP(H847,клиенты!$A$2:$G$435,5,FALSE)</f>
        <v>44701</v>
      </c>
      <c r="P847">
        <f>Продажи[[#This Row],[дата создания чека]]-Продажи[[#This Row],[Дата регистрации клиента]]</f>
        <v>494</v>
      </c>
      <c r="Q847" t="str">
        <f>VLOOKUP(H847,Таблица3[],7,FALSE)</f>
        <v>Россия</v>
      </c>
    </row>
    <row r="848" spans="1:17" x14ac:dyDescent="0.3">
      <c r="A848">
        <v>847</v>
      </c>
      <c r="B848">
        <v>206</v>
      </c>
      <c r="C848">
        <v>93</v>
      </c>
      <c r="D848">
        <v>2</v>
      </c>
      <c r="E848">
        <v>186</v>
      </c>
      <c r="F848" s="32">
        <v>45154</v>
      </c>
      <c r="G848" t="s">
        <v>17</v>
      </c>
      <c r="H848">
        <v>155</v>
      </c>
      <c r="I848" t="str">
        <f>VLOOKUP(B848,товар!$A$1:$C$433,2,FALSE)</f>
        <v>Молоко</v>
      </c>
      <c r="J848" s="22">
        <f t="shared" si="52"/>
        <v>294.95238095238096</v>
      </c>
      <c r="K848" s="24">
        <f t="shared" si="53"/>
        <v>-0.68469486599935425</v>
      </c>
      <c r="L848" t="str">
        <f>VLOOKUP(B848,товар!$A$1:$C$433,3,FALSE)</f>
        <v>Домик в деревне</v>
      </c>
      <c r="M848" s="24">
        <f t="shared" si="54"/>
        <v>-0.66154468257177523</v>
      </c>
      <c r="N848" s="29">
        <f t="shared" si="55"/>
        <v>274.77777777777777</v>
      </c>
      <c r="O848" s="32">
        <f>VLOOKUP(H848,клиенты!$A$2:$G$435,5,FALSE)</f>
        <v>44564</v>
      </c>
      <c r="P848">
        <f>Продажи[[#This Row],[дата создания чека]]-Продажи[[#This Row],[Дата регистрации клиента]]</f>
        <v>590</v>
      </c>
      <c r="Q848" t="str">
        <f>VLOOKUP(H848,Таблица3[],7,FALSE)</f>
        <v>Украина</v>
      </c>
    </row>
    <row r="849" spans="1:17" x14ac:dyDescent="0.3">
      <c r="A849">
        <v>848</v>
      </c>
      <c r="B849">
        <v>319</v>
      </c>
      <c r="C849">
        <v>193</v>
      </c>
      <c r="D849">
        <v>1</v>
      </c>
      <c r="E849">
        <v>193</v>
      </c>
      <c r="F849" s="32">
        <v>45396</v>
      </c>
      <c r="G849" t="s">
        <v>15</v>
      </c>
      <c r="H849">
        <v>43</v>
      </c>
      <c r="I849" t="str">
        <f>VLOOKUP(B849,товар!$A$1:$C$433,2,FALSE)</f>
        <v>Йогурт</v>
      </c>
      <c r="J849" s="22">
        <f t="shared" si="52"/>
        <v>263.25423728813558</v>
      </c>
      <c r="K849" s="24">
        <f t="shared" si="53"/>
        <v>-0.26686840072109197</v>
      </c>
      <c r="L849" t="str">
        <f>VLOOKUP(B849,товар!$A$1:$C$433,3,FALSE)</f>
        <v>Эрманн</v>
      </c>
      <c r="M849" s="24">
        <f t="shared" si="54"/>
        <v>-0.22334004024144871</v>
      </c>
      <c r="N849" s="29">
        <f t="shared" si="55"/>
        <v>248.5</v>
      </c>
      <c r="O849" s="32">
        <f>VLOOKUP(H849,клиенты!$A$2:$G$435,5,FALSE)</f>
        <v>44912</v>
      </c>
      <c r="P849">
        <f>Продажи[[#This Row],[дата создания чека]]-Продажи[[#This Row],[Дата регистрации клиента]]</f>
        <v>484</v>
      </c>
      <c r="Q849" t="str">
        <f>VLOOKUP(H849,Таблица3[],7,FALSE)</f>
        <v>Россия</v>
      </c>
    </row>
    <row r="850" spans="1:17" x14ac:dyDescent="0.3">
      <c r="A850">
        <v>849</v>
      </c>
      <c r="B850">
        <v>59</v>
      </c>
      <c r="C850">
        <v>150</v>
      </c>
      <c r="D850">
        <v>4</v>
      </c>
      <c r="E850">
        <v>600</v>
      </c>
      <c r="F850" s="32">
        <v>45134</v>
      </c>
      <c r="G850" t="s">
        <v>17</v>
      </c>
      <c r="H850">
        <v>343</v>
      </c>
      <c r="I850" t="str">
        <f>VLOOKUP(B850,товар!$A$1:$C$433,2,FALSE)</f>
        <v>Сахар</v>
      </c>
      <c r="J850" s="22">
        <f t="shared" si="52"/>
        <v>252.76271186440678</v>
      </c>
      <c r="K850" s="24">
        <f t="shared" si="53"/>
        <v>-0.40655803661235168</v>
      </c>
      <c r="L850" t="str">
        <f>VLOOKUP(B850,товар!$A$1:$C$433,3,FALSE)</f>
        <v>Продимекс</v>
      </c>
      <c r="M850" s="24">
        <f t="shared" si="54"/>
        <v>-0.37629937629937626</v>
      </c>
      <c r="N850" s="29">
        <f t="shared" si="55"/>
        <v>240.5</v>
      </c>
      <c r="O850" s="32">
        <f>VLOOKUP(H850,клиенты!$A$2:$G$435,5,FALSE)</f>
        <v>44874</v>
      </c>
      <c r="P850">
        <f>Продажи[[#This Row],[дата создания чека]]-Продажи[[#This Row],[Дата регистрации клиента]]</f>
        <v>260</v>
      </c>
      <c r="Q850" t="str">
        <f>VLOOKUP(H850,Таблица3[],7,FALSE)</f>
        <v>Украина</v>
      </c>
    </row>
    <row r="851" spans="1:17" x14ac:dyDescent="0.3">
      <c r="A851">
        <v>850</v>
      </c>
      <c r="B851">
        <v>16</v>
      </c>
      <c r="C851">
        <v>207</v>
      </c>
      <c r="D851">
        <v>2</v>
      </c>
      <c r="E851">
        <v>414</v>
      </c>
      <c r="F851" s="32">
        <v>45251</v>
      </c>
      <c r="G851" t="s">
        <v>11</v>
      </c>
      <c r="H851">
        <v>26</v>
      </c>
      <c r="I851" t="str">
        <f>VLOOKUP(B851,товар!$A$1:$C$433,2,FALSE)</f>
        <v>Сыр</v>
      </c>
      <c r="J851" s="22">
        <f t="shared" si="52"/>
        <v>262.63492063492066</v>
      </c>
      <c r="K851" s="24">
        <f t="shared" si="53"/>
        <v>-0.21183367581288537</v>
      </c>
      <c r="L851" t="str">
        <f>VLOOKUP(B851,товар!$A$1:$C$433,3,FALSE)</f>
        <v>Сырная долина</v>
      </c>
      <c r="M851" s="24">
        <f t="shared" si="54"/>
        <v>-0.23616236162361626</v>
      </c>
      <c r="N851" s="29">
        <f t="shared" si="55"/>
        <v>271</v>
      </c>
      <c r="O851" s="32">
        <f>VLOOKUP(H851,клиенты!$A$2:$G$435,5,FALSE)</f>
        <v>44819</v>
      </c>
      <c r="P851">
        <f>Продажи[[#This Row],[дата создания чека]]-Продажи[[#This Row],[Дата регистрации клиента]]</f>
        <v>432</v>
      </c>
      <c r="Q851" t="str">
        <f>VLOOKUP(H851,Таблица3[],7,FALSE)</f>
        <v>Таджикистан</v>
      </c>
    </row>
    <row r="852" spans="1:17" x14ac:dyDescent="0.3">
      <c r="A852">
        <v>851</v>
      </c>
      <c r="B852">
        <v>220</v>
      </c>
      <c r="C852">
        <v>305</v>
      </c>
      <c r="D852">
        <v>4</v>
      </c>
      <c r="E852">
        <v>1220</v>
      </c>
      <c r="F852" s="32">
        <v>45056</v>
      </c>
      <c r="G852" t="s">
        <v>14</v>
      </c>
      <c r="H852">
        <v>306</v>
      </c>
      <c r="I852" t="str">
        <f>VLOOKUP(B852,товар!$A$1:$C$433,2,FALSE)</f>
        <v>Чай</v>
      </c>
      <c r="J852" s="22">
        <f t="shared" si="52"/>
        <v>271.18181818181819</v>
      </c>
      <c r="K852" s="24">
        <f t="shared" si="53"/>
        <v>0.12470667113643974</v>
      </c>
      <c r="L852" t="str">
        <f>VLOOKUP(B852,товар!$A$1:$C$433,3,FALSE)</f>
        <v>Тесс</v>
      </c>
      <c r="M852" s="24">
        <f t="shared" si="54"/>
        <v>8.2519964507542065E-2</v>
      </c>
      <c r="N852" s="29">
        <f t="shared" si="55"/>
        <v>281.75</v>
      </c>
      <c r="O852" s="32">
        <f>VLOOKUP(H852,клиенты!$A$2:$G$435,5,FALSE)</f>
        <v>44872</v>
      </c>
      <c r="P852">
        <f>Продажи[[#This Row],[дата создания чека]]-Продажи[[#This Row],[Дата регистрации клиента]]</f>
        <v>184</v>
      </c>
      <c r="Q852" t="str">
        <f>VLOOKUP(H852,Таблица3[],7,FALSE)</f>
        <v>Украина</v>
      </c>
    </row>
    <row r="853" spans="1:17" x14ac:dyDescent="0.3">
      <c r="A853">
        <v>852</v>
      </c>
      <c r="B853">
        <v>474</v>
      </c>
      <c r="C853">
        <v>171</v>
      </c>
      <c r="D853">
        <v>3</v>
      </c>
      <c r="E853">
        <v>513</v>
      </c>
      <c r="F853" s="32">
        <v>44985</v>
      </c>
      <c r="G853" t="s">
        <v>11</v>
      </c>
      <c r="H853">
        <v>260</v>
      </c>
      <c r="I853" t="str">
        <f>VLOOKUP(B853,товар!$A$1:$C$433,2,FALSE)</f>
        <v>Молоко</v>
      </c>
      <c r="J853" s="22">
        <f t="shared" si="52"/>
        <v>294.95238095238096</v>
      </c>
      <c r="K853" s="24">
        <f t="shared" si="53"/>
        <v>-0.42024539877300615</v>
      </c>
      <c r="L853" t="str">
        <f>VLOOKUP(B853,товар!$A$1:$C$433,3,FALSE)</f>
        <v>Простоквашино</v>
      </c>
      <c r="M853" s="24">
        <f t="shared" si="54"/>
        <v>-0.46364414029084688</v>
      </c>
      <c r="N853" s="29">
        <f t="shared" si="55"/>
        <v>318.81818181818181</v>
      </c>
      <c r="O853" s="32">
        <f>VLOOKUP(H853,клиенты!$A$2:$G$435,5,FALSE)</f>
        <v>44729</v>
      </c>
      <c r="P853">
        <f>Продажи[[#This Row],[дата создания чека]]-Продажи[[#This Row],[Дата регистрации клиента]]</f>
        <v>256</v>
      </c>
      <c r="Q853" t="str">
        <f>VLOOKUP(H853,Таблица3[],7,FALSE)</f>
        <v>Украина</v>
      </c>
    </row>
    <row r="854" spans="1:17" x14ac:dyDescent="0.3">
      <c r="A854">
        <v>853</v>
      </c>
      <c r="B854">
        <v>118</v>
      </c>
      <c r="C854">
        <v>466</v>
      </c>
      <c r="D854">
        <v>3</v>
      </c>
      <c r="E854">
        <v>1398</v>
      </c>
      <c r="F854" s="32">
        <v>44980</v>
      </c>
      <c r="G854" t="s">
        <v>22</v>
      </c>
      <c r="H854">
        <v>188</v>
      </c>
      <c r="I854" t="str">
        <f>VLOOKUP(B854,товар!$A$1:$C$433,2,FALSE)</f>
        <v>Сахар</v>
      </c>
      <c r="J854" s="22">
        <f t="shared" si="52"/>
        <v>252.76271186440678</v>
      </c>
      <c r="K854" s="24">
        <f t="shared" si="53"/>
        <v>0.84362636625762755</v>
      </c>
      <c r="L854" t="str">
        <f>VLOOKUP(B854,товар!$A$1:$C$433,3,FALSE)</f>
        <v>Продимекс</v>
      </c>
      <c r="M854" s="24">
        <f t="shared" si="54"/>
        <v>0.93762993762993774</v>
      </c>
      <c r="N854" s="29">
        <f t="shared" si="55"/>
        <v>240.5</v>
      </c>
      <c r="O854" s="32">
        <f>VLOOKUP(H854,клиенты!$A$2:$G$435,5,FALSE)</f>
        <v>44801</v>
      </c>
      <c r="P854">
        <f>Продажи[[#This Row],[дата создания чека]]-Продажи[[#This Row],[Дата регистрации клиента]]</f>
        <v>179</v>
      </c>
      <c r="Q854" t="str">
        <f>VLOOKUP(H854,Таблица3[],7,FALSE)</f>
        <v>Таджикистан</v>
      </c>
    </row>
    <row r="855" spans="1:17" x14ac:dyDescent="0.3">
      <c r="A855">
        <v>854</v>
      </c>
      <c r="B855">
        <v>207</v>
      </c>
      <c r="C855">
        <v>57</v>
      </c>
      <c r="D855">
        <v>2</v>
      </c>
      <c r="E855">
        <v>114</v>
      </c>
      <c r="F855" s="32">
        <v>45344</v>
      </c>
      <c r="G855" t="s">
        <v>21</v>
      </c>
      <c r="H855">
        <v>152</v>
      </c>
      <c r="I855" t="str">
        <f>VLOOKUP(B855,товар!$A$1:$C$433,2,FALSE)</f>
        <v>Сахар</v>
      </c>
      <c r="J855" s="22">
        <f t="shared" si="52"/>
        <v>252.76271186440678</v>
      </c>
      <c r="K855" s="24">
        <f t="shared" si="53"/>
        <v>-0.7744920539126936</v>
      </c>
      <c r="L855" t="str">
        <f>VLOOKUP(B855,товар!$A$1:$C$433,3,FALSE)</f>
        <v>Агросахар</v>
      </c>
      <c r="M855" s="24">
        <f t="shared" si="54"/>
        <v>-0.73593646591661144</v>
      </c>
      <c r="N855" s="29">
        <f t="shared" si="55"/>
        <v>215.85714285714286</v>
      </c>
      <c r="O855" s="32">
        <f>VLOOKUP(H855,клиенты!$A$2:$G$435,5,FALSE)</f>
        <v>44791</v>
      </c>
      <c r="P855">
        <f>Продажи[[#This Row],[дата создания чека]]-Продажи[[#This Row],[Дата регистрации клиента]]</f>
        <v>553</v>
      </c>
      <c r="Q855" t="str">
        <f>VLOOKUP(H855,Таблица3[],7,FALSE)</f>
        <v>Беларусь</v>
      </c>
    </row>
    <row r="856" spans="1:17" x14ac:dyDescent="0.3">
      <c r="A856">
        <v>855</v>
      </c>
      <c r="B856">
        <v>239</v>
      </c>
      <c r="C856">
        <v>397</v>
      </c>
      <c r="D856">
        <v>2</v>
      </c>
      <c r="E856">
        <v>794</v>
      </c>
      <c r="F856" s="32">
        <v>45398</v>
      </c>
      <c r="G856" t="s">
        <v>14</v>
      </c>
      <c r="H856">
        <v>65</v>
      </c>
      <c r="I856" t="str">
        <f>VLOOKUP(B856,товар!$A$1:$C$433,2,FALSE)</f>
        <v>Йогурт</v>
      </c>
      <c r="J856" s="22">
        <f t="shared" si="52"/>
        <v>263.25423728813558</v>
      </c>
      <c r="K856" s="24">
        <f t="shared" si="53"/>
        <v>0.50804790110739129</v>
      </c>
      <c r="L856" t="str">
        <f>VLOOKUP(B856,товар!$A$1:$C$433,3,FALSE)</f>
        <v>Эрманн</v>
      </c>
      <c r="M856" s="24">
        <f t="shared" si="54"/>
        <v>0.59758551307847085</v>
      </c>
      <c r="N856" s="29">
        <f t="shared" si="55"/>
        <v>248.5</v>
      </c>
      <c r="O856" s="32">
        <f>VLOOKUP(H856,клиенты!$A$2:$G$435,5,FALSE)</f>
        <v>44623</v>
      </c>
      <c r="P856">
        <f>Продажи[[#This Row],[дата создания чека]]-Продажи[[#This Row],[Дата регистрации клиента]]</f>
        <v>775</v>
      </c>
      <c r="Q856" t="str">
        <f>VLOOKUP(H856,Таблица3[],7,FALSE)</f>
        <v>Украина</v>
      </c>
    </row>
    <row r="857" spans="1:17" x14ac:dyDescent="0.3">
      <c r="A857">
        <v>856</v>
      </c>
      <c r="B857">
        <v>367</v>
      </c>
      <c r="C857">
        <v>289</v>
      </c>
      <c r="D857">
        <v>1</v>
      </c>
      <c r="E857">
        <v>289</v>
      </c>
      <c r="F857" s="32">
        <v>45041</v>
      </c>
      <c r="G857" t="s">
        <v>9</v>
      </c>
      <c r="H857">
        <v>281</v>
      </c>
      <c r="I857" t="str">
        <f>VLOOKUP(B857,товар!$A$1:$C$433,2,FALSE)</f>
        <v>Колбаса</v>
      </c>
      <c r="J857" s="22">
        <f t="shared" si="52"/>
        <v>286.92307692307691</v>
      </c>
      <c r="K857" s="24">
        <f t="shared" si="53"/>
        <v>7.238605898123307E-3</v>
      </c>
      <c r="L857" t="str">
        <f>VLOOKUP(B857,товар!$A$1:$C$433,3,FALSE)</f>
        <v>Окраина</v>
      </c>
      <c r="M857" s="24">
        <f t="shared" si="54"/>
        <v>5.6350898568382712E-2</v>
      </c>
      <c r="N857" s="29">
        <f t="shared" si="55"/>
        <v>273.58333333333331</v>
      </c>
      <c r="O857" s="32">
        <f>VLOOKUP(H857,клиенты!$A$2:$G$435,5,FALSE)</f>
        <v>44711</v>
      </c>
      <c r="P857">
        <f>Продажи[[#This Row],[дата создания чека]]-Продажи[[#This Row],[Дата регистрации клиента]]</f>
        <v>330</v>
      </c>
      <c r="Q857" t="str">
        <f>VLOOKUP(H857,Таблица3[],7,FALSE)</f>
        <v>Узбекистан</v>
      </c>
    </row>
    <row r="858" spans="1:17" x14ac:dyDescent="0.3">
      <c r="A858">
        <v>857</v>
      </c>
      <c r="B858">
        <v>87</v>
      </c>
      <c r="C858">
        <v>191</v>
      </c>
      <c r="D858">
        <v>3</v>
      </c>
      <c r="E858">
        <v>573</v>
      </c>
      <c r="F858" s="32">
        <v>45125</v>
      </c>
      <c r="G858" t="s">
        <v>26</v>
      </c>
      <c r="H858">
        <v>430</v>
      </c>
      <c r="I858" t="str">
        <f>VLOOKUP(B858,товар!$A$1:$C$433,2,FALSE)</f>
        <v>Кофе</v>
      </c>
      <c r="J858" s="22">
        <f t="shared" si="52"/>
        <v>249.02380952380952</v>
      </c>
      <c r="K858" s="24">
        <f t="shared" si="53"/>
        <v>-0.23300506740606175</v>
      </c>
      <c r="L858" t="str">
        <f>VLOOKUP(B858,товар!$A$1:$C$433,3,FALSE)</f>
        <v>Jacobs</v>
      </c>
      <c r="M858" s="24">
        <f t="shared" si="54"/>
        <v>-0.30849847560975607</v>
      </c>
      <c r="N858" s="29">
        <f t="shared" si="55"/>
        <v>276.21052631578948</v>
      </c>
      <c r="O858" s="32">
        <f>VLOOKUP(H858,клиенты!$A$2:$G$435,5,FALSE)</f>
        <v>44799</v>
      </c>
      <c r="P858">
        <f>Продажи[[#This Row],[дата создания чека]]-Продажи[[#This Row],[Дата регистрации клиента]]</f>
        <v>326</v>
      </c>
      <c r="Q858" t="str">
        <f>VLOOKUP(H858,Таблица3[],7,FALSE)</f>
        <v>Таджикистан</v>
      </c>
    </row>
    <row r="859" spans="1:17" x14ac:dyDescent="0.3">
      <c r="A859">
        <v>858</v>
      </c>
      <c r="B859">
        <v>309</v>
      </c>
      <c r="C859">
        <v>244</v>
      </c>
      <c r="D859">
        <v>3</v>
      </c>
      <c r="E859">
        <v>732</v>
      </c>
      <c r="F859" s="32">
        <v>45374</v>
      </c>
      <c r="G859" t="s">
        <v>27</v>
      </c>
      <c r="H859">
        <v>299</v>
      </c>
      <c r="I859" t="str">
        <f>VLOOKUP(B859,товар!$A$1:$C$433,2,FALSE)</f>
        <v>Конфеты</v>
      </c>
      <c r="J859" s="22">
        <f t="shared" si="52"/>
        <v>267.85483870967744</v>
      </c>
      <c r="K859" s="24">
        <f t="shared" si="53"/>
        <v>-8.9058830613596762E-2</v>
      </c>
      <c r="L859" t="str">
        <f>VLOOKUP(B859,товар!$A$1:$C$433,3,FALSE)</f>
        <v>Рот Фронт</v>
      </c>
      <c r="M859" s="24">
        <f t="shared" si="54"/>
        <v>-0.15347761440607965</v>
      </c>
      <c r="N859" s="29">
        <f t="shared" si="55"/>
        <v>288.23809523809524</v>
      </c>
      <c r="O859" s="32">
        <f>VLOOKUP(H859,клиенты!$A$2:$G$435,5,FALSE)</f>
        <v>44666</v>
      </c>
      <c r="P859">
        <f>Продажи[[#This Row],[дата создания чека]]-Продажи[[#This Row],[Дата регистрации клиента]]</f>
        <v>708</v>
      </c>
      <c r="Q859" t="str">
        <f>VLOOKUP(H859,Таблица3[],7,FALSE)</f>
        <v>Украина</v>
      </c>
    </row>
    <row r="860" spans="1:17" x14ac:dyDescent="0.3">
      <c r="A860">
        <v>859</v>
      </c>
      <c r="B860">
        <v>271</v>
      </c>
      <c r="C860">
        <v>392</v>
      </c>
      <c r="D860">
        <v>3</v>
      </c>
      <c r="E860">
        <v>1176</v>
      </c>
      <c r="F860" s="32">
        <v>45103</v>
      </c>
      <c r="G860" t="s">
        <v>19</v>
      </c>
      <c r="H860">
        <v>132</v>
      </c>
      <c r="I860" t="str">
        <f>VLOOKUP(B860,товар!$A$1:$C$433,2,FALSE)</f>
        <v>Сыр</v>
      </c>
      <c r="J860" s="22">
        <f t="shared" si="52"/>
        <v>262.63492063492066</v>
      </c>
      <c r="K860" s="24">
        <f t="shared" si="53"/>
        <v>0.49256617913695133</v>
      </c>
      <c r="L860" t="str">
        <f>VLOOKUP(B860,товар!$A$1:$C$433,3,FALSE)</f>
        <v>Сырная долина</v>
      </c>
      <c r="M860" s="24">
        <f t="shared" si="54"/>
        <v>0.44649446494464939</v>
      </c>
      <c r="N860" s="29">
        <f t="shared" si="55"/>
        <v>271</v>
      </c>
      <c r="O860" s="32">
        <f>VLOOKUP(H860,клиенты!$A$2:$G$435,5,FALSE)</f>
        <v>44601</v>
      </c>
      <c r="P860">
        <f>Продажи[[#This Row],[дата создания чека]]-Продажи[[#This Row],[Дата регистрации клиента]]</f>
        <v>502</v>
      </c>
      <c r="Q860" t="str">
        <f>VLOOKUP(H860,Таблица3[],7,FALSE)</f>
        <v>Украина</v>
      </c>
    </row>
    <row r="861" spans="1:17" x14ac:dyDescent="0.3">
      <c r="A861">
        <v>860</v>
      </c>
      <c r="B861">
        <v>354</v>
      </c>
      <c r="C861">
        <v>493</v>
      </c>
      <c r="D861">
        <v>2</v>
      </c>
      <c r="E861">
        <v>986</v>
      </c>
      <c r="F861" s="32">
        <v>45320</v>
      </c>
      <c r="G861" t="s">
        <v>24</v>
      </c>
      <c r="H861">
        <v>68</v>
      </c>
      <c r="I861" t="str">
        <f>VLOOKUP(B861,товар!$A$1:$C$433,2,FALSE)</f>
        <v>Чай</v>
      </c>
      <c r="J861" s="22">
        <f t="shared" si="52"/>
        <v>271.18181818181819</v>
      </c>
      <c r="K861" s="24">
        <f t="shared" si="53"/>
        <v>0.81796848809922884</v>
      </c>
      <c r="L861" t="str">
        <f>VLOOKUP(B861,товар!$A$1:$C$433,3,FALSE)</f>
        <v>Lipton</v>
      </c>
      <c r="M861" s="24">
        <f t="shared" si="54"/>
        <v>0.89500303459437602</v>
      </c>
      <c r="N861" s="29">
        <f t="shared" si="55"/>
        <v>260.15789473684208</v>
      </c>
      <c r="O861" s="32">
        <f>VLOOKUP(H861,клиенты!$A$2:$G$435,5,FALSE)</f>
        <v>44882</v>
      </c>
      <c r="P861">
        <f>Продажи[[#This Row],[дата создания чека]]-Продажи[[#This Row],[Дата регистрации клиента]]</f>
        <v>438</v>
      </c>
      <c r="Q861" t="str">
        <f>VLOOKUP(H861,Таблица3[],7,FALSE)</f>
        <v>Узбекистан</v>
      </c>
    </row>
    <row r="862" spans="1:17" x14ac:dyDescent="0.3">
      <c r="A862">
        <v>861</v>
      </c>
      <c r="B862">
        <v>266</v>
      </c>
      <c r="C862">
        <v>339</v>
      </c>
      <c r="D862">
        <v>5</v>
      </c>
      <c r="E862">
        <v>1695</v>
      </c>
      <c r="F862" s="32">
        <v>45358</v>
      </c>
      <c r="G862" t="s">
        <v>9</v>
      </c>
      <c r="H862">
        <v>42</v>
      </c>
      <c r="I862" t="str">
        <f>VLOOKUP(B862,товар!$A$1:$C$433,2,FALSE)</f>
        <v>Рыба</v>
      </c>
      <c r="J862" s="22">
        <f t="shared" si="52"/>
        <v>258.5128205128205</v>
      </c>
      <c r="K862" s="24">
        <f t="shared" si="53"/>
        <v>0.31134695496925224</v>
      </c>
      <c r="L862" t="str">
        <f>VLOOKUP(B862,товар!$A$1:$C$433,3,FALSE)</f>
        <v>Меридиан</v>
      </c>
      <c r="M862" s="24">
        <f t="shared" si="54"/>
        <v>0.30060934326337185</v>
      </c>
      <c r="N862" s="29">
        <f t="shared" si="55"/>
        <v>260.64705882352939</v>
      </c>
      <c r="O862" s="32">
        <f>VLOOKUP(H862,клиенты!$A$2:$G$435,5,FALSE)</f>
        <v>44783</v>
      </c>
      <c r="P862">
        <f>Продажи[[#This Row],[дата создания чека]]-Продажи[[#This Row],[Дата регистрации клиента]]</f>
        <v>575</v>
      </c>
      <c r="Q862" t="str">
        <f>VLOOKUP(H862,Таблица3[],7,FALSE)</f>
        <v>Таджикистан</v>
      </c>
    </row>
    <row r="863" spans="1:17" x14ac:dyDescent="0.3">
      <c r="A863">
        <v>862</v>
      </c>
      <c r="B863">
        <v>441</v>
      </c>
      <c r="C863">
        <v>316</v>
      </c>
      <c r="D863">
        <v>4</v>
      </c>
      <c r="E863">
        <v>1264</v>
      </c>
      <c r="F863" s="32">
        <v>45410</v>
      </c>
      <c r="G863" t="s">
        <v>22</v>
      </c>
      <c r="H863">
        <v>488</v>
      </c>
      <c r="I863" t="str">
        <f>VLOOKUP(B863,товар!$A$1:$C$433,2,FALSE)</f>
        <v>Чай</v>
      </c>
      <c r="J863" s="22">
        <f t="shared" si="52"/>
        <v>271.18181818181819</v>
      </c>
      <c r="K863" s="24">
        <f t="shared" si="53"/>
        <v>0.16526986255447529</v>
      </c>
      <c r="L863" t="str">
        <f>VLOOKUP(B863,товар!$A$1:$C$433,3,FALSE)</f>
        <v>Lipton</v>
      </c>
      <c r="M863" s="24">
        <f t="shared" si="54"/>
        <v>0.21464697552093881</v>
      </c>
      <c r="N863" s="29">
        <f t="shared" si="55"/>
        <v>260.15789473684208</v>
      </c>
      <c r="O863" s="32">
        <f>VLOOKUP(H863,клиенты!$A$2:$G$435,5,FALSE)</f>
        <v>44738</v>
      </c>
      <c r="P863">
        <f>Продажи[[#This Row],[дата создания чека]]-Продажи[[#This Row],[Дата регистрации клиента]]</f>
        <v>672</v>
      </c>
      <c r="Q863" t="str">
        <f>VLOOKUP(H863,Таблица3[],7,FALSE)</f>
        <v>Беларусь</v>
      </c>
    </row>
    <row r="864" spans="1:17" x14ac:dyDescent="0.3">
      <c r="A864">
        <v>863</v>
      </c>
      <c r="B864">
        <v>245</v>
      </c>
      <c r="C864">
        <v>284</v>
      </c>
      <c r="D864">
        <v>4</v>
      </c>
      <c r="E864">
        <v>1136</v>
      </c>
      <c r="F864" s="32">
        <v>45405</v>
      </c>
      <c r="G864" t="s">
        <v>15</v>
      </c>
      <c r="H864">
        <v>324</v>
      </c>
      <c r="I864" t="str">
        <f>VLOOKUP(B864,товар!$A$1:$C$433,2,FALSE)</f>
        <v>Сахар</v>
      </c>
      <c r="J864" s="22">
        <f t="shared" si="52"/>
        <v>252.76271186440678</v>
      </c>
      <c r="K864" s="24">
        <f t="shared" si="53"/>
        <v>0.12358345068061416</v>
      </c>
      <c r="L864" t="str">
        <f>VLOOKUP(B864,товар!$A$1:$C$433,3,FALSE)</f>
        <v>Продимекс</v>
      </c>
      <c r="M864" s="24">
        <f t="shared" si="54"/>
        <v>0.18087318087318094</v>
      </c>
      <c r="N864" s="29">
        <f t="shared" si="55"/>
        <v>240.5</v>
      </c>
      <c r="O864" s="32">
        <f>VLOOKUP(H864,клиенты!$A$2:$G$435,5,FALSE)</f>
        <v>44761</v>
      </c>
      <c r="P864">
        <f>Продажи[[#This Row],[дата создания чека]]-Продажи[[#This Row],[Дата регистрации клиента]]</f>
        <v>644</v>
      </c>
      <c r="Q864" t="str">
        <f>VLOOKUP(H864,Таблица3[],7,FALSE)</f>
        <v>Узбекистан</v>
      </c>
    </row>
    <row r="865" spans="1:17" x14ac:dyDescent="0.3">
      <c r="A865">
        <v>864</v>
      </c>
      <c r="B865">
        <v>369</v>
      </c>
      <c r="C865">
        <v>206</v>
      </c>
      <c r="D865">
        <v>4</v>
      </c>
      <c r="E865">
        <v>824</v>
      </c>
      <c r="F865" s="32">
        <v>45132</v>
      </c>
      <c r="G865" t="s">
        <v>17</v>
      </c>
      <c r="H865">
        <v>346</v>
      </c>
      <c r="I865" t="str">
        <f>VLOOKUP(B865,товар!$A$1:$C$433,2,FALSE)</f>
        <v>Молоко</v>
      </c>
      <c r="J865" s="22">
        <f t="shared" si="52"/>
        <v>294.95238095238096</v>
      </c>
      <c r="K865" s="24">
        <f t="shared" si="53"/>
        <v>-0.30158217629964479</v>
      </c>
      <c r="L865" t="str">
        <f>VLOOKUP(B865,товар!$A$1:$C$433,3,FALSE)</f>
        <v>Домик в деревне</v>
      </c>
      <c r="M865" s="24">
        <f t="shared" si="54"/>
        <v>-0.25030327537403962</v>
      </c>
      <c r="N865" s="29">
        <f t="shared" si="55"/>
        <v>274.77777777777777</v>
      </c>
      <c r="O865" s="32">
        <f>VLOOKUP(H865,клиенты!$A$2:$G$435,5,FALSE)</f>
        <v>44636</v>
      </c>
      <c r="P865">
        <f>Продажи[[#This Row],[дата создания чека]]-Продажи[[#This Row],[Дата регистрации клиента]]</f>
        <v>496</v>
      </c>
      <c r="Q865" t="str">
        <f>VLOOKUP(H865,Таблица3[],7,FALSE)</f>
        <v>Россия</v>
      </c>
    </row>
    <row r="866" spans="1:17" x14ac:dyDescent="0.3">
      <c r="A866">
        <v>865</v>
      </c>
      <c r="B866">
        <v>176</v>
      </c>
      <c r="C866">
        <v>217</v>
      </c>
      <c r="D866">
        <v>4</v>
      </c>
      <c r="E866">
        <v>868</v>
      </c>
      <c r="F866" s="32">
        <v>45135</v>
      </c>
      <c r="G866" t="s">
        <v>12</v>
      </c>
      <c r="H866">
        <v>313</v>
      </c>
      <c r="I866" t="str">
        <f>VLOOKUP(B866,товар!$A$1:$C$433,2,FALSE)</f>
        <v>Сахар</v>
      </c>
      <c r="J866" s="22">
        <f t="shared" si="52"/>
        <v>252.76271186440678</v>
      </c>
      <c r="K866" s="24">
        <f t="shared" si="53"/>
        <v>-0.14148729296586871</v>
      </c>
      <c r="L866" t="str">
        <f>VLOOKUP(B866,товар!$A$1:$C$433,3,FALSE)</f>
        <v>Продимекс</v>
      </c>
      <c r="M866" s="24">
        <f t="shared" si="54"/>
        <v>-9.7713097713097663E-2</v>
      </c>
      <c r="N866" s="29">
        <f t="shared" si="55"/>
        <v>240.5</v>
      </c>
      <c r="O866" s="32">
        <f>VLOOKUP(H866,клиенты!$A$2:$G$435,5,FALSE)</f>
        <v>44896</v>
      </c>
      <c r="P866">
        <f>Продажи[[#This Row],[дата создания чека]]-Продажи[[#This Row],[Дата регистрации клиента]]</f>
        <v>239</v>
      </c>
      <c r="Q866" t="str">
        <f>VLOOKUP(H866,Таблица3[],7,FALSE)</f>
        <v>Узбекистан</v>
      </c>
    </row>
    <row r="867" spans="1:17" x14ac:dyDescent="0.3">
      <c r="A867">
        <v>866</v>
      </c>
      <c r="B867">
        <v>467</v>
      </c>
      <c r="C867">
        <v>72</v>
      </c>
      <c r="D867">
        <v>2</v>
      </c>
      <c r="E867">
        <v>144</v>
      </c>
      <c r="F867" s="32">
        <v>45050</v>
      </c>
      <c r="G867" t="s">
        <v>13</v>
      </c>
      <c r="H867">
        <v>233</v>
      </c>
      <c r="I867" t="str">
        <f>VLOOKUP(B867,товар!$A$1:$C$433,2,FALSE)</f>
        <v>Макароны</v>
      </c>
      <c r="J867" s="22">
        <f t="shared" si="52"/>
        <v>265.47674418604652</v>
      </c>
      <c r="K867" s="24">
        <f t="shared" si="53"/>
        <v>-0.72878980333756727</v>
      </c>
      <c r="L867" t="str">
        <f>VLOOKUP(B867,товар!$A$1:$C$433,3,FALSE)</f>
        <v>Борилла</v>
      </c>
      <c r="M867" s="24">
        <f t="shared" si="54"/>
        <v>-0.69527145359019271</v>
      </c>
      <c r="N867" s="29">
        <f t="shared" si="55"/>
        <v>236.27586206896552</v>
      </c>
      <c r="O867" s="32">
        <f>VLOOKUP(H867,клиенты!$A$2:$G$435,5,FALSE)</f>
        <v>44616</v>
      </c>
      <c r="P867">
        <f>Продажи[[#This Row],[дата создания чека]]-Продажи[[#This Row],[Дата регистрации клиента]]</f>
        <v>434</v>
      </c>
      <c r="Q867" t="str">
        <f>VLOOKUP(H867,Таблица3[],7,FALSE)</f>
        <v>Таджикистан</v>
      </c>
    </row>
    <row r="868" spans="1:17" x14ac:dyDescent="0.3">
      <c r="A868">
        <v>867</v>
      </c>
      <c r="B868">
        <v>237</v>
      </c>
      <c r="C868">
        <v>121</v>
      </c>
      <c r="D868">
        <v>3</v>
      </c>
      <c r="E868">
        <v>363</v>
      </c>
      <c r="F868" s="32">
        <v>45240</v>
      </c>
      <c r="G868" t="s">
        <v>26</v>
      </c>
      <c r="H868">
        <v>77</v>
      </c>
      <c r="I868" t="str">
        <f>VLOOKUP(B868,товар!$A$1:$C$433,2,FALSE)</f>
        <v>Конфеты</v>
      </c>
      <c r="J868" s="22">
        <f t="shared" si="52"/>
        <v>267.85483870967744</v>
      </c>
      <c r="K868" s="24">
        <f t="shared" si="53"/>
        <v>-0.54826278075510326</v>
      </c>
      <c r="L868" t="str">
        <f>VLOOKUP(B868,товар!$A$1:$C$433,3,FALSE)</f>
        <v>Рот Фронт</v>
      </c>
      <c r="M868" s="24">
        <f t="shared" si="54"/>
        <v>-0.58020816124235919</v>
      </c>
      <c r="N868" s="29">
        <f t="shared" si="55"/>
        <v>288.23809523809524</v>
      </c>
      <c r="O868" s="32">
        <f>VLOOKUP(H868,клиенты!$A$2:$G$435,5,FALSE)</f>
        <v>44644</v>
      </c>
      <c r="P868">
        <f>Продажи[[#This Row],[дата создания чека]]-Продажи[[#This Row],[Дата регистрации клиента]]</f>
        <v>596</v>
      </c>
      <c r="Q868" t="str">
        <f>VLOOKUP(H868,Таблица3[],7,FALSE)</f>
        <v>Россия</v>
      </c>
    </row>
    <row r="869" spans="1:17" x14ac:dyDescent="0.3">
      <c r="A869">
        <v>868</v>
      </c>
      <c r="B869">
        <v>300</v>
      </c>
      <c r="C869">
        <v>140</v>
      </c>
      <c r="D869">
        <v>4</v>
      </c>
      <c r="E869">
        <v>560</v>
      </c>
      <c r="F869" s="32">
        <v>45317</v>
      </c>
      <c r="G869" t="s">
        <v>17</v>
      </c>
      <c r="H869">
        <v>107</v>
      </c>
      <c r="I869" t="str">
        <f>VLOOKUP(B869,товар!$A$1:$C$433,2,FALSE)</f>
        <v>Сахар</v>
      </c>
      <c r="J869" s="22">
        <f t="shared" si="52"/>
        <v>252.76271186440678</v>
      </c>
      <c r="K869" s="24">
        <f t="shared" si="53"/>
        <v>-0.44612083417152815</v>
      </c>
      <c r="L869" t="str">
        <f>VLOOKUP(B869,товар!$A$1:$C$433,3,FALSE)</f>
        <v>Продимекс</v>
      </c>
      <c r="M869" s="24">
        <f t="shared" si="54"/>
        <v>-0.41787941787941785</v>
      </c>
      <c r="N869" s="29">
        <f t="shared" si="55"/>
        <v>240.5</v>
      </c>
      <c r="O869" s="32">
        <f>VLOOKUP(H869,клиенты!$A$2:$G$435,5,FALSE)</f>
        <v>44744</v>
      </c>
      <c r="P869">
        <f>Продажи[[#This Row],[дата создания чека]]-Продажи[[#This Row],[Дата регистрации клиента]]</f>
        <v>573</v>
      </c>
      <c r="Q869" t="str">
        <f>VLOOKUP(H869,Таблица3[],7,FALSE)</f>
        <v>Таджикистан</v>
      </c>
    </row>
    <row r="870" spans="1:17" x14ac:dyDescent="0.3">
      <c r="A870">
        <v>869</v>
      </c>
      <c r="B870">
        <v>137</v>
      </c>
      <c r="C870">
        <v>295</v>
      </c>
      <c r="D870">
        <v>2</v>
      </c>
      <c r="E870">
        <v>590</v>
      </c>
      <c r="F870" s="32">
        <v>45111</v>
      </c>
      <c r="G870" t="s">
        <v>21</v>
      </c>
      <c r="H870">
        <v>375</v>
      </c>
      <c r="I870" t="str">
        <f>VLOOKUP(B870,товар!$A$1:$C$433,2,FALSE)</f>
        <v>Фрукты</v>
      </c>
      <c r="J870" s="22">
        <f t="shared" si="52"/>
        <v>274.16279069767444</v>
      </c>
      <c r="K870" s="24">
        <f t="shared" si="53"/>
        <v>7.6003053694121636E-2</v>
      </c>
      <c r="L870" t="str">
        <f>VLOOKUP(B870,товар!$A$1:$C$433,3,FALSE)</f>
        <v>Экзотик</v>
      </c>
      <c r="M870" s="24">
        <f t="shared" si="54"/>
        <v>0.16284799211628487</v>
      </c>
      <c r="N870" s="29">
        <f t="shared" si="55"/>
        <v>253.6875</v>
      </c>
      <c r="O870" s="32">
        <f>VLOOKUP(H870,клиенты!$A$2:$G$435,5,FALSE)</f>
        <v>44674</v>
      </c>
      <c r="P870">
        <f>Продажи[[#This Row],[дата создания чека]]-Продажи[[#This Row],[Дата регистрации клиента]]</f>
        <v>437</v>
      </c>
      <c r="Q870" t="str">
        <f>VLOOKUP(H870,Таблица3[],7,FALSE)</f>
        <v>Россия</v>
      </c>
    </row>
    <row r="871" spans="1:17" x14ac:dyDescent="0.3">
      <c r="A871">
        <v>870</v>
      </c>
      <c r="B871">
        <v>194</v>
      </c>
      <c r="C871">
        <v>325</v>
      </c>
      <c r="D871">
        <v>4</v>
      </c>
      <c r="E871">
        <v>1300</v>
      </c>
      <c r="F871" s="32">
        <v>45319</v>
      </c>
      <c r="G871" t="s">
        <v>20</v>
      </c>
      <c r="H871">
        <v>62</v>
      </c>
      <c r="I871" t="str">
        <f>VLOOKUP(B871,товар!$A$1:$C$433,2,FALSE)</f>
        <v>Соль</v>
      </c>
      <c r="J871" s="22">
        <f t="shared" si="52"/>
        <v>264.8679245283019</v>
      </c>
      <c r="K871" s="24">
        <f t="shared" si="53"/>
        <v>0.22702664197179079</v>
      </c>
      <c r="L871" t="str">
        <f>VLOOKUP(B871,товар!$A$1:$C$433,3,FALSE)</f>
        <v>Салта</v>
      </c>
      <c r="M871" s="24">
        <f t="shared" si="54"/>
        <v>0.18743149433686512</v>
      </c>
      <c r="N871" s="29">
        <f t="shared" si="55"/>
        <v>273.7</v>
      </c>
      <c r="O871" s="32">
        <f>VLOOKUP(H871,клиенты!$A$2:$G$435,5,FALSE)</f>
        <v>44671</v>
      </c>
      <c r="P871">
        <f>Продажи[[#This Row],[дата создания чека]]-Продажи[[#This Row],[Дата регистрации клиента]]</f>
        <v>648</v>
      </c>
      <c r="Q871" t="str">
        <f>VLOOKUP(H871,Таблица3[],7,FALSE)</f>
        <v>Россия</v>
      </c>
    </row>
    <row r="872" spans="1:17" x14ac:dyDescent="0.3">
      <c r="A872">
        <v>871</v>
      </c>
      <c r="B872">
        <v>215</v>
      </c>
      <c r="C872">
        <v>147</v>
      </c>
      <c r="D872">
        <v>3</v>
      </c>
      <c r="E872">
        <v>441</v>
      </c>
      <c r="F872" s="32">
        <v>45173</v>
      </c>
      <c r="G872" t="s">
        <v>13</v>
      </c>
      <c r="H872">
        <v>368</v>
      </c>
      <c r="I872" t="str">
        <f>VLOOKUP(B872,товар!$A$1:$C$433,2,FALSE)</f>
        <v>Сок</v>
      </c>
      <c r="J872" s="22">
        <f t="shared" si="52"/>
        <v>268.60344827586209</v>
      </c>
      <c r="K872" s="24">
        <f t="shared" si="53"/>
        <v>-0.45272482187560181</v>
      </c>
      <c r="L872" t="str">
        <f>VLOOKUP(B872,товар!$A$1:$C$433,3,FALSE)</f>
        <v>Фруктовый сад</v>
      </c>
      <c r="M872" s="24">
        <f t="shared" si="54"/>
        <v>-0.4786656322730799</v>
      </c>
      <c r="N872" s="29">
        <f t="shared" si="55"/>
        <v>281.96875</v>
      </c>
      <c r="O872" s="32">
        <f>VLOOKUP(H872,клиенты!$A$2:$G$435,5,FALSE)</f>
        <v>44872</v>
      </c>
      <c r="P872">
        <f>Продажи[[#This Row],[дата создания чека]]-Продажи[[#This Row],[Дата регистрации клиента]]</f>
        <v>301</v>
      </c>
      <c r="Q872" t="str">
        <f>VLOOKUP(H872,Таблица3[],7,FALSE)</f>
        <v>Узбекистан</v>
      </c>
    </row>
    <row r="873" spans="1:17" x14ac:dyDescent="0.3">
      <c r="A873">
        <v>872</v>
      </c>
      <c r="B873">
        <v>307</v>
      </c>
      <c r="C873">
        <v>419</v>
      </c>
      <c r="D873">
        <v>1</v>
      </c>
      <c r="E873">
        <v>419</v>
      </c>
      <c r="F873" s="32">
        <v>45189</v>
      </c>
      <c r="G873" t="s">
        <v>25</v>
      </c>
      <c r="H873">
        <v>64</v>
      </c>
      <c r="I873" t="str">
        <f>VLOOKUP(B873,товар!$A$1:$C$433,2,FALSE)</f>
        <v>Сыр</v>
      </c>
      <c r="J873" s="22">
        <f t="shared" si="52"/>
        <v>262.63492063492066</v>
      </c>
      <c r="K873" s="24">
        <f t="shared" si="53"/>
        <v>0.59537048229179246</v>
      </c>
      <c r="L873" t="str">
        <f>VLOOKUP(B873,товар!$A$1:$C$433,3,FALSE)</f>
        <v>Карат</v>
      </c>
      <c r="M873" s="24">
        <f t="shared" si="54"/>
        <v>0.34582441113490381</v>
      </c>
      <c r="N873" s="29">
        <f t="shared" si="55"/>
        <v>311.33333333333331</v>
      </c>
      <c r="O873" s="32">
        <f>VLOOKUP(H873,клиенты!$A$2:$G$435,5,FALSE)</f>
        <v>44707</v>
      </c>
      <c r="P873">
        <f>Продажи[[#This Row],[дата создания чека]]-Продажи[[#This Row],[Дата регистрации клиента]]</f>
        <v>482</v>
      </c>
      <c r="Q873" t="str">
        <f>VLOOKUP(H873,Таблица3[],7,FALSE)</f>
        <v>Узбекистан</v>
      </c>
    </row>
    <row r="874" spans="1:17" x14ac:dyDescent="0.3">
      <c r="A874">
        <v>873</v>
      </c>
      <c r="B874">
        <v>424</v>
      </c>
      <c r="C874">
        <v>457</v>
      </c>
      <c r="D874">
        <v>1</v>
      </c>
      <c r="E874">
        <v>457</v>
      </c>
      <c r="F874" s="32">
        <v>45099</v>
      </c>
      <c r="G874" t="s">
        <v>18</v>
      </c>
      <c r="H874">
        <v>286</v>
      </c>
      <c r="I874" t="str">
        <f>VLOOKUP(B874,товар!$A$1:$C$433,2,FALSE)</f>
        <v>Печенье</v>
      </c>
      <c r="J874" s="22">
        <f t="shared" si="52"/>
        <v>283.468085106383</v>
      </c>
      <c r="K874" s="24">
        <f t="shared" si="53"/>
        <v>0.61217443518726999</v>
      </c>
      <c r="L874" t="str">
        <f>VLOOKUP(B874,товар!$A$1:$C$433,3,FALSE)</f>
        <v>КДВ</v>
      </c>
      <c r="M874" s="24">
        <f t="shared" si="54"/>
        <v>0.41452380952380952</v>
      </c>
      <c r="N874" s="29">
        <f t="shared" si="55"/>
        <v>323.07692307692309</v>
      </c>
      <c r="O874" s="32">
        <f>VLOOKUP(H874,клиенты!$A$2:$G$435,5,FALSE)</f>
        <v>44563</v>
      </c>
      <c r="P874">
        <f>Продажи[[#This Row],[дата создания чека]]-Продажи[[#This Row],[Дата регистрации клиента]]</f>
        <v>536</v>
      </c>
      <c r="Q874" t="str">
        <f>VLOOKUP(H874,Таблица3[],7,FALSE)</f>
        <v>Таджикистан</v>
      </c>
    </row>
    <row r="875" spans="1:17" x14ac:dyDescent="0.3">
      <c r="A875">
        <v>874</v>
      </c>
      <c r="B875">
        <v>439</v>
      </c>
      <c r="C875">
        <v>392</v>
      </c>
      <c r="D875">
        <v>2</v>
      </c>
      <c r="E875">
        <v>784</v>
      </c>
      <c r="F875" s="32">
        <v>45135</v>
      </c>
      <c r="G875" t="s">
        <v>15</v>
      </c>
      <c r="H875">
        <v>74</v>
      </c>
      <c r="I875" t="str">
        <f>VLOOKUP(B875,товар!$A$1:$C$433,2,FALSE)</f>
        <v>Сок</v>
      </c>
      <c r="J875" s="22">
        <f t="shared" si="52"/>
        <v>268.60344827586209</v>
      </c>
      <c r="K875" s="24">
        <f t="shared" si="53"/>
        <v>0.45940047499839509</v>
      </c>
      <c r="L875" t="str">
        <f>VLOOKUP(B875,товар!$A$1:$C$433,3,FALSE)</f>
        <v>Добрый</v>
      </c>
      <c r="M875" s="24">
        <f t="shared" si="54"/>
        <v>0.61437663796330955</v>
      </c>
      <c r="N875" s="29">
        <f t="shared" si="55"/>
        <v>242.81818181818181</v>
      </c>
      <c r="O875" s="32">
        <f>VLOOKUP(H875,клиенты!$A$2:$G$435,5,FALSE)</f>
        <v>44857</v>
      </c>
      <c r="P875">
        <f>Продажи[[#This Row],[дата создания чека]]-Продажи[[#This Row],[Дата регистрации клиента]]</f>
        <v>278</v>
      </c>
      <c r="Q875" t="str">
        <f>VLOOKUP(H875,Таблица3[],7,FALSE)</f>
        <v>Россия</v>
      </c>
    </row>
    <row r="876" spans="1:17" x14ac:dyDescent="0.3">
      <c r="A876">
        <v>875</v>
      </c>
      <c r="B876">
        <v>83</v>
      </c>
      <c r="C876">
        <v>282</v>
      </c>
      <c r="D876">
        <v>5</v>
      </c>
      <c r="E876">
        <v>1410</v>
      </c>
      <c r="F876" s="32">
        <v>44970</v>
      </c>
      <c r="G876" t="s">
        <v>12</v>
      </c>
      <c r="H876">
        <v>6</v>
      </c>
      <c r="I876" t="str">
        <f>VLOOKUP(B876,товар!$A$1:$C$433,2,FALSE)</f>
        <v>Сок</v>
      </c>
      <c r="J876" s="22">
        <f t="shared" si="52"/>
        <v>268.60344827586209</v>
      </c>
      <c r="K876" s="24">
        <f t="shared" si="53"/>
        <v>4.9874831503947448E-2</v>
      </c>
      <c r="L876" t="str">
        <f>VLOOKUP(B876,товар!$A$1:$C$433,3,FALSE)</f>
        <v>Сады Придонья</v>
      </c>
      <c r="M876" s="24">
        <f t="shared" si="54"/>
        <v>0.10944206008583679</v>
      </c>
      <c r="N876" s="29">
        <f t="shared" si="55"/>
        <v>254.18181818181819</v>
      </c>
      <c r="O876" s="32">
        <f>VLOOKUP(H876,клиенты!$A$2:$G$435,5,FALSE)</f>
        <v>44710</v>
      </c>
      <c r="P876">
        <f>Продажи[[#This Row],[дата создания чека]]-Продажи[[#This Row],[Дата регистрации клиента]]</f>
        <v>260</v>
      </c>
      <c r="Q876" t="str">
        <f>VLOOKUP(H876,Таблица3[],7,FALSE)</f>
        <v>Украина</v>
      </c>
    </row>
    <row r="877" spans="1:17" x14ac:dyDescent="0.3">
      <c r="A877">
        <v>876</v>
      </c>
      <c r="B877">
        <v>329</v>
      </c>
      <c r="C877">
        <v>265</v>
      </c>
      <c r="D877">
        <v>2</v>
      </c>
      <c r="E877">
        <v>530</v>
      </c>
      <c r="F877" s="32">
        <v>45413</v>
      </c>
      <c r="G877" t="s">
        <v>22</v>
      </c>
      <c r="H877">
        <v>258</v>
      </c>
      <c r="I877" t="str">
        <f>VLOOKUP(B877,товар!$A$1:$C$433,2,FALSE)</f>
        <v>Соль</v>
      </c>
      <c r="J877" s="22">
        <f t="shared" si="52"/>
        <v>264.8679245283019</v>
      </c>
      <c r="K877" s="24">
        <f t="shared" si="53"/>
        <v>4.9864653084474853E-4</v>
      </c>
      <c r="L877" t="str">
        <f>VLOOKUP(B877,товар!$A$1:$C$433,3,FALSE)</f>
        <v>Славянская</v>
      </c>
      <c r="M877" s="24">
        <f t="shared" si="54"/>
        <v>0.11853675694688715</v>
      </c>
      <c r="N877" s="29">
        <f t="shared" si="55"/>
        <v>236.91666666666666</v>
      </c>
      <c r="O877" s="32">
        <f>VLOOKUP(H877,клиенты!$A$2:$G$435,5,FALSE)</f>
        <v>44717</v>
      </c>
      <c r="P877">
        <f>Продажи[[#This Row],[дата создания чека]]-Продажи[[#This Row],[Дата регистрации клиента]]</f>
        <v>696</v>
      </c>
      <c r="Q877" t="str">
        <f>VLOOKUP(H877,Таблица3[],7,FALSE)</f>
        <v>Украина</v>
      </c>
    </row>
    <row r="878" spans="1:17" x14ac:dyDescent="0.3">
      <c r="A878">
        <v>877</v>
      </c>
      <c r="B878">
        <v>91</v>
      </c>
      <c r="C878">
        <v>146</v>
      </c>
      <c r="D878">
        <v>1</v>
      </c>
      <c r="E878">
        <v>146</v>
      </c>
      <c r="F878" s="32">
        <v>45022</v>
      </c>
      <c r="G878" t="s">
        <v>24</v>
      </c>
      <c r="H878">
        <v>138</v>
      </c>
      <c r="I878" t="str">
        <f>VLOOKUP(B878,товар!$A$1:$C$433,2,FALSE)</f>
        <v>Сыр</v>
      </c>
      <c r="J878" s="22">
        <f t="shared" si="52"/>
        <v>262.63492063492066</v>
      </c>
      <c r="K878" s="24">
        <f t="shared" si="53"/>
        <v>-0.44409524960715585</v>
      </c>
      <c r="L878" t="str">
        <f>VLOOKUP(B878,товар!$A$1:$C$433,3,FALSE)</f>
        <v>Сырная долина</v>
      </c>
      <c r="M878" s="24">
        <f t="shared" si="54"/>
        <v>-0.46125461254612543</v>
      </c>
      <c r="N878" s="29">
        <f t="shared" si="55"/>
        <v>271</v>
      </c>
      <c r="O878" s="32">
        <f>VLOOKUP(H878,клиенты!$A$2:$G$435,5,FALSE)</f>
        <v>44723</v>
      </c>
      <c r="P878">
        <f>Продажи[[#This Row],[дата создания чека]]-Продажи[[#This Row],[Дата регистрации клиента]]</f>
        <v>299</v>
      </c>
      <c r="Q878" t="str">
        <f>VLOOKUP(H878,Таблица3[],7,FALSE)</f>
        <v>Украина</v>
      </c>
    </row>
    <row r="879" spans="1:17" x14ac:dyDescent="0.3">
      <c r="A879">
        <v>878</v>
      </c>
      <c r="B879">
        <v>296</v>
      </c>
      <c r="C879">
        <v>58</v>
      </c>
      <c r="D879">
        <v>2</v>
      </c>
      <c r="E879">
        <v>116</v>
      </c>
      <c r="F879" s="32">
        <v>45401</v>
      </c>
      <c r="G879" t="s">
        <v>8</v>
      </c>
      <c r="H879">
        <v>419</v>
      </c>
      <c r="I879" t="str">
        <f>VLOOKUP(B879,товар!$A$1:$C$433,2,FALSE)</f>
        <v>Крупа</v>
      </c>
      <c r="J879" s="22">
        <f t="shared" si="52"/>
        <v>255.11627906976744</v>
      </c>
      <c r="K879" s="24">
        <f t="shared" si="53"/>
        <v>-0.7726526891522334</v>
      </c>
      <c r="L879" t="str">
        <f>VLOOKUP(B879,товар!$A$1:$C$433,3,FALSE)</f>
        <v>Мистраль</v>
      </c>
      <c r="M879" s="24">
        <f t="shared" si="54"/>
        <v>-0.76828518746158569</v>
      </c>
      <c r="N879" s="29">
        <f t="shared" si="55"/>
        <v>250.30769230769232</v>
      </c>
      <c r="O879" s="32">
        <f>VLOOKUP(H879,клиенты!$A$2:$G$435,5,FALSE)</f>
        <v>44869</v>
      </c>
      <c r="P879">
        <f>Продажи[[#This Row],[дата создания чека]]-Продажи[[#This Row],[Дата регистрации клиента]]</f>
        <v>532</v>
      </c>
      <c r="Q879" t="str">
        <f>VLOOKUP(H879,Таблица3[],7,FALSE)</f>
        <v>Таджикистан</v>
      </c>
    </row>
    <row r="880" spans="1:17" x14ac:dyDescent="0.3">
      <c r="A880">
        <v>879</v>
      </c>
      <c r="B880">
        <v>437</v>
      </c>
      <c r="C880">
        <v>379</v>
      </c>
      <c r="D880">
        <v>2</v>
      </c>
      <c r="E880">
        <v>758</v>
      </c>
      <c r="F880" s="32">
        <v>45381</v>
      </c>
      <c r="G880" t="s">
        <v>25</v>
      </c>
      <c r="H880">
        <v>148</v>
      </c>
      <c r="I880" t="str">
        <f>VLOOKUP(B880,товар!$A$1:$C$433,2,FALSE)</f>
        <v>Чай</v>
      </c>
      <c r="J880" s="22">
        <f t="shared" si="52"/>
        <v>271.18181818181819</v>
      </c>
      <c r="K880" s="24">
        <f t="shared" si="53"/>
        <v>0.39758632249413339</v>
      </c>
      <c r="L880" t="str">
        <f>VLOOKUP(B880,товар!$A$1:$C$433,3,FALSE)</f>
        <v>Тесс</v>
      </c>
      <c r="M880" s="24">
        <f t="shared" si="54"/>
        <v>0.34516415261756883</v>
      </c>
      <c r="N880" s="29">
        <f t="shared" si="55"/>
        <v>281.75</v>
      </c>
      <c r="O880" s="32">
        <f>VLOOKUP(H880,клиенты!$A$2:$G$435,5,FALSE)</f>
        <v>44700</v>
      </c>
      <c r="P880">
        <f>Продажи[[#This Row],[дата создания чека]]-Продажи[[#This Row],[Дата регистрации клиента]]</f>
        <v>681</v>
      </c>
      <c r="Q880" t="str">
        <f>VLOOKUP(H880,Таблица3[],7,FALSE)</f>
        <v>Россия</v>
      </c>
    </row>
    <row r="881" spans="1:17" x14ac:dyDescent="0.3">
      <c r="A881">
        <v>880</v>
      </c>
      <c r="B881">
        <v>193</v>
      </c>
      <c r="C881">
        <v>201</v>
      </c>
      <c r="D881">
        <v>4</v>
      </c>
      <c r="E881">
        <v>804</v>
      </c>
      <c r="F881" s="32">
        <v>45203</v>
      </c>
      <c r="G881" t="s">
        <v>14</v>
      </c>
      <c r="H881">
        <v>105</v>
      </c>
      <c r="I881" t="str">
        <f>VLOOKUP(B881,товар!$A$1:$C$433,2,FALSE)</f>
        <v>Соль</v>
      </c>
      <c r="J881" s="22">
        <f t="shared" si="52"/>
        <v>264.8679245283019</v>
      </c>
      <c r="K881" s="24">
        <f t="shared" si="53"/>
        <v>-0.24113121527283088</v>
      </c>
      <c r="L881" t="str">
        <f>VLOOKUP(B881,товар!$A$1:$C$433,3,FALSE)</f>
        <v>Салта</v>
      </c>
      <c r="M881" s="24">
        <f t="shared" si="54"/>
        <v>-0.2656192911947387</v>
      </c>
      <c r="N881" s="29">
        <f t="shared" si="55"/>
        <v>273.7</v>
      </c>
      <c r="O881" s="32">
        <f>VLOOKUP(H881,клиенты!$A$2:$G$435,5,FALSE)</f>
        <v>44918</v>
      </c>
      <c r="P881">
        <f>Продажи[[#This Row],[дата создания чека]]-Продажи[[#This Row],[Дата регистрации клиента]]</f>
        <v>285</v>
      </c>
      <c r="Q881" t="str">
        <f>VLOOKUP(H881,Таблица3[],7,FALSE)</f>
        <v>Узбекистан</v>
      </c>
    </row>
    <row r="882" spans="1:17" x14ac:dyDescent="0.3">
      <c r="A882">
        <v>881</v>
      </c>
      <c r="B882">
        <v>144</v>
      </c>
      <c r="C882">
        <v>337</v>
      </c>
      <c r="D882">
        <v>3</v>
      </c>
      <c r="E882">
        <v>1011</v>
      </c>
      <c r="F882" s="32">
        <v>45039</v>
      </c>
      <c r="G882" t="s">
        <v>24</v>
      </c>
      <c r="H882">
        <v>365</v>
      </c>
      <c r="I882" t="str">
        <f>VLOOKUP(B882,товар!$A$1:$C$433,2,FALSE)</f>
        <v>Макароны</v>
      </c>
      <c r="J882" s="22">
        <f t="shared" si="52"/>
        <v>265.47674418604652</v>
      </c>
      <c r="K882" s="24">
        <f t="shared" si="53"/>
        <v>0.2694143927116639</v>
      </c>
      <c r="L882" t="str">
        <f>VLOOKUP(B882,товар!$A$1:$C$433,3,FALSE)</f>
        <v>Роллтон</v>
      </c>
      <c r="M882" s="24">
        <f t="shared" si="54"/>
        <v>0.43066037735849072</v>
      </c>
      <c r="N882" s="29">
        <f t="shared" si="55"/>
        <v>235.55555555555554</v>
      </c>
      <c r="O882" s="32">
        <f>VLOOKUP(H882,клиенты!$A$2:$G$435,5,FALSE)</f>
        <v>44841</v>
      </c>
      <c r="P882">
        <f>Продажи[[#This Row],[дата создания чека]]-Продажи[[#This Row],[Дата регистрации клиента]]</f>
        <v>198</v>
      </c>
      <c r="Q882" t="str">
        <f>VLOOKUP(H882,Таблица3[],7,FALSE)</f>
        <v>Беларусь</v>
      </c>
    </row>
    <row r="883" spans="1:17" x14ac:dyDescent="0.3">
      <c r="A883">
        <v>882</v>
      </c>
      <c r="B883">
        <v>27</v>
      </c>
      <c r="C883">
        <v>160</v>
      </c>
      <c r="D883">
        <v>1</v>
      </c>
      <c r="E883">
        <v>160</v>
      </c>
      <c r="F883" s="32">
        <v>45276</v>
      </c>
      <c r="G883" t="s">
        <v>16</v>
      </c>
      <c r="H883">
        <v>416</v>
      </c>
      <c r="I883" t="str">
        <f>VLOOKUP(B883,товар!$A$1:$C$433,2,FALSE)</f>
        <v>Макароны</v>
      </c>
      <c r="J883" s="22">
        <f t="shared" si="52"/>
        <v>265.47674418604652</v>
      </c>
      <c r="K883" s="24">
        <f t="shared" si="53"/>
        <v>-0.39731067408348297</v>
      </c>
      <c r="L883" t="str">
        <f>VLOOKUP(B883,товар!$A$1:$C$433,3,FALSE)</f>
        <v>Паста Зара</v>
      </c>
      <c r="M883" s="24">
        <f t="shared" si="54"/>
        <v>-0.42170557780599782</v>
      </c>
      <c r="N883" s="29">
        <f t="shared" si="55"/>
        <v>276.67567567567568</v>
      </c>
      <c r="O883" s="32">
        <f>VLOOKUP(H883,клиенты!$A$2:$G$435,5,FALSE)</f>
        <v>44703</v>
      </c>
      <c r="P883">
        <f>Продажи[[#This Row],[дата создания чека]]-Продажи[[#This Row],[Дата регистрации клиента]]</f>
        <v>573</v>
      </c>
      <c r="Q883" t="str">
        <f>VLOOKUP(H883,Таблица3[],7,FALSE)</f>
        <v>Таджикистан</v>
      </c>
    </row>
    <row r="884" spans="1:17" x14ac:dyDescent="0.3">
      <c r="A884">
        <v>883</v>
      </c>
      <c r="B884">
        <v>375</v>
      </c>
      <c r="C884">
        <v>197</v>
      </c>
      <c r="D884">
        <v>5</v>
      </c>
      <c r="E884">
        <v>985</v>
      </c>
      <c r="F884" s="32">
        <v>45368</v>
      </c>
      <c r="G884" t="s">
        <v>15</v>
      </c>
      <c r="H884">
        <v>315</v>
      </c>
      <c r="I884" t="str">
        <f>VLOOKUP(B884,товар!$A$1:$C$433,2,FALSE)</f>
        <v>Макароны</v>
      </c>
      <c r="J884" s="22">
        <f t="shared" si="52"/>
        <v>265.47674418604652</v>
      </c>
      <c r="K884" s="24">
        <f t="shared" si="53"/>
        <v>-0.25793876746528843</v>
      </c>
      <c r="L884" t="str">
        <f>VLOOKUP(B884,товар!$A$1:$C$433,3,FALSE)</f>
        <v>Борилла</v>
      </c>
      <c r="M884" s="24">
        <f t="shared" si="54"/>
        <v>-0.16622883829538826</v>
      </c>
      <c r="N884" s="29">
        <f t="shared" si="55"/>
        <v>236.27586206896552</v>
      </c>
      <c r="O884" s="32">
        <f>VLOOKUP(H884,клиенты!$A$2:$G$435,5,FALSE)</f>
        <v>44747</v>
      </c>
      <c r="P884">
        <f>Продажи[[#This Row],[дата создания чека]]-Продажи[[#This Row],[Дата регистрации клиента]]</f>
        <v>621</v>
      </c>
      <c r="Q884" t="str">
        <f>VLOOKUP(H884,Таблица3[],7,FALSE)</f>
        <v>Узбекистан</v>
      </c>
    </row>
    <row r="885" spans="1:17" x14ac:dyDescent="0.3">
      <c r="A885">
        <v>884</v>
      </c>
      <c r="B885">
        <v>453</v>
      </c>
      <c r="C885">
        <v>437</v>
      </c>
      <c r="D885">
        <v>2</v>
      </c>
      <c r="E885">
        <v>874</v>
      </c>
      <c r="F885" s="32">
        <v>45394</v>
      </c>
      <c r="G885" t="s">
        <v>25</v>
      </c>
      <c r="H885">
        <v>81</v>
      </c>
      <c r="I885" t="str">
        <f>VLOOKUP(B885,товар!$A$1:$C$433,2,FALSE)</f>
        <v>Макароны</v>
      </c>
      <c r="J885" s="22">
        <f t="shared" si="52"/>
        <v>265.47674418604652</v>
      </c>
      <c r="K885" s="24">
        <f t="shared" si="53"/>
        <v>0.64609522140948705</v>
      </c>
      <c r="L885" t="str">
        <f>VLOOKUP(B885,товар!$A$1:$C$433,3,FALSE)</f>
        <v>Макфа</v>
      </c>
      <c r="M885" s="24">
        <f t="shared" si="54"/>
        <v>0.32716731087796802</v>
      </c>
      <c r="N885" s="29">
        <f t="shared" si="55"/>
        <v>329.27272727272725</v>
      </c>
      <c r="O885" s="32">
        <f>VLOOKUP(H885,клиенты!$A$2:$G$435,5,FALSE)</f>
        <v>44825</v>
      </c>
      <c r="P885">
        <f>Продажи[[#This Row],[дата создания чека]]-Продажи[[#This Row],[Дата регистрации клиента]]</f>
        <v>569</v>
      </c>
      <c r="Q885" t="str">
        <f>VLOOKUP(H885,Таблица3[],7,FALSE)</f>
        <v>Россия</v>
      </c>
    </row>
    <row r="886" spans="1:17" x14ac:dyDescent="0.3">
      <c r="A886">
        <v>885</v>
      </c>
      <c r="B886">
        <v>388</v>
      </c>
      <c r="C886">
        <v>205</v>
      </c>
      <c r="D886">
        <v>2</v>
      </c>
      <c r="E886">
        <v>410</v>
      </c>
      <c r="F886" s="32">
        <v>45404</v>
      </c>
      <c r="G886" t="s">
        <v>21</v>
      </c>
      <c r="H886">
        <v>262</v>
      </c>
      <c r="I886" t="str">
        <f>VLOOKUP(B886,товар!$A$1:$C$433,2,FALSE)</f>
        <v>Рыба</v>
      </c>
      <c r="J886" s="22">
        <f t="shared" si="52"/>
        <v>258.5128205128205</v>
      </c>
      <c r="K886" s="24">
        <f t="shared" si="53"/>
        <v>-0.20700257885340201</v>
      </c>
      <c r="L886" t="str">
        <f>VLOOKUP(B886,товар!$A$1:$C$433,3,FALSE)</f>
        <v>Меридиан</v>
      </c>
      <c r="M886" s="24">
        <f t="shared" si="54"/>
        <v>-0.21349582487023244</v>
      </c>
      <c r="N886" s="29">
        <f t="shared" si="55"/>
        <v>260.64705882352939</v>
      </c>
      <c r="O886" s="32">
        <f>VLOOKUP(H886,клиенты!$A$2:$G$435,5,FALSE)</f>
        <v>44778</v>
      </c>
      <c r="P886">
        <f>Продажи[[#This Row],[дата создания чека]]-Продажи[[#This Row],[Дата регистрации клиента]]</f>
        <v>626</v>
      </c>
      <c r="Q886" t="str">
        <f>VLOOKUP(H886,Таблица3[],7,FALSE)</f>
        <v>Таджикистан</v>
      </c>
    </row>
    <row r="887" spans="1:17" x14ac:dyDescent="0.3">
      <c r="A887">
        <v>886</v>
      </c>
      <c r="B887">
        <v>312</v>
      </c>
      <c r="C887">
        <v>476</v>
      </c>
      <c r="D887">
        <v>2</v>
      </c>
      <c r="E887">
        <v>952</v>
      </c>
      <c r="F887" s="32">
        <v>45113</v>
      </c>
      <c r="G887" t="s">
        <v>24</v>
      </c>
      <c r="H887">
        <v>239</v>
      </c>
      <c r="I887" t="str">
        <f>VLOOKUP(B887,товар!$A$1:$C$433,2,FALSE)</f>
        <v>Хлеб</v>
      </c>
      <c r="J887" s="22">
        <f t="shared" si="52"/>
        <v>300.31818181818181</v>
      </c>
      <c r="K887" s="24">
        <f t="shared" si="53"/>
        <v>0.58498562131073117</v>
      </c>
      <c r="L887" t="str">
        <f>VLOOKUP(B887,товар!$A$1:$C$433,3,FALSE)</f>
        <v>Каравай</v>
      </c>
      <c r="M887" s="24">
        <f t="shared" si="54"/>
        <v>0.43734272773024663</v>
      </c>
      <c r="N887" s="29">
        <f t="shared" si="55"/>
        <v>331.16666666666669</v>
      </c>
      <c r="O887" s="32">
        <f>VLOOKUP(H887,клиенты!$A$2:$G$435,5,FALSE)</f>
        <v>44767</v>
      </c>
      <c r="P887">
        <f>Продажи[[#This Row],[дата создания чека]]-Продажи[[#This Row],[Дата регистрации клиента]]</f>
        <v>346</v>
      </c>
      <c r="Q887" t="str">
        <f>VLOOKUP(H887,Таблица3[],7,FALSE)</f>
        <v>Узбекистан</v>
      </c>
    </row>
    <row r="888" spans="1:17" x14ac:dyDescent="0.3">
      <c r="A888">
        <v>887</v>
      </c>
      <c r="B888">
        <v>486</v>
      </c>
      <c r="C888">
        <v>230</v>
      </c>
      <c r="D888">
        <v>2</v>
      </c>
      <c r="E888">
        <v>460</v>
      </c>
      <c r="F888" s="32">
        <v>45207</v>
      </c>
      <c r="G888" t="s">
        <v>9</v>
      </c>
      <c r="H888">
        <v>358</v>
      </c>
      <c r="I888" t="str">
        <f>VLOOKUP(B888,товар!$A$1:$C$433,2,FALSE)</f>
        <v>Соль</v>
      </c>
      <c r="J888" s="22">
        <f t="shared" si="52"/>
        <v>264.8679245283019</v>
      </c>
      <c r="K888" s="24">
        <f t="shared" si="53"/>
        <v>-0.13164268414304037</v>
      </c>
      <c r="L888" t="str">
        <f>VLOOKUP(B888,товар!$A$1:$C$433,3,FALSE)</f>
        <v>Илецкая</v>
      </c>
      <c r="M888" s="24">
        <f t="shared" si="54"/>
        <v>-3.4289713086074092E-2</v>
      </c>
      <c r="N888" s="29">
        <f t="shared" si="55"/>
        <v>238.16666666666666</v>
      </c>
      <c r="O888" s="32">
        <f>VLOOKUP(H888,клиенты!$A$2:$G$435,5,FALSE)</f>
        <v>44771</v>
      </c>
      <c r="P888">
        <f>Продажи[[#This Row],[дата создания чека]]-Продажи[[#This Row],[Дата регистрации клиента]]</f>
        <v>436</v>
      </c>
      <c r="Q888" t="str">
        <f>VLOOKUP(H888,Таблица3[],7,FALSE)</f>
        <v>Украина</v>
      </c>
    </row>
    <row r="889" spans="1:17" x14ac:dyDescent="0.3">
      <c r="A889">
        <v>888</v>
      </c>
      <c r="B889">
        <v>295</v>
      </c>
      <c r="C889">
        <v>219</v>
      </c>
      <c r="D889">
        <v>5</v>
      </c>
      <c r="E889">
        <v>1095</v>
      </c>
      <c r="F889" s="32">
        <v>45165</v>
      </c>
      <c r="G889" t="s">
        <v>19</v>
      </c>
      <c r="H889">
        <v>331</v>
      </c>
      <c r="I889" t="str">
        <f>VLOOKUP(B889,товар!$A$1:$C$433,2,FALSE)</f>
        <v>Печенье</v>
      </c>
      <c r="J889" s="22">
        <f t="shared" si="52"/>
        <v>283.468085106383</v>
      </c>
      <c r="K889" s="24">
        <f t="shared" si="53"/>
        <v>-0.22742625534789462</v>
      </c>
      <c r="L889" t="str">
        <f>VLOOKUP(B889,товар!$A$1:$C$433,3,FALSE)</f>
        <v>Белогорье</v>
      </c>
      <c r="M889" s="24">
        <f t="shared" si="54"/>
        <v>-0.12224448897795592</v>
      </c>
      <c r="N889" s="29">
        <f t="shared" si="55"/>
        <v>249.5</v>
      </c>
      <c r="O889" s="32">
        <f>VLOOKUP(H889,клиенты!$A$2:$G$435,5,FALSE)</f>
        <v>44813</v>
      </c>
      <c r="P889">
        <f>Продажи[[#This Row],[дата создания чека]]-Продажи[[#This Row],[Дата регистрации клиента]]</f>
        <v>352</v>
      </c>
      <c r="Q889" t="str">
        <f>VLOOKUP(H889,Таблица3[],7,FALSE)</f>
        <v>Узбекистан</v>
      </c>
    </row>
    <row r="890" spans="1:17" x14ac:dyDescent="0.3">
      <c r="A890">
        <v>889</v>
      </c>
      <c r="B890">
        <v>1</v>
      </c>
      <c r="C890">
        <v>206</v>
      </c>
      <c r="D890">
        <v>3</v>
      </c>
      <c r="E890">
        <v>618</v>
      </c>
      <c r="F890" s="32">
        <v>44986</v>
      </c>
      <c r="G890" t="s">
        <v>13</v>
      </c>
      <c r="H890">
        <v>31</v>
      </c>
      <c r="I890" t="str">
        <f>VLOOKUP(B890,товар!$A$1:$C$433,2,FALSE)</f>
        <v>Крупа</v>
      </c>
      <c r="J890" s="22">
        <f t="shared" si="52"/>
        <v>255.11627906976744</v>
      </c>
      <c r="K890" s="24">
        <f t="shared" si="53"/>
        <v>-0.1925250683682771</v>
      </c>
      <c r="L890" t="str">
        <f>VLOOKUP(B890,товар!$A$1:$C$433,3,FALSE)</f>
        <v>Ярмарка</v>
      </c>
      <c r="M890" s="24">
        <f t="shared" si="54"/>
        <v>-0.18283447529751173</v>
      </c>
      <c r="N890" s="29">
        <f t="shared" si="55"/>
        <v>252.09090909090909</v>
      </c>
      <c r="O890" s="32">
        <f>VLOOKUP(H890,клиенты!$A$2:$G$435,5,FALSE)</f>
        <v>44580</v>
      </c>
      <c r="P890">
        <f>Продажи[[#This Row],[дата создания чека]]-Продажи[[#This Row],[Дата регистрации клиента]]</f>
        <v>406</v>
      </c>
      <c r="Q890" t="str">
        <f>VLOOKUP(H890,Таблица3[],7,FALSE)</f>
        <v>Украина</v>
      </c>
    </row>
    <row r="891" spans="1:17" x14ac:dyDescent="0.3">
      <c r="A891">
        <v>890</v>
      </c>
      <c r="B891">
        <v>347</v>
      </c>
      <c r="C891">
        <v>343</v>
      </c>
      <c r="D891">
        <v>3</v>
      </c>
      <c r="E891">
        <v>1029</v>
      </c>
      <c r="F891" s="32">
        <v>44937</v>
      </c>
      <c r="G891" t="s">
        <v>10</v>
      </c>
      <c r="H891">
        <v>74</v>
      </c>
      <c r="I891" t="str">
        <f>VLOOKUP(B891,товар!$A$1:$C$433,2,FALSE)</f>
        <v>Макароны</v>
      </c>
      <c r="J891" s="22">
        <f t="shared" si="52"/>
        <v>265.47674418604652</v>
      </c>
      <c r="K891" s="24">
        <f t="shared" si="53"/>
        <v>0.29201524243353338</v>
      </c>
      <c r="L891" t="str">
        <f>VLOOKUP(B891,товар!$A$1:$C$433,3,FALSE)</f>
        <v>Паста Зара</v>
      </c>
      <c r="M891" s="24">
        <f t="shared" si="54"/>
        <v>0.239718667578392</v>
      </c>
      <c r="N891" s="29">
        <f t="shared" si="55"/>
        <v>276.67567567567568</v>
      </c>
      <c r="O891" s="32">
        <f>VLOOKUP(H891,клиенты!$A$2:$G$435,5,FALSE)</f>
        <v>44857</v>
      </c>
      <c r="P891">
        <f>Продажи[[#This Row],[дата создания чека]]-Продажи[[#This Row],[Дата регистрации клиента]]</f>
        <v>80</v>
      </c>
      <c r="Q891" t="str">
        <f>VLOOKUP(H891,Таблица3[],7,FALSE)</f>
        <v>Россия</v>
      </c>
    </row>
    <row r="892" spans="1:17" x14ac:dyDescent="0.3">
      <c r="A892">
        <v>891</v>
      </c>
      <c r="B892">
        <v>308</v>
      </c>
      <c r="C892">
        <v>147</v>
      </c>
      <c r="D892">
        <v>2</v>
      </c>
      <c r="E892">
        <v>294</v>
      </c>
      <c r="F892" s="32">
        <v>45261</v>
      </c>
      <c r="G892" t="s">
        <v>19</v>
      </c>
      <c r="H892">
        <v>80</v>
      </c>
      <c r="I892" t="str">
        <f>VLOOKUP(B892,товар!$A$1:$C$433,2,FALSE)</f>
        <v>Конфеты</v>
      </c>
      <c r="J892" s="22">
        <f t="shared" si="52"/>
        <v>267.85483870967744</v>
      </c>
      <c r="K892" s="24">
        <f t="shared" si="53"/>
        <v>-0.45119527909917512</v>
      </c>
      <c r="L892" t="str">
        <f>VLOOKUP(B892,товар!$A$1:$C$433,3,FALSE)</f>
        <v>Бабаевский</v>
      </c>
      <c r="M892" s="24">
        <f t="shared" si="54"/>
        <v>-0.41260914607074151</v>
      </c>
      <c r="N892" s="29">
        <f t="shared" si="55"/>
        <v>250.25925925925927</v>
      </c>
      <c r="O892" s="32">
        <f>VLOOKUP(H892,клиенты!$A$2:$G$435,5,FALSE)</f>
        <v>44623</v>
      </c>
      <c r="P892">
        <f>Продажи[[#This Row],[дата создания чека]]-Продажи[[#This Row],[Дата регистрации клиента]]</f>
        <v>638</v>
      </c>
      <c r="Q892" t="str">
        <f>VLOOKUP(H892,Таблица3[],7,FALSE)</f>
        <v>Беларусь</v>
      </c>
    </row>
    <row r="893" spans="1:17" x14ac:dyDescent="0.3">
      <c r="A893">
        <v>892</v>
      </c>
      <c r="B893">
        <v>52</v>
      </c>
      <c r="C893">
        <v>423</v>
      </c>
      <c r="D893">
        <v>3</v>
      </c>
      <c r="E893">
        <v>1269</v>
      </c>
      <c r="F893" s="32">
        <v>45378</v>
      </c>
      <c r="G893" t="s">
        <v>14</v>
      </c>
      <c r="H893">
        <v>496</v>
      </c>
      <c r="I893" t="str">
        <f>VLOOKUP(B893,товар!$A$1:$C$433,2,FALSE)</f>
        <v>Соль</v>
      </c>
      <c r="J893" s="22">
        <f t="shared" si="52"/>
        <v>264.8679245283019</v>
      </c>
      <c r="K893" s="24">
        <f t="shared" si="53"/>
        <v>0.59702236785866925</v>
      </c>
      <c r="L893" t="str">
        <f>VLOOKUP(B893,товар!$A$1:$C$433,3,FALSE)</f>
        <v>Илецкая</v>
      </c>
      <c r="M893" s="24">
        <f t="shared" si="54"/>
        <v>0.77606717984604634</v>
      </c>
      <c r="N893" s="29">
        <f t="shared" si="55"/>
        <v>238.16666666666666</v>
      </c>
      <c r="O893" s="32">
        <f>VLOOKUP(H893,клиенты!$A$2:$G$435,5,FALSE)</f>
        <v>44867</v>
      </c>
      <c r="P893">
        <f>Продажи[[#This Row],[дата создания чека]]-Продажи[[#This Row],[Дата регистрации клиента]]</f>
        <v>511</v>
      </c>
      <c r="Q893" t="str">
        <f>VLOOKUP(H893,Таблица3[],7,FALSE)</f>
        <v>Украина</v>
      </c>
    </row>
    <row r="894" spans="1:17" x14ac:dyDescent="0.3">
      <c r="A894">
        <v>893</v>
      </c>
      <c r="B894">
        <v>75</v>
      </c>
      <c r="C894">
        <v>494</v>
      </c>
      <c r="D894">
        <v>4</v>
      </c>
      <c r="E894">
        <v>1976</v>
      </c>
      <c r="F894" s="32">
        <v>45030</v>
      </c>
      <c r="G894" t="s">
        <v>11</v>
      </c>
      <c r="H894">
        <v>477</v>
      </c>
      <c r="I894" t="str">
        <f>VLOOKUP(B894,товар!$A$1:$C$433,2,FALSE)</f>
        <v>Печенье</v>
      </c>
      <c r="J894" s="22">
        <f t="shared" si="52"/>
        <v>283.468085106383</v>
      </c>
      <c r="K894" s="24">
        <f t="shared" si="53"/>
        <v>0.7427005929595436</v>
      </c>
      <c r="L894" t="str">
        <f>VLOOKUP(B894,товар!$A$1:$C$433,3,FALSE)</f>
        <v>Белогорье</v>
      </c>
      <c r="M894" s="24">
        <f t="shared" si="54"/>
        <v>0.97995991983967934</v>
      </c>
      <c r="N894" s="29">
        <f t="shared" si="55"/>
        <v>249.5</v>
      </c>
      <c r="O894" s="32">
        <f>VLOOKUP(H894,клиенты!$A$2:$G$435,5,FALSE)</f>
        <v>44738</v>
      </c>
      <c r="P894">
        <f>Продажи[[#This Row],[дата создания чека]]-Продажи[[#This Row],[Дата регистрации клиента]]</f>
        <v>292</v>
      </c>
      <c r="Q894" t="str">
        <f>VLOOKUP(H894,Таблица3[],7,FALSE)</f>
        <v>Узбекистан</v>
      </c>
    </row>
    <row r="895" spans="1:17" x14ac:dyDescent="0.3">
      <c r="A895">
        <v>894</v>
      </c>
      <c r="B895">
        <v>148</v>
      </c>
      <c r="C895">
        <v>270</v>
      </c>
      <c r="D895">
        <v>2</v>
      </c>
      <c r="E895">
        <v>540</v>
      </c>
      <c r="F895" s="32">
        <v>45206</v>
      </c>
      <c r="G895" t="s">
        <v>13</v>
      </c>
      <c r="H895">
        <v>196</v>
      </c>
      <c r="I895" t="str">
        <f>VLOOKUP(B895,товар!$A$1:$C$433,2,FALSE)</f>
        <v>Сок</v>
      </c>
      <c r="J895" s="22">
        <f t="shared" si="52"/>
        <v>268.60344827586209</v>
      </c>
      <c r="K895" s="24">
        <f t="shared" si="53"/>
        <v>5.199306759098743E-3</v>
      </c>
      <c r="L895" t="str">
        <f>VLOOKUP(B895,товар!$A$1:$C$433,3,FALSE)</f>
        <v>Фруктовый сад</v>
      </c>
      <c r="M895" s="24">
        <f t="shared" si="54"/>
        <v>-4.2447079685248856E-2</v>
      </c>
      <c r="N895" s="29">
        <f t="shared" si="55"/>
        <v>281.96875</v>
      </c>
      <c r="O895" s="32">
        <f>VLOOKUP(H895,клиенты!$A$2:$G$435,5,FALSE)</f>
        <v>44835</v>
      </c>
      <c r="P895">
        <f>Продажи[[#This Row],[дата создания чека]]-Продажи[[#This Row],[Дата регистрации клиента]]</f>
        <v>371</v>
      </c>
      <c r="Q895" t="str">
        <f>VLOOKUP(H895,Таблица3[],7,FALSE)</f>
        <v>Россия</v>
      </c>
    </row>
    <row r="896" spans="1:17" x14ac:dyDescent="0.3">
      <c r="A896">
        <v>895</v>
      </c>
      <c r="B896">
        <v>481</v>
      </c>
      <c r="C896">
        <v>470</v>
      </c>
      <c r="D896">
        <v>2</v>
      </c>
      <c r="E896">
        <v>940</v>
      </c>
      <c r="F896" s="32">
        <v>45101</v>
      </c>
      <c r="G896" t="s">
        <v>9</v>
      </c>
      <c r="H896">
        <v>400</v>
      </c>
      <c r="I896" t="str">
        <f>VLOOKUP(B896,товар!$A$1:$C$433,2,FALSE)</f>
        <v>Чипсы</v>
      </c>
      <c r="J896" s="22">
        <f t="shared" si="52"/>
        <v>273.72549019607845</v>
      </c>
      <c r="K896" s="24">
        <f t="shared" si="53"/>
        <v>0.71704871060171915</v>
      </c>
      <c r="L896" t="str">
        <f>VLOOKUP(B896,товар!$A$1:$C$433,3,FALSE)</f>
        <v>Pringles</v>
      </c>
      <c r="M896" s="24">
        <f t="shared" si="54"/>
        <v>0.67714528462192014</v>
      </c>
      <c r="N896" s="29">
        <f t="shared" si="55"/>
        <v>280.23809523809524</v>
      </c>
      <c r="O896" s="32">
        <f>VLOOKUP(H896,клиенты!$A$2:$G$435,5,FALSE)</f>
        <v>44765</v>
      </c>
      <c r="P896">
        <f>Продажи[[#This Row],[дата создания чека]]-Продажи[[#This Row],[Дата регистрации клиента]]</f>
        <v>336</v>
      </c>
      <c r="Q896" t="str">
        <f>VLOOKUP(H896,Таблица3[],7,FALSE)</f>
        <v>Беларусь</v>
      </c>
    </row>
    <row r="897" spans="1:17" x14ac:dyDescent="0.3">
      <c r="A897">
        <v>896</v>
      </c>
      <c r="B897">
        <v>194</v>
      </c>
      <c r="C897">
        <v>278</v>
      </c>
      <c r="D897">
        <v>4</v>
      </c>
      <c r="E897">
        <v>1112</v>
      </c>
      <c r="F897" s="32">
        <v>45286</v>
      </c>
      <c r="G897" t="s">
        <v>17</v>
      </c>
      <c r="H897">
        <v>271</v>
      </c>
      <c r="I897" t="str">
        <f>VLOOKUP(B897,товар!$A$1:$C$433,2,FALSE)</f>
        <v>Соль</v>
      </c>
      <c r="J897" s="22">
        <f t="shared" si="52"/>
        <v>264.8679245283019</v>
      </c>
      <c r="K897" s="24">
        <f t="shared" si="53"/>
        <v>4.9579712209716353E-2</v>
      </c>
      <c r="L897" t="str">
        <f>VLOOKUP(B897,товар!$A$1:$C$433,3,FALSE)</f>
        <v>Салта</v>
      </c>
      <c r="M897" s="24">
        <f t="shared" si="54"/>
        <v>1.5710632078918652E-2</v>
      </c>
      <c r="N897" s="29">
        <f t="shared" si="55"/>
        <v>273.7</v>
      </c>
      <c r="O897" s="32">
        <f>VLOOKUP(H897,клиенты!$A$2:$G$435,5,FALSE)</f>
        <v>44892</v>
      </c>
      <c r="P897">
        <f>Продажи[[#This Row],[дата создания чека]]-Продажи[[#This Row],[Дата регистрации клиента]]</f>
        <v>394</v>
      </c>
      <c r="Q897" t="str">
        <f>VLOOKUP(H897,Таблица3[],7,FALSE)</f>
        <v>Беларусь</v>
      </c>
    </row>
    <row r="898" spans="1:17" x14ac:dyDescent="0.3">
      <c r="A898">
        <v>897</v>
      </c>
      <c r="B898">
        <v>422</v>
      </c>
      <c r="C898">
        <v>244</v>
      </c>
      <c r="D898">
        <v>3</v>
      </c>
      <c r="E898">
        <v>732</v>
      </c>
      <c r="F898" s="32">
        <v>45370</v>
      </c>
      <c r="G898" t="s">
        <v>13</v>
      </c>
      <c r="H898">
        <v>265</v>
      </c>
      <c r="I898" t="str">
        <f>VLOOKUP(B898,товар!$A$1:$C$433,2,FALSE)</f>
        <v>Кофе</v>
      </c>
      <c r="J898" s="22">
        <f t="shared" ref="J898:J961" si="56">AVERAGEIF($I$2:$I$1001,I898,$C$2:$C$1001)</f>
        <v>249.02380952380952</v>
      </c>
      <c r="K898" s="24">
        <f t="shared" ref="K898:K961" si="57">C898/J898-1</f>
        <v>-2.0174012811932318E-2</v>
      </c>
      <c r="L898" t="str">
        <f>VLOOKUP(B898,товар!$A$1:$C$433,3,FALSE)</f>
        <v>Nescafe</v>
      </c>
      <c r="M898" s="24">
        <f t="shared" ref="M898:M961" si="58">C898/N898-1</f>
        <v>-5.0214091086025592E-2</v>
      </c>
      <c r="N898" s="29">
        <f t="shared" ref="N898:N961" si="59">AVERAGEIFS($C$2:$C$1001,$I$2:$I$1001,I898,$L$2:$L$1001,L898)</f>
        <v>256.89999999999998</v>
      </c>
      <c r="O898" s="32">
        <f>VLOOKUP(H898,клиенты!$A$2:$G$435,5,FALSE)</f>
        <v>44756</v>
      </c>
      <c r="P898">
        <f>Продажи[[#This Row],[дата создания чека]]-Продажи[[#This Row],[Дата регистрации клиента]]</f>
        <v>614</v>
      </c>
      <c r="Q898" t="str">
        <f>VLOOKUP(H898,Таблица3[],7,FALSE)</f>
        <v>Узбекистан</v>
      </c>
    </row>
    <row r="899" spans="1:17" x14ac:dyDescent="0.3">
      <c r="A899">
        <v>898</v>
      </c>
      <c r="B899">
        <v>52</v>
      </c>
      <c r="C899">
        <v>142</v>
      </c>
      <c r="D899">
        <v>3</v>
      </c>
      <c r="E899">
        <v>426</v>
      </c>
      <c r="F899" s="32">
        <v>44929</v>
      </c>
      <c r="G899" t="s">
        <v>18</v>
      </c>
      <c r="H899">
        <v>366</v>
      </c>
      <c r="I899" t="str">
        <f>VLOOKUP(B899,товар!$A$1:$C$433,2,FALSE)</f>
        <v>Соль</v>
      </c>
      <c r="J899" s="22">
        <f t="shared" si="56"/>
        <v>264.8679245283019</v>
      </c>
      <c r="K899" s="24">
        <f t="shared" si="57"/>
        <v>-0.46388374412309452</v>
      </c>
      <c r="L899" t="str">
        <f>VLOOKUP(B899,товар!$A$1:$C$433,3,FALSE)</f>
        <v>Илецкая</v>
      </c>
      <c r="M899" s="24">
        <f t="shared" si="58"/>
        <v>-0.40377886634009796</v>
      </c>
      <c r="N899" s="29">
        <f t="shared" si="59"/>
        <v>238.16666666666666</v>
      </c>
      <c r="O899" s="32">
        <f>VLOOKUP(H899,клиенты!$A$2:$G$435,5,FALSE)</f>
        <v>44827</v>
      </c>
      <c r="P899">
        <f>Продажи[[#This Row],[дата создания чека]]-Продажи[[#This Row],[Дата регистрации клиента]]</f>
        <v>102</v>
      </c>
      <c r="Q899" t="str">
        <f>VLOOKUP(H899,Таблица3[],7,FALSE)</f>
        <v>Узбекистан</v>
      </c>
    </row>
    <row r="900" spans="1:17" x14ac:dyDescent="0.3">
      <c r="A900">
        <v>899</v>
      </c>
      <c r="B900">
        <v>73</v>
      </c>
      <c r="C900">
        <v>160</v>
      </c>
      <c r="D900">
        <v>4</v>
      </c>
      <c r="E900">
        <v>640</v>
      </c>
      <c r="F900" s="32">
        <v>45163</v>
      </c>
      <c r="G900" t="s">
        <v>12</v>
      </c>
      <c r="H900">
        <v>302</v>
      </c>
      <c r="I900" t="str">
        <f>VLOOKUP(B900,товар!$A$1:$C$433,2,FALSE)</f>
        <v>Хлеб</v>
      </c>
      <c r="J900" s="22">
        <f t="shared" si="56"/>
        <v>300.31818181818181</v>
      </c>
      <c r="K900" s="24">
        <f t="shared" si="57"/>
        <v>-0.46723172392916601</v>
      </c>
      <c r="L900" t="str">
        <f>VLOOKUP(B900,товар!$A$1:$C$433,3,FALSE)</f>
        <v>Дарница</v>
      </c>
      <c r="M900" s="24">
        <f t="shared" si="58"/>
        <v>-0.39393939393939392</v>
      </c>
      <c r="N900" s="29">
        <f t="shared" si="59"/>
        <v>264</v>
      </c>
      <c r="O900" s="32">
        <f>VLOOKUP(H900,клиенты!$A$2:$G$435,5,FALSE)</f>
        <v>44859</v>
      </c>
      <c r="P900">
        <f>Продажи[[#This Row],[дата создания чека]]-Продажи[[#This Row],[Дата регистрации клиента]]</f>
        <v>304</v>
      </c>
      <c r="Q900" t="str">
        <f>VLOOKUP(H900,Таблица3[],7,FALSE)</f>
        <v>Россия</v>
      </c>
    </row>
    <row r="901" spans="1:17" x14ac:dyDescent="0.3">
      <c r="A901">
        <v>900</v>
      </c>
      <c r="B901">
        <v>208</v>
      </c>
      <c r="C901">
        <v>476</v>
      </c>
      <c r="D901">
        <v>5</v>
      </c>
      <c r="E901">
        <v>2380</v>
      </c>
      <c r="F901" s="32">
        <v>45262</v>
      </c>
      <c r="G901" t="s">
        <v>26</v>
      </c>
      <c r="H901">
        <v>326</v>
      </c>
      <c r="I901" t="str">
        <f>VLOOKUP(B901,товар!$A$1:$C$433,2,FALSE)</f>
        <v>Конфеты</v>
      </c>
      <c r="J901" s="22">
        <f t="shared" si="56"/>
        <v>267.85483870967744</v>
      </c>
      <c r="K901" s="24">
        <f t="shared" si="57"/>
        <v>0.77708195339314745</v>
      </c>
      <c r="L901" t="str">
        <f>VLOOKUP(B901,товар!$A$1:$C$433,3,FALSE)</f>
        <v>Славянка</v>
      </c>
      <c r="M901" s="24">
        <f t="shared" si="58"/>
        <v>0.77611940298507465</v>
      </c>
      <c r="N901" s="29">
        <f t="shared" si="59"/>
        <v>268</v>
      </c>
      <c r="O901" s="32">
        <f>VLOOKUP(H901,клиенты!$A$2:$G$435,5,FALSE)</f>
        <v>44655</v>
      </c>
      <c r="P901">
        <f>Продажи[[#This Row],[дата создания чека]]-Продажи[[#This Row],[Дата регистрации клиента]]</f>
        <v>607</v>
      </c>
      <c r="Q901" t="str">
        <f>VLOOKUP(H901,Таблица3[],7,FALSE)</f>
        <v>Россия</v>
      </c>
    </row>
    <row r="902" spans="1:17" x14ac:dyDescent="0.3">
      <c r="A902">
        <v>901</v>
      </c>
      <c r="B902">
        <v>458</v>
      </c>
      <c r="C902">
        <v>343</v>
      </c>
      <c r="D902">
        <v>3</v>
      </c>
      <c r="E902">
        <v>1029</v>
      </c>
      <c r="F902" s="32">
        <v>45005</v>
      </c>
      <c r="G902" t="s">
        <v>20</v>
      </c>
      <c r="H902">
        <v>282</v>
      </c>
      <c r="I902" t="str">
        <f>VLOOKUP(B902,товар!$A$1:$C$433,2,FALSE)</f>
        <v>Макароны</v>
      </c>
      <c r="J902" s="22">
        <f t="shared" si="56"/>
        <v>265.47674418604652</v>
      </c>
      <c r="K902" s="24">
        <f t="shared" si="57"/>
        <v>0.29201524243353338</v>
      </c>
      <c r="L902" t="str">
        <f>VLOOKUP(B902,товар!$A$1:$C$433,3,FALSE)</f>
        <v>Борилла</v>
      </c>
      <c r="M902" s="24">
        <f t="shared" si="58"/>
        <v>0.45169293636894325</v>
      </c>
      <c r="N902" s="29">
        <f t="shared" si="59"/>
        <v>236.27586206896552</v>
      </c>
      <c r="O902" s="32">
        <f>VLOOKUP(H902,клиенты!$A$2:$G$435,5,FALSE)</f>
        <v>44735</v>
      </c>
      <c r="P902">
        <f>Продажи[[#This Row],[дата создания чека]]-Продажи[[#This Row],[Дата регистрации клиента]]</f>
        <v>270</v>
      </c>
      <c r="Q902" t="str">
        <f>VLOOKUP(H902,Таблица3[],7,FALSE)</f>
        <v>Узбекистан</v>
      </c>
    </row>
    <row r="903" spans="1:17" x14ac:dyDescent="0.3">
      <c r="A903">
        <v>902</v>
      </c>
      <c r="B903">
        <v>444</v>
      </c>
      <c r="C903">
        <v>328</v>
      </c>
      <c r="D903">
        <v>3</v>
      </c>
      <c r="E903">
        <v>984</v>
      </c>
      <c r="F903" s="32">
        <v>45102</v>
      </c>
      <c r="G903" t="s">
        <v>27</v>
      </c>
      <c r="H903">
        <v>292</v>
      </c>
      <c r="I903" t="str">
        <f>VLOOKUP(B903,товар!$A$1:$C$433,2,FALSE)</f>
        <v>Йогурт</v>
      </c>
      <c r="J903" s="22">
        <f t="shared" si="56"/>
        <v>263.25423728813558</v>
      </c>
      <c r="K903" s="24">
        <f t="shared" si="57"/>
        <v>0.24594385784187489</v>
      </c>
      <c r="L903" t="str">
        <f>VLOOKUP(B903,товар!$A$1:$C$433,3,FALSE)</f>
        <v>Эрманн</v>
      </c>
      <c r="M903" s="24">
        <f t="shared" si="58"/>
        <v>0.31991951710261568</v>
      </c>
      <c r="N903" s="29">
        <f t="shared" si="59"/>
        <v>248.5</v>
      </c>
      <c r="O903" s="32">
        <f>VLOOKUP(H903,клиенты!$A$2:$G$435,5,FALSE)</f>
        <v>44608</v>
      </c>
      <c r="P903">
        <f>Продажи[[#This Row],[дата создания чека]]-Продажи[[#This Row],[Дата регистрации клиента]]</f>
        <v>494</v>
      </c>
      <c r="Q903" t="str">
        <f>VLOOKUP(H903,Таблица3[],7,FALSE)</f>
        <v>Россия</v>
      </c>
    </row>
    <row r="904" spans="1:17" x14ac:dyDescent="0.3">
      <c r="A904">
        <v>903</v>
      </c>
      <c r="B904">
        <v>369</v>
      </c>
      <c r="C904">
        <v>379</v>
      </c>
      <c r="D904">
        <v>5</v>
      </c>
      <c r="E904">
        <v>1895</v>
      </c>
      <c r="F904" s="32">
        <v>45189</v>
      </c>
      <c r="G904" t="s">
        <v>24</v>
      </c>
      <c r="H904">
        <v>267</v>
      </c>
      <c r="I904" t="str">
        <f>VLOOKUP(B904,товар!$A$1:$C$433,2,FALSE)</f>
        <v>Молоко</v>
      </c>
      <c r="J904" s="22">
        <f t="shared" si="56"/>
        <v>294.95238095238096</v>
      </c>
      <c r="K904" s="24">
        <f t="shared" si="57"/>
        <v>0.28495318049725538</v>
      </c>
      <c r="L904" t="str">
        <f>VLOOKUP(B904,товар!$A$1:$C$433,3,FALSE)</f>
        <v>Домик в деревне</v>
      </c>
      <c r="M904" s="24">
        <f t="shared" si="58"/>
        <v>0.37929640113222818</v>
      </c>
      <c r="N904" s="29">
        <f t="shared" si="59"/>
        <v>274.77777777777777</v>
      </c>
      <c r="O904" s="32">
        <f>VLOOKUP(H904,клиенты!$A$2:$G$435,5,FALSE)</f>
        <v>44910</v>
      </c>
      <c r="P904">
        <f>Продажи[[#This Row],[дата создания чека]]-Продажи[[#This Row],[Дата регистрации клиента]]</f>
        <v>279</v>
      </c>
      <c r="Q904" t="str">
        <f>VLOOKUP(H904,Таблица3[],7,FALSE)</f>
        <v>Россия</v>
      </c>
    </row>
    <row r="905" spans="1:17" x14ac:dyDescent="0.3">
      <c r="A905">
        <v>904</v>
      </c>
      <c r="B905">
        <v>6</v>
      </c>
      <c r="C905">
        <v>70</v>
      </c>
      <c r="D905">
        <v>5</v>
      </c>
      <c r="E905">
        <v>350</v>
      </c>
      <c r="F905" s="32">
        <v>45364</v>
      </c>
      <c r="G905" t="s">
        <v>12</v>
      </c>
      <c r="H905">
        <v>433</v>
      </c>
      <c r="I905" t="str">
        <f>VLOOKUP(B905,товар!$A$1:$C$433,2,FALSE)</f>
        <v>Фрукты</v>
      </c>
      <c r="J905" s="22">
        <f t="shared" si="56"/>
        <v>274.16279069767444</v>
      </c>
      <c r="K905" s="24">
        <f t="shared" si="57"/>
        <v>-0.74467724149631009</v>
      </c>
      <c r="L905" t="str">
        <f>VLOOKUP(B905,товар!$A$1:$C$433,3,FALSE)</f>
        <v>Фрукты-Ягоды</v>
      </c>
      <c r="M905" s="24">
        <f t="shared" si="58"/>
        <v>-0.75059382422802856</v>
      </c>
      <c r="N905" s="29">
        <f t="shared" si="59"/>
        <v>280.66666666666669</v>
      </c>
      <c r="O905" s="32">
        <f>VLOOKUP(H905,клиенты!$A$2:$G$435,5,FALSE)</f>
        <v>44832</v>
      </c>
      <c r="P905">
        <f>Продажи[[#This Row],[дата создания чека]]-Продажи[[#This Row],[Дата регистрации клиента]]</f>
        <v>532</v>
      </c>
      <c r="Q905" t="str">
        <f>VLOOKUP(H905,Таблица3[],7,FALSE)</f>
        <v>Таджикистан</v>
      </c>
    </row>
    <row r="906" spans="1:17" x14ac:dyDescent="0.3">
      <c r="A906">
        <v>905</v>
      </c>
      <c r="B906">
        <v>318</v>
      </c>
      <c r="C906">
        <v>280</v>
      </c>
      <c r="D906">
        <v>1</v>
      </c>
      <c r="E906">
        <v>280</v>
      </c>
      <c r="F906" s="32">
        <v>45213</v>
      </c>
      <c r="G906" t="s">
        <v>9</v>
      </c>
      <c r="H906">
        <v>382</v>
      </c>
      <c r="I906" t="str">
        <f>VLOOKUP(B906,товар!$A$1:$C$433,2,FALSE)</f>
        <v>Молоко</v>
      </c>
      <c r="J906" s="22">
        <f t="shared" si="56"/>
        <v>294.95238095238096</v>
      </c>
      <c r="K906" s="24">
        <f t="shared" si="57"/>
        <v>-5.0694220213109542E-2</v>
      </c>
      <c r="L906" t="str">
        <f>VLOOKUP(B906,товар!$A$1:$C$433,3,FALSE)</f>
        <v>Домик в деревне</v>
      </c>
      <c r="M906" s="24">
        <f t="shared" si="58"/>
        <v>1.9005256773150014E-2</v>
      </c>
      <c r="N906" s="29">
        <f t="shared" si="59"/>
        <v>274.77777777777777</v>
      </c>
      <c r="O906" s="32">
        <f>VLOOKUP(H906,клиенты!$A$2:$G$435,5,FALSE)</f>
        <v>44850</v>
      </c>
      <c r="P906">
        <f>Продажи[[#This Row],[дата создания чека]]-Продажи[[#This Row],[Дата регистрации клиента]]</f>
        <v>363</v>
      </c>
      <c r="Q906" t="str">
        <f>VLOOKUP(H906,Таблица3[],7,FALSE)</f>
        <v>Беларусь</v>
      </c>
    </row>
    <row r="907" spans="1:17" x14ac:dyDescent="0.3">
      <c r="A907">
        <v>906</v>
      </c>
      <c r="B907">
        <v>269</v>
      </c>
      <c r="C907">
        <v>315</v>
      </c>
      <c r="D907">
        <v>1</v>
      </c>
      <c r="E907">
        <v>315</v>
      </c>
      <c r="F907" s="32">
        <v>45355</v>
      </c>
      <c r="G907" t="s">
        <v>10</v>
      </c>
      <c r="H907">
        <v>41</v>
      </c>
      <c r="I907" t="str">
        <f>VLOOKUP(B907,товар!$A$1:$C$433,2,FALSE)</f>
        <v>Сахар</v>
      </c>
      <c r="J907" s="22">
        <f t="shared" si="56"/>
        <v>252.76271186440678</v>
      </c>
      <c r="K907" s="24">
        <f t="shared" si="57"/>
        <v>0.2462281231140615</v>
      </c>
      <c r="L907" t="str">
        <f>VLOOKUP(B907,товар!$A$1:$C$433,3,FALSE)</f>
        <v>Русский сахар</v>
      </c>
      <c r="M907" s="24">
        <f t="shared" si="58"/>
        <v>7.3576583801122641E-2</v>
      </c>
      <c r="N907" s="29">
        <f t="shared" si="59"/>
        <v>293.41176470588238</v>
      </c>
      <c r="O907" s="32">
        <f>VLOOKUP(H907,клиенты!$A$2:$G$435,5,FALSE)</f>
        <v>44842</v>
      </c>
      <c r="P907">
        <f>Продажи[[#This Row],[дата создания чека]]-Продажи[[#This Row],[Дата регистрации клиента]]</f>
        <v>513</v>
      </c>
      <c r="Q907" t="str">
        <f>VLOOKUP(H907,Таблица3[],7,FALSE)</f>
        <v>Россия</v>
      </c>
    </row>
    <row r="908" spans="1:17" x14ac:dyDescent="0.3">
      <c r="A908">
        <v>907</v>
      </c>
      <c r="B908">
        <v>55</v>
      </c>
      <c r="C908">
        <v>353</v>
      </c>
      <c r="D908">
        <v>1</v>
      </c>
      <c r="E908">
        <v>353</v>
      </c>
      <c r="F908" s="32">
        <v>45413</v>
      </c>
      <c r="G908" t="s">
        <v>27</v>
      </c>
      <c r="H908">
        <v>129</v>
      </c>
      <c r="I908" t="str">
        <f>VLOOKUP(B908,товар!$A$1:$C$433,2,FALSE)</f>
        <v>Крупа</v>
      </c>
      <c r="J908" s="22">
        <f t="shared" si="56"/>
        <v>255.11627906976744</v>
      </c>
      <c r="K908" s="24">
        <f t="shared" si="57"/>
        <v>0.38368277119416594</v>
      </c>
      <c r="L908" t="str">
        <f>VLOOKUP(B908,товар!$A$1:$C$433,3,FALSE)</f>
        <v>Националь</v>
      </c>
      <c r="M908" s="24">
        <f t="shared" si="58"/>
        <v>0.28697916666666679</v>
      </c>
      <c r="N908" s="29">
        <f t="shared" si="59"/>
        <v>274.28571428571428</v>
      </c>
      <c r="O908" s="32">
        <f>VLOOKUP(H908,клиенты!$A$2:$G$435,5,FALSE)</f>
        <v>44868</v>
      </c>
      <c r="P908">
        <f>Продажи[[#This Row],[дата создания чека]]-Продажи[[#This Row],[Дата регистрации клиента]]</f>
        <v>545</v>
      </c>
      <c r="Q908" t="str">
        <f>VLOOKUP(H908,Таблица3[],7,FALSE)</f>
        <v>Беларусь</v>
      </c>
    </row>
    <row r="909" spans="1:17" x14ac:dyDescent="0.3">
      <c r="A909">
        <v>908</v>
      </c>
      <c r="B909">
        <v>327</v>
      </c>
      <c r="C909">
        <v>342</v>
      </c>
      <c r="D909">
        <v>2</v>
      </c>
      <c r="E909">
        <v>684</v>
      </c>
      <c r="F909" s="32">
        <v>45284</v>
      </c>
      <c r="G909" t="s">
        <v>9</v>
      </c>
      <c r="H909">
        <v>335</v>
      </c>
      <c r="I909" t="str">
        <f>VLOOKUP(B909,товар!$A$1:$C$433,2,FALSE)</f>
        <v>Колбаса</v>
      </c>
      <c r="J909" s="22">
        <f t="shared" si="56"/>
        <v>286.92307692307691</v>
      </c>
      <c r="K909" s="24">
        <f t="shared" si="57"/>
        <v>0.19195710455764092</v>
      </c>
      <c r="L909" t="str">
        <f>VLOOKUP(B909,товар!$A$1:$C$433,3,FALSE)</f>
        <v>Черкизово</v>
      </c>
      <c r="M909" s="24">
        <f t="shared" si="58"/>
        <v>6.7915690866510614E-2</v>
      </c>
      <c r="N909" s="29">
        <f t="shared" si="59"/>
        <v>320.25</v>
      </c>
      <c r="O909" s="32">
        <f>VLOOKUP(H909,клиенты!$A$2:$G$435,5,FALSE)</f>
        <v>44619</v>
      </c>
      <c r="P909">
        <f>Продажи[[#This Row],[дата создания чека]]-Продажи[[#This Row],[Дата регистрации клиента]]</f>
        <v>665</v>
      </c>
      <c r="Q909" t="str">
        <f>VLOOKUP(H909,Таблица3[],7,FALSE)</f>
        <v>Узбекистан</v>
      </c>
    </row>
    <row r="910" spans="1:17" x14ac:dyDescent="0.3">
      <c r="A910">
        <v>909</v>
      </c>
      <c r="B910">
        <v>364</v>
      </c>
      <c r="C910">
        <v>299</v>
      </c>
      <c r="D910">
        <v>3</v>
      </c>
      <c r="E910">
        <v>897</v>
      </c>
      <c r="F910" s="32">
        <v>44932</v>
      </c>
      <c r="G910" t="s">
        <v>22</v>
      </c>
      <c r="H910">
        <v>194</v>
      </c>
      <c r="I910" t="str">
        <f>VLOOKUP(B910,товар!$A$1:$C$433,2,FALSE)</f>
        <v>Сахар</v>
      </c>
      <c r="J910" s="22">
        <f t="shared" si="56"/>
        <v>252.76271186440678</v>
      </c>
      <c r="K910" s="24">
        <f t="shared" si="57"/>
        <v>0.18292764701937902</v>
      </c>
      <c r="L910" t="str">
        <f>VLOOKUP(B910,товар!$A$1:$C$433,3,FALSE)</f>
        <v>Русский сахар</v>
      </c>
      <c r="M910" s="24">
        <f t="shared" si="58"/>
        <v>1.9045709703287894E-2</v>
      </c>
      <c r="N910" s="29">
        <f t="shared" si="59"/>
        <v>293.41176470588238</v>
      </c>
      <c r="O910" s="32">
        <f>VLOOKUP(H910,клиенты!$A$2:$G$435,5,FALSE)</f>
        <v>44924</v>
      </c>
      <c r="P910">
        <f>Продажи[[#This Row],[дата создания чека]]-Продажи[[#This Row],[Дата регистрации клиента]]</f>
        <v>8</v>
      </c>
      <c r="Q910" t="str">
        <f>VLOOKUP(H910,Таблица3[],7,FALSE)</f>
        <v>Россия</v>
      </c>
    </row>
    <row r="911" spans="1:17" x14ac:dyDescent="0.3">
      <c r="A911">
        <v>910</v>
      </c>
      <c r="B911">
        <v>378</v>
      </c>
      <c r="C911">
        <v>397</v>
      </c>
      <c r="D911">
        <v>1</v>
      </c>
      <c r="E911">
        <v>397</v>
      </c>
      <c r="F911" s="32">
        <v>45000</v>
      </c>
      <c r="G911" t="s">
        <v>13</v>
      </c>
      <c r="H911">
        <v>56</v>
      </c>
      <c r="I911" t="str">
        <f>VLOOKUP(B911,товар!$A$1:$C$433,2,FALSE)</f>
        <v>Сок</v>
      </c>
      <c r="J911" s="22">
        <f t="shared" si="56"/>
        <v>268.60344827586209</v>
      </c>
      <c r="K911" s="24">
        <f t="shared" si="57"/>
        <v>0.47801527697541557</v>
      </c>
      <c r="L911" t="str">
        <f>VLOOKUP(B911,товар!$A$1:$C$433,3,FALSE)</f>
        <v>Фруктовый сад</v>
      </c>
      <c r="M911" s="24">
        <f t="shared" si="58"/>
        <v>0.40795744209243034</v>
      </c>
      <c r="N911" s="29">
        <f t="shared" si="59"/>
        <v>281.96875</v>
      </c>
      <c r="O911" s="32">
        <f>VLOOKUP(H911,клиенты!$A$2:$G$435,5,FALSE)</f>
        <v>44662</v>
      </c>
      <c r="P911">
        <f>Продажи[[#This Row],[дата создания чека]]-Продажи[[#This Row],[Дата регистрации клиента]]</f>
        <v>338</v>
      </c>
      <c r="Q911" t="str">
        <f>VLOOKUP(H911,Таблица3[],7,FALSE)</f>
        <v>Таджикистан</v>
      </c>
    </row>
    <row r="912" spans="1:17" x14ac:dyDescent="0.3">
      <c r="A912">
        <v>911</v>
      </c>
      <c r="B912">
        <v>462</v>
      </c>
      <c r="C912">
        <v>231</v>
      </c>
      <c r="D912">
        <v>2</v>
      </c>
      <c r="E912">
        <v>462</v>
      </c>
      <c r="F912" s="32">
        <v>44950</v>
      </c>
      <c r="G912" t="s">
        <v>26</v>
      </c>
      <c r="H912">
        <v>493</v>
      </c>
      <c r="I912" t="str">
        <f>VLOOKUP(B912,товар!$A$1:$C$433,2,FALSE)</f>
        <v>Рис</v>
      </c>
      <c r="J912" s="22">
        <f t="shared" si="56"/>
        <v>258.375</v>
      </c>
      <c r="K912" s="24">
        <f t="shared" si="57"/>
        <v>-0.10595065312046448</v>
      </c>
      <c r="L912" t="str">
        <f>VLOOKUP(B912,товар!$A$1:$C$433,3,FALSE)</f>
        <v>Белый Злат</v>
      </c>
      <c r="M912" s="24">
        <f t="shared" si="58"/>
        <v>-0.14351145038167934</v>
      </c>
      <c r="N912" s="29">
        <f t="shared" si="59"/>
        <v>269.70588235294116</v>
      </c>
      <c r="O912" s="32">
        <f>VLOOKUP(H912,клиенты!$A$2:$G$435,5,FALSE)</f>
        <v>44855</v>
      </c>
      <c r="P912">
        <f>Продажи[[#This Row],[дата создания чека]]-Продажи[[#This Row],[Дата регистрации клиента]]</f>
        <v>95</v>
      </c>
      <c r="Q912" t="str">
        <f>VLOOKUP(H912,Таблица3[],7,FALSE)</f>
        <v>Украина</v>
      </c>
    </row>
    <row r="913" spans="1:17" x14ac:dyDescent="0.3">
      <c r="A913">
        <v>912</v>
      </c>
      <c r="B913">
        <v>89</v>
      </c>
      <c r="C913">
        <v>120</v>
      </c>
      <c r="D913">
        <v>5</v>
      </c>
      <c r="E913">
        <v>600</v>
      </c>
      <c r="F913" s="32">
        <v>44962</v>
      </c>
      <c r="G913" t="s">
        <v>27</v>
      </c>
      <c r="H913">
        <v>222</v>
      </c>
      <c r="I913" t="str">
        <f>VLOOKUP(B913,товар!$A$1:$C$433,2,FALSE)</f>
        <v>Конфеты</v>
      </c>
      <c r="J913" s="22">
        <f t="shared" si="56"/>
        <v>267.85483870967744</v>
      </c>
      <c r="K913" s="24">
        <f t="shared" si="57"/>
        <v>-0.5519961462034082</v>
      </c>
      <c r="L913" t="str">
        <f>VLOOKUP(B913,товар!$A$1:$C$433,3,FALSE)</f>
        <v>Рот Фронт</v>
      </c>
      <c r="M913" s="24">
        <f t="shared" si="58"/>
        <v>-0.58367751528167844</v>
      </c>
      <c r="N913" s="29">
        <f t="shared" si="59"/>
        <v>288.23809523809524</v>
      </c>
      <c r="O913" s="32">
        <f>VLOOKUP(H913,клиенты!$A$2:$G$435,5,FALSE)</f>
        <v>44694</v>
      </c>
      <c r="P913">
        <f>Продажи[[#This Row],[дата создания чека]]-Продажи[[#This Row],[Дата регистрации клиента]]</f>
        <v>268</v>
      </c>
      <c r="Q913" t="str">
        <f>VLOOKUP(H913,Таблица3[],7,FALSE)</f>
        <v>Украина</v>
      </c>
    </row>
    <row r="914" spans="1:17" x14ac:dyDescent="0.3">
      <c r="A914">
        <v>913</v>
      </c>
      <c r="B914">
        <v>465</v>
      </c>
      <c r="C914">
        <v>177</v>
      </c>
      <c r="D914">
        <v>1</v>
      </c>
      <c r="E914">
        <v>177</v>
      </c>
      <c r="F914" s="32">
        <v>45122</v>
      </c>
      <c r="G914" t="s">
        <v>16</v>
      </c>
      <c r="H914">
        <v>167</v>
      </c>
      <c r="I914" t="str">
        <f>VLOOKUP(B914,товар!$A$1:$C$433,2,FALSE)</f>
        <v>Йогурт</v>
      </c>
      <c r="J914" s="22">
        <f t="shared" si="56"/>
        <v>263.25423728813558</v>
      </c>
      <c r="K914" s="24">
        <f t="shared" si="57"/>
        <v>-0.32764614988411023</v>
      </c>
      <c r="L914" t="str">
        <f>VLOOKUP(B914,товар!$A$1:$C$433,3,FALSE)</f>
        <v>Ростагроэкспорт</v>
      </c>
      <c r="M914" s="24">
        <f t="shared" si="58"/>
        <v>-0.31337493675156014</v>
      </c>
      <c r="N914" s="29">
        <f t="shared" si="59"/>
        <v>257.78260869565219</v>
      </c>
      <c r="O914" s="32">
        <f>VLOOKUP(H914,клиенты!$A$2:$G$435,5,FALSE)</f>
        <v>44563</v>
      </c>
      <c r="P914">
        <f>Продажи[[#This Row],[дата создания чека]]-Продажи[[#This Row],[Дата регистрации клиента]]</f>
        <v>559</v>
      </c>
      <c r="Q914" t="str">
        <f>VLOOKUP(H914,Таблица3[],7,FALSE)</f>
        <v>Узбекистан</v>
      </c>
    </row>
    <row r="915" spans="1:17" x14ac:dyDescent="0.3">
      <c r="A915">
        <v>914</v>
      </c>
      <c r="B915">
        <v>208</v>
      </c>
      <c r="C915">
        <v>412</v>
      </c>
      <c r="D915">
        <v>4</v>
      </c>
      <c r="E915">
        <v>1648</v>
      </c>
      <c r="F915" s="32">
        <v>45319</v>
      </c>
      <c r="G915" t="s">
        <v>14</v>
      </c>
      <c r="H915">
        <v>212</v>
      </c>
      <c r="I915" t="str">
        <f>VLOOKUP(B915,товар!$A$1:$C$433,2,FALSE)</f>
        <v>Конфеты</v>
      </c>
      <c r="J915" s="22">
        <f t="shared" si="56"/>
        <v>267.85483870967744</v>
      </c>
      <c r="K915" s="24">
        <f t="shared" si="57"/>
        <v>0.53814656470163169</v>
      </c>
      <c r="L915" t="str">
        <f>VLOOKUP(B915,товар!$A$1:$C$433,3,FALSE)</f>
        <v>Славянка</v>
      </c>
      <c r="M915" s="24">
        <f t="shared" si="58"/>
        <v>0.53731343283582089</v>
      </c>
      <c r="N915" s="29">
        <f t="shared" si="59"/>
        <v>268</v>
      </c>
      <c r="O915" s="32">
        <f>VLOOKUP(H915,клиенты!$A$2:$G$435,5,FALSE)</f>
        <v>44815</v>
      </c>
      <c r="P915">
        <f>Продажи[[#This Row],[дата создания чека]]-Продажи[[#This Row],[Дата регистрации клиента]]</f>
        <v>504</v>
      </c>
      <c r="Q915" t="str">
        <f>VLOOKUP(H915,Таблица3[],7,FALSE)</f>
        <v>Узбекистан</v>
      </c>
    </row>
    <row r="916" spans="1:17" x14ac:dyDescent="0.3">
      <c r="A916">
        <v>915</v>
      </c>
      <c r="B916">
        <v>357</v>
      </c>
      <c r="C916">
        <v>279</v>
      </c>
      <c r="D916">
        <v>2</v>
      </c>
      <c r="E916">
        <v>558</v>
      </c>
      <c r="F916" s="32">
        <v>45266</v>
      </c>
      <c r="G916" t="s">
        <v>23</v>
      </c>
      <c r="H916">
        <v>499</v>
      </c>
      <c r="I916" t="str">
        <f>VLOOKUP(B916,товар!$A$1:$C$433,2,FALSE)</f>
        <v>Мясо</v>
      </c>
      <c r="J916" s="22">
        <f t="shared" si="56"/>
        <v>271.74545454545455</v>
      </c>
      <c r="K916" s="24">
        <f t="shared" si="57"/>
        <v>2.6696105981533602E-2</v>
      </c>
      <c r="L916" t="str">
        <f>VLOOKUP(B916,товар!$A$1:$C$433,3,FALSE)</f>
        <v>Снежана</v>
      </c>
      <c r="M916" s="24">
        <f t="shared" si="58"/>
        <v>2.4406047516198681E-2</v>
      </c>
      <c r="N916" s="29">
        <f t="shared" si="59"/>
        <v>272.35294117647061</v>
      </c>
      <c r="O916" s="32">
        <f>VLOOKUP(H916,клиенты!$A$2:$G$435,5,FALSE)</f>
        <v>44798</v>
      </c>
      <c r="P916">
        <f>Продажи[[#This Row],[дата создания чека]]-Продажи[[#This Row],[Дата регистрации клиента]]</f>
        <v>468</v>
      </c>
      <c r="Q916" t="str">
        <f>VLOOKUP(H916,Таблица3[],7,FALSE)</f>
        <v>Беларусь</v>
      </c>
    </row>
    <row r="917" spans="1:17" x14ac:dyDescent="0.3">
      <c r="A917">
        <v>916</v>
      </c>
      <c r="B917">
        <v>416</v>
      </c>
      <c r="C917">
        <v>472</v>
      </c>
      <c r="D917">
        <v>1</v>
      </c>
      <c r="E917">
        <v>472</v>
      </c>
      <c r="F917" s="32">
        <v>45339</v>
      </c>
      <c r="G917" t="s">
        <v>27</v>
      </c>
      <c r="H917">
        <v>401</v>
      </c>
      <c r="I917" t="str">
        <f>VLOOKUP(B917,товар!$A$1:$C$433,2,FALSE)</f>
        <v>Рыба</v>
      </c>
      <c r="J917" s="22">
        <f t="shared" si="56"/>
        <v>258.5128205128205</v>
      </c>
      <c r="K917" s="24">
        <f t="shared" si="57"/>
        <v>0.82582820868875229</v>
      </c>
      <c r="L917" t="str">
        <f>VLOOKUP(B917,товар!$A$1:$C$433,3,FALSE)</f>
        <v>Меридиан</v>
      </c>
      <c r="M917" s="24">
        <f t="shared" si="58"/>
        <v>0.81087790566463558</v>
      </c>
      <c r="N917" s="29">
        <f t="shared" si="59"/>
        <v>260.64705882352939</v>
      </c>
      <c r="O917" s="32">
        <f>VLOOKUP(H917,клиенты!$A$2:$G$435,5,FALSE)</f>
        <v>44856</v>
      </c>
      <c r="P917">
        <f>Продажи[[#This Row],[дата создания чека]]-Продажи[[#This Row],[Дата регистрации клиента]]</f>
        <v>483</v>
      </c>
      <c r="Q917" t="str">
        <f>VLOOKUP(H917,Таблица3[],7,FALSE)</f>
        <v>Россия</v>
      </c>
    </row>
    <row r="918" spans="1:17" x14ac:dyDescent="0.3">
      <c r="A918">
        <v>917</v>
      </c>
      <c r="B918">
        <v>374</v>
      </c>
      <c r="C918">
        <v>52</v>
      </c>
      <c r="D918">
        <v>3</v>
      </c>
      <c r="E918">
        <v>156</v>
      </c>
      <c r="F918" s="32">
        <v>45026</v>
      </c>
      <c r="G918" t="s">
        <v>26</v>
      </c>
      <c r="H918">
        <v>463</v>
      </c>
      <c r="I918" t="str">
        <f>VLOOKUP(B918,товар!$A$1:$C$433,2,FALSE)</f>
        <v>Кофе</v>
      </c>
      <c r="J918" s="22">
        <f t="shared" si="56"/>
        <v>249.02380952380952</v>
      </c>
      <c r="K918" s="24">
        <f t="shared" si="57"/>
        <v>-0.79118462568123149</v>
      </c>
      <c r="L918" t="str">
        <f>VLOOKUP(B918,товар!$A$1:$C$433,3,FALSE)</f>
        <v>Tchibo</v>
      </c>
      <c r="M918" s="24">
        <f t="shared" si="58"/>
        <v>-0.62857142857142856</v>
      </c>
      <c r="N918" s="29">
        <f t="shared" si="59"/>
        <v>140</v>
      </c>
      <c r="O918" s="32">
        <f>VLOOKUP(H918,клиенты!$A$2:$G$435,5,FALSE)</f>
        <v>44869</v>
      </c>
      <c r="P918">
        <f>Продажи[[#This Row],[дата создания чека]]-Продажи[[#This Row],[Дата регистрации клиента]]</f>
        <v>157</v>
      </c>
      <c r="Q918" t="str">
        <f>VLOOKUP(H918,Таблица3[],7,FALSE)</f>
        <v>Украина</v>
      </c>
    </row>
    <row r="919" spans="1:17" x14ac:dyDescent="0.3">
      <c r="A919">
        <v>918</v>
      </c>
      <c r="B919">
        <v>145</v>
      </c>
      <c r="C919">
        <v>144</v>
      </c>
      <c r="D919">
        <v>5</v>
      </c>
      <c r="E919">
        <v>720</v>
      </c>
      <c r="F919" s="32">
        <v>45312</v>
      </c>
      <c r="G919" t="s">
        <v>8</v>
      </c>
      <c r="H919">
        <v>347</v>
      </c>
      <c r="I919" t="str">
        <f>VLOOKUP(B919,товар!$A$1:$C$433,2,FALSE)</f>
        <v>Овощи</v>
      </c>
      <c r="J919" s="22">
        <f t="shared" si="56"/>
        <v>250.48780487804879</v>
      </c>
      <c r="K919" s="24">
        <f t="shared" si="57"/>
        <v>-0.42512171372930874</v>
      </c>
      <c r="L919" t="str">
        <f>VLOOKUP(B919,товар!$A$1:$C$433,3,FALSE)</f>
        <v>Семко</v>
      </c>
      <c r="M919" s="24">
        <f t="shared" si="58"/>
        <v>-0.30769230769230771</v>
      </c>
      <c r="N919" s="29">
        <f t="shared" si="59"/>
        <v>208</v>
      </c>
      <c r="O919" s="32">
        <f>VLOOKUP(H919,клиенты!$A$2:$G$435,5,FALSE)</f>
        <v>44588</v>
      </c>
      <c r="P919">
        <f>Продажи[[#This Row],[дата создания чека]]-Продажи[[#This Row],[Дата регистрации клиента]]</f>
        <v>724</v>
      </c>
      <c r="Q919" t="str">
        <f>VLOOKUP(H919,Таблица3[],7,FALSE)</f>
        <v>Таджикистан</v>
      </c>
    </row>
    <row r="920" spans="1:17" x14ac:dyDescent="0.3">
      <c r="A920">
        <v>919</v>
      </c>
      <c r="B920">
        <v>289</v>
      </c>
      <c r="C920">
        <v>258</v>
      </c>
      <c r="D920">
        <v>2</v>
      </c>
      <c r="E920">
        <v>516</v>
      </c>
      <c r="F920" s="32">
        <v>45392</v>
      </c>
      <c r="G920" t="s">
        <v>9</v>
      </c>
      <c r="H920">
        <v>54</v>
      </c>
      <c r="I920" t="str">
        <f>VLOOKUP(B920,товар!$A$1:$C$433,2,FALSE)</f>
        <v>Сок</v>
      </c>
      <c r="J920" s="22">
        <f t="shared" si="56"/>
        <v>268.60344827586209</v>
      </c>
      <c r="K920" s="24">
        <f t="shared" si="57"/>
        <v>-3.9476217985750184E-2</v>
      </c>
      <c r="L920" t="str">
        <f>VLOOKUP(B920,товар!$A$1:$C$433,3,FALSE)</f>
        <v>Добрый</v>
      </c>
      <c r="M920" s="24">
        <f t="shared" si="58"/>
        <v>6.2523399475851837E-2</v>
      </c>
      <c r="N920" s="29">
        <f t="shared" si="59"/>
        <v>242.81818181818181</v>
      </c>
      <c r="O920" s="32">
        <f>VLOOKUP(H920,клиенты!$A$2:$G$435,5,FALSE)</f>
        <v>44847</v>
      </c>
      <c r="P920">
        <f>Продажи[[#This Row],[дата создания чека]]-Продажи[[#This Row],[Дата регистрации клиента]]</f>
        <v>545</v>
      </c>
      <c r="Q920" t="str">
        <f>VLOOKUP(H920,Таблица3[],7,FALSE)</f>
        <v>Беларусь</v>
      </c>
    </row>
    <row r="921" spans="1:17" x14ac:dyDescent="0.3">
      <c r="A921">
        <v>920</v>
      </c>
      <c r="B921">
        <v>173</v>
      </c>
      <c r="C921">
        <v>173</v>
      </c>
      <c r="D921">
        <v>2</v>
      </c>
      <c r="E921">
        <v>346</v>
      </c>
      <c r="F921" s="32">
        <v>45097</v>
      </c>
      <c r="G921" t="s">
        <v>26</v>
      </c>
      <c r="H921">
        <v>246</v>
      </c>
      <c r="I921" t="str">
        <f>VLOOKUP(B921,товар!$A$1:$C$433,2,FALSE)</f>
        <v>Сок</v>
      </c>
      <c r="J921" s="22">
        <f t="shared" si="56"/>
        <v>268.60344827586209</v>
      </c>
      <c r="K921" s="24">
        <f t="shared" si="57"/>
        <v>-0.35592785159509599</v>
      </c>
      <c r="L921" t="str">
        <f>VLOOKUP(B921,товар!$A$1:$C$433,3,FALSE)</f>
        <v>Фруктовый сад</v>
      </c>
      <c r="M921" s="24">
        <f t="shared" si="58"/>
        <v>-0.38645683253906682</v>
      </c>
      <c r="N921" s="29">
        <f t="shared" si="59"/>
        <v>281.96875</v>
      </c>
      <c r="O921" s="32">
        <f>VLOOKUP(H921,клиенты!$A$2:$G$435,5,FALSE)</f>
        <v>44805</v>
      </c>
      <c r="P921">
        <f>Продажи[[#This Row],[дата создания чека]]-Продажи[[#This Row],[Дата регистрации клиента]]</f>
        <v>292</v>
      </c>
      <c r="Q921" t="str">
        <f>VLOOKUP(H921,Таблица3[],7,FALSE)</f>
        <v>Узбекистан</v>
      </c>
    </row>
    <row r="922" spans="1:17" x14ac:dyDescent="0.3">
      <c r="A922">
        <v>921</v>
      </c>
      <c r="B922">
        <v>390</v>
      </c>
      <c r="C922">
        <v>494</v>
      </c>
      <c r="D922">
        <v>3</v>
      </c>
      <c r="E922">
        <v>1482</v>
      </c>
      <c r="F922" s="32">
        <v>45196</v>
      </c>
      <c r="G922" t="s">
        <v>19</v>
      </c>
      <c r="H922">
        <v>65</v>
      </c>
      <c r="I922" t="str">
        <f>VLOOKUP(B922,товар!$A$1:$C$433,2,FALSE)</f>
        <v>Сок</v>
      </c>
      <c r="J922" s="22">
        <f t="shared" si="56"/>
        <v>268.60344827586209</v>
      </c>
      <c r="K922" s="24">
        <f t="shared" si="57"/>
        <v>0.83914243532961019</v>
      </c>
      <c r="L922" t="str">
        <f>VLOOKUP(B922,товар!$A$1:$C$433,3,FALSE)</f>
        <v>Сады Придонья</v>
      </c>
      <c r="M922" s="24">
        <f t="shared" si="58"/>
        <v>0.94349070100143062</v>
      </c>
      <c r="N922" s="29">
        <f t="shared" si="59"/>
        <v>254.18181818181819</v>
      </c>
      <c r="O922" s="32">
        <f>VLOOKUP(H922,клиенты!$A$2:$G$435,5,FALSE)</f>
        <v>44623</v>
      </c>
      <c r="P922">
        <f>Продажи[[#This Row],[дата создания чека]]-Продажи[[#This Row],[Дата регистрации клиента]]</f>
        <v>573</v>
      </c>
      <c r="Q922" t="str">
        <f>VLOOKUP(H922,Таблица3[],7,FALSE)</f>
        <v>Украина</v>
      </c>
    </row>
    <row r="923" spans="1:17" x14ac:dyDescent="0.3">
      <c r="A923">
        <v>922</v>
      </c>
      <c r="B923">
        <v>482</v>
      </c>
      <c r="C923">
        <v>198</v>
      </c>
      <c r="D923">
        <v>2</v>
      </c>
      <c r="E923">
        <v>396</v>
      </c>
      <c r="F923" s="32">
        <v>45197</v>
      </c>
      <c r="G923" t="s">
        <v>26</v>
      </c>
      <c r="H923">
        <v>44</v>
      </c>
      <c r="I923" t="str">
        <f>VLOOKUP(B923,товар!$A$1:$C$433,2,FALSE)</f>
        <v>Крупа</v>
      </c>
      <c r="J923" s="22">
        <f t="shared" si="56"/>
        <v>255.11627906976744</v>
      </c>
      <c r="K923" s="24">
        <f t="shared" si="57"/>
        <v>-0.22388331814038287</v>
      </c>
      <c r="L923" t="str">
        <f>VLOOKUP(B923,товар!$A$1:$C$433,3,FALSE)</f>
        <v>Мистраль</v>
      </c>
      <c r="M923" s="24">
        <f t="shared" si="58"/>
        <v>-0.20897357098955138</v>
      </c>
      <c r="N923" s="29">
        <f t="shared" si="59"/>
        <v>250.30769230769232</v>
      </c>
      <c r="O923" s="32">
        <f>VLOOKUP(H923,клиенты!$A$2:$G$435,5,FALSE)</f>
        <v>44701</v>
      </c>
      <c r="P923">
        <f>Продажи[[#This Row],[дата создания чека]]-Продажи[[#This Row],[Дата регистрации клиента]]</f>
        <v>496</v>
      </c>
      <c r="Q923" t="str">
        <f>VLOOKUP(H923,Таблица3[],7,FALSE)</f>
        <v>Беларусь</v>
      </c>
    </row>
    <row r="924" spans="1:17" x14ac:dyDescent="0.3">
      <c r="A924">
        <v>923</v>
      </c>
      <c r="B924">
        <v>465</v>
      </c>
      <c r="C924">
        <v>71</v>
      </c>
      <c r="D924">
        <v>5</v>
      </c>
      <c r="E924">
        <v>355</v>
      </c>
      <c r="F924" s="32">
        <v>45253</v>
      </c>
      <c r="G924" t="s">
        <v>16</v>
      </c>
      <c r="H924">
        <v>321</v>
      </c>
      <c r="I924" t="str">
        <f>VLOOKUP(B924,товар!$A$1:$C$433,2,FALSE)</f>
        <v>Йогурт</v>
      </c>
      <c r="J924" s="22">
        <f t="shared" si="56"/>
        <v>263.25423728813558</v>
      </c>
      <c r="K924" s="24">
        <f t="shared" si="57"/>
        <v>-0.73029873808910639</v>
      </c>
      <c r="L924" t="str">
        <f>VLOOKUP(B924,товар!$A$1:$C$433,3,FALSE)</f>
        <v>Ростагроэкспорт</v>
      </c>
      <c r="M924" s="24">
        <f t="shared" si="58"/>
        <v>-0.7245741271715298</v>
      </c>
      <c r="N924" s="29">
        <f t="shared" si="59"/>
        <v>257.78260869565219</v>
      </c>
      <c r="O924" s="32">
        <f>VLOOKUP(H924,клиенты!$A$2:$G$435,5,FALSE)</f>
        <v>44756</v>
      </c>
      <c r="P924">
        <f>Продажи[[#This Row],[дата создания чека]]-Продажи[[#This Row],[Дата регистрации клиента]]</f>
        <v>497</v>
      </c>
      <c r="Q924" t="str">
        <f>VLOOKUP(H924,Таблица3[],7,FALSE)</f>
        <v>Таджикистан</v>
      </c>
    </row>
    <row r="925" spans="1:17" x14ac:dyDescent="0.3">
      <c r="A925">
        <v>924</v>
      </c>
      <c r="B925">
        <v>114</v>
      </c>
      <c r="C925">
        <v>228</v>
      </c>
      <c r="D925">
        <v>2</v>
      </c>
      <c r="E925">
        <v>456</v>
      </c>
      <c r="F925" s="32">
        <v>45175</v>
      </c>
      <c r="G925" t="s">
        <v>22</v>
      </c>
      <c r="H925">
        <v>50</v>
      </c>
      <c r="I925" t="str">
        <f>VLOOKUP(B925,товар!$A$1:$C$433,2,FALSE)</f>
        <v>Сыр</v>
      </c>
      <c r="J925" s="22">
        <f t="shared" si="56"/>
        <v>262.63492063492066</v>
      </c>
      <c r="K925" s="24">
        <f t="shared" si="57"/>
        <v>-0.13187477335912012</v>
      </c>
      <c r="L925" t="str">
        <f>VLOOKUP(B925,товар!$A$1:$C$433,3,FALSE)</f>
        <v>Сырная долина</v>
      </c>
      <c r="M925" s="24">
        <f t="shared" si="58"/>
        <v>-0.15867158671586712</v>
      </c>
      <c r="N925" s="29">
        <f t="shared" si="59"/>
        <v>271</v>
      </c>
      <c r="O925" s="32">
        <f>VLOOKUP(H925,клиенты!$A$2:$G$435,5,FALSE)</f>
        <v>44576</v>
      </c>
      <c r="P925">
        <f>Продажи[[#This Row],[дата создания чека]]-Продажи[[#This Row],[Дата регистрации клиента]]</f>
        <v>599</v>
      </c>
      <c r="Q925" t="str">
        <f>VLOOKUP(H925,Таблица3[],7,FALSE)</f>
        <v>Узбекистан</v>
      </c>
    </row>
    <row r="926" spans="1:17" x14ac:dyDescent="0.3">
      <c r="A926">
        <v>925</v>
      </c>
      <c r="B926">
        <v>46</v>
      </c>
      <c r="C926">
        <v>290</v>
      </c>
      <c r="D926">
        <v>3</v>
      </c>
      <c r="E926">
        <v>870</v>
      </c>
      <c r="F926" s="32">
        <v>45059</v>
      </c>
      <c r="G926" t="s">
        <v>13</v>
      </c>
      <c r="H926">
        <v>460</v>
      </c>
      <c r="I926" t="str">
        <f>VLOOKUP(B926,товар!$A$1:$C$433,2,FALSE)</f>
        <v>Йогурт</v>
      </c>
      <c r="J926" s="22">
        <f t="shared" si="56"/>
        <v>263.25423728813558</v>
      </c>
      <c r="K926" s="24">
        <f t="shared" si="57"/>
        <v>0.10159670357970652</v>
      </c>
      <c r="L926" t="str">
        <f>VLOOKUP(B926,товар!$A$1:$C$433,3,FALSE)</f>
        <v>Активиа</v>
      </c>
      <c r="M926" s="24">
        <f t="shared" si="58"/>
        <v>-1.2485811577752637E-2</v>
      </c>
      <c r="N926" s="29">
        <f t="shared" si="59"/>
        <v>293.66666666666669</v>
      </c>
      <c r="O926" s="32">
        <f>VLOOKUP(H926,клиенты!$A$2:$G$435,5,FALSE)</f>
        <v>44821</v>
      </c>
      <c r="P926">
        <f>Продажи[[#This Row],[дата создания чека]]-Продажи[[#This Row],[Дата регистрации клиента]]</f>
        <v>238</v>
      </c>
      <c r="Q926" t="str">
        <f>VLOOKUP(H926,Таблица3[],7,FALSE)</f>
        <v>Россия</v>
      </c>
    </row>
    <row r="927" spans="1:17" x14ac:dyDescent="0.3">
      <c r="A927">
        <v>926</v>
      </c>
      <c r="B927">
        <v>222</v>
      </c>
      <c r="C927">
        <v>168</v>
      </c>
      <c r="D927">
        <v>3</v>
      </c>
      <c r="E927">
        <v>504</v>
      </c>
      <c r="F927" s="32">
        <v>45313</v>
      </c>
      <c r="G927" t="s">
        <v>21</v>
      </c>
      <c r="H927">
        <v>79</v>
      </c>
      <c r="I927" t="str">
        <f>VLOOKUP(B927,товар!$A$1:$C$433,2,FALSE)</f>
        <v>Молоко</v>
      </c>
      <c r="J927" s="22">
        <f t="shared" si="56"/>
        <v>294.95238095238096</v>
      </c>
      <c r="K927" s="24">
        <f t="shared" si="57"/>
        <v>-0.43041653212786568</v>
      </c>
      <c r="L927" t="str">
        <f>VLOOKUP(B927,товар!$A$1:$C$433,3,FALSE)</f>
        <v>Простоквашино</v>
      </c>
      <c r="M927" s="24">
        <f t="shared" si="58"/>
        <v>-0.47305389221556882</v>
      </c>
      <c r="N927" s="29">
        <f t="shared" si="59"/>
        <v>318.81818181818181</v>
      </c>
      <c r="O927" s="32">
        <f>VLOOKUP(H927,клиенты!$A$2:$G$435,5,FALSE)</f>
        <v>44716</v>
      </c>
      <c r="P927">
        <f>Продажи[[#This Row],[дата создания чека]]-Продажи[[#This Row],[Дата регистрации клиента]]</f>
        <v>597</v>
      </c>
      <c r="Q927" t="str">
        <f>VLOOKUP(H927,Таблица3[],7,FALSE)</f>
        <v>Таджикистан</v>
      </c>
    </row>
    <row r="928" spans="1:17" x14ac:dyDescent="0.3">
      <c r="A928">
        <v>927</v>
      </c>
      <c r="B928">
        <v>210</v>
      </c>
      <c r="C928">
        <v>374</v>
      </c>
      <c r="D928">
        <v>2</v>
      </c>
      <c r="E928">
        <v>748</v>
      </c>
      <c r="F928" s="32">
        <v>45052</v>
      </c>
      <c r="G928" t="s">
        <v>16</v>
      </c>
      <c r="H928">
        <v>209</v>
      </c>
      <c r="I928" t="str">
        <f>VLOOKUP(B928,товар!$A$1:$C$433,2,FALSE)</f>
        <v>Колбаса</v>
      </c>
      <c r="J928" s="22">
        <f t="shared" si="56"/>
        <v>286.92307692307691</v>
      </c>
      <c r="K928" s="24">
        <f t="shared" si="57"/>
        <v>0.30348525469168908</v>
      </c>
      <c r="L928" t="str">
        <f>VLOOKUP(B928,товар!$A$1:$C$433,3,FALSE)</f>
        <v>Окраина</v>
      </c>
      <c r="M928" s="24">
        <f t="shared" si="58"/>
        <v>0.36704233932378938</v>
      </c>
      <c r="N928" s="29">
        <f t="shared" si="59"/>
        <v>273.58333333333331</v>
      </c>
      <c r="O928" s="32">
        <f>VLOOKUP(H928,клиенты!$A$2:$G$435,5,FALSE)</f>
        <v>44628</v>
      </c>
      <c r="P928">
        <f>Продажи[[#This Row],[дата создания чека]]-Продажи[[#This Row],[Дата регистрации клиента]]</f>
        <v>424</v>
      </c>
      <c r="Q928" t="str">
        <f>VLOOKUP(H928,Таблица3[],7,FALSE)</f>
        <v>Россия</v>
      </c>
    </row>
    <row r="929" spans="1:17" x14ac:dyDescent="0.3">
      <c r="A929">
        <v>928</v>
      </c>
      <c r="B929">
        <v>399</v>
      </c>
      <c r="C929">
        <v>67</v>
      </c>
      <c r="D929">
        <v>2</v>
      </c>
      <c r="E929">
        <v>134</v>
      </c>
      <c r="F929" s="32">
        <v>44951</v>
      </c>
      <c r="G929" t="s">
        <v>26</v>
      </c>
      <c r="H929">
        <v>451</v>
      </c>
      <c r="I929" t="str">
        <f>VLOOKUP(B929,товар!$A$1:$C$433,2,FALSE)</f>
        <v>Хлеб</v>
      </c>
      <c r="J929" s="22">
        <f t="shared" si="56"/>
        <v>300.31818181818181</v>
      </c>
      <c r="K929" s="24">
        <f t="shared" si="57"/>
        <v>-0.77690328439533829</v>
      </c>
      <c r="L929" t="str">
        <f>VLOOKUP(B929,товар!$A$1:$C$433,3,FALSE)</f>
        <v>Хлебный Дом</v>
      </c>
      <c r="M929" s="24">
        <f t="shared" si="58"/>
        <v>-0.76218646474207286</v>
      </c>
      <c r="N929" s="29">
        <f t="shared" si="59"/>
        <v>281.73333333333335</v>
      </c>
      <c r="O929" s="32">
        <f>VLOOKUP(H929,клиенты!$A$2:$G$435,5,FALSE)</f>
        <v>44584</v>
      </c>
      <c r="P929">
        <f>Продажи[[#This Row],[дата создания чека]]-Продажи[[#This Row],[Дата регистрации клиента]]</f>
        <v>367</v>
      </c>
      <c r="Q929" t="str">
        <f>VLOOKUP(H929,Таблица3[],7,FALSE)</f>
        <v>Россия</v>
      </c>
    </row>
    <row r="930" spans="1:17" x14ac:dyDescent="0.3">
      <c r="A930">
        <v>929</v>
      </c>
      <c r="B930">
        <v>498</v>
      </c>
      <c r="C930">
        <v>244</v>
      </c>
      <c r="D930">
        <v>2</v>
      </c>
      <c r="E930">
        <v>488</v>
      </c>
      <c r="F930" s="32">
        <v>45238</v>
      </c>
      <c r="G930" t="s">
        <v>11</v>
      </c>
      <c r="H930">
        <v>49</v>
      </c>
      <c r="I930" t="str">
        <f>VLOOKUP(B930,товар!$A$1:$C$433,2,FALSE)</f>
        <v>Молоко</v>
      </c>
      <c r="J930" s="22">
        <f t="shared" si="56"/>
        <v>294.95238095238096</v>
      </c>
      <c r="K930" s="24">
        <f t="shared" si="57"/>
        <v>-0.17274782047142401</v>
      </c>
      <c r="L930" t="str">
        <f>VLOOKUP(B930,товар!$A$1:$C$433,3,FALSE)</f>
        <v>Домик в деревне</v>
      </c>
      <c r="M930" s="24">
        <f t="shared" si="58"/>
        <v>-0.11200970481196926</v>
      </c>
      <c r="N930" s="29">
        <f t="shared" si="59"/>
        <v>274.77777777777777</v>
      </c>
      <c r="O930" s="32">
        <f>VLOOKUP(H930,клиенты!$A$2:$G$435,5,FALSE)</f>
        <v>44672</v>
      </c>
      <c r="P930">
        <f>Продажи[[#This Row],[дата создания чека]]-Продажи[[#This Row],[Дата регистрации клиента]]</f>
        <v>566</v>
      </c>
      <c r="Q930" t="str">
        <f>VLOOKUP(H930,Таблица3[],7,FALSE)</f>
        <v>Таджикистан</v>
      </c>
    </row>
    <row r="931" spans="1:17" x14ac:dyDescent="0.3">
      <c r="A931">
        <v>930</v>
      </c>
      <c r="B931">
        <v>170</v>
      </c>
      <c r="C931">
        <v>312</v>
      </c>
      <c r="D931">
        <v>1</v>
      </c>
      <c r="E931">
        <v>312</v>
      </c>
      <c r="F931" s="32">
        <v>45072</v>
      </c>
      <c r="G931" t="s">
        <v>19</v>
      </c>
      <c r="H931">
        <v>162</v>
      </c>
      <c r="I931" t="str">
        <f>VLOOKUP(B931,товар!$A$1:$C$433,2,FALSE)</f>
        <v>Конфеты</v>
      </c>
      <c r="J931" s="22">
        <f t="shared" si="56"/>
        <v>267.85483870967744</v>
      </c>
      <c r="K931" s="24">
        <f t="shared" si="57"/>
        <v>0.16481001987113864</v>
      </c>
      <c r="L931" t="str">
        <f>VLOOKUP(B931,товар!$A$1:$C$433,3,FALSE)</f>
        <v>Славянка</v>
      </c>
      <c r="M931" s="24">
        <f t="shared" si="58"/>
        <v>0.16417910447761197</v>
      </c>
      <c r="N931" s="29">
        <f t="shared" si="59"/>
        <v>268</v>
      </c>
      <c r="O931" s="32">
        <f>VLOOKUP(H931,клиенты!$A$2:$G$435,5,FALSE)</f>
        <v>44639</v>
      </c>
      <c r="P931">
        <f>Продажи[[#This Row],[дата создания чека]]-Продажи[[#This Row],[Дата регистрации клиента]]</f>
        <v>433</v>
      </c>
      <c r="Q931" t="str">
        <f>VLOOKUP(H931,Таблица3[],7,FALSE)</f>
        <v>Таджикистан</v>
      </c>
    </row>
    <row r="932" spans="1:17" x14ac:dyDescent="0.3">
      <c r="A932">
        <v>931</v>
      </c>
      <c r="B932">
        <v>205</v>
      </c>
      <c r="C932">
        <v>212</v>
      </c>
      <c r="D932">
        <v>4</v>
      </c>
      <c r="E932">
        <v>848</v>
      </c>
      <c r="F932" s="32">
        <v>45020</v>
      </c>
      <c r="G932" t="s">
        <v>17</v>
      </c>
      <c r="H932">
        <v>414</v>
      </c>
      <c r="I932" t="str">
        <f>VLOOKUP(B932,товар!$A$1:$C$433,2,FALSE)</f>
        <v>Макароны</v>
      </c>
      <c r="J932" s="22">
        <f t="shared" si="56"/>
        <v>265.47674418604652</v>
      </c>
      <c r="K932" s="24">
        <f t="shared" si="57"/>
        <v>-0.20143664316061494</v>
      </c>
      <c r="L932" t="str">
        <f>VLOOKUP(B932,товар!$A$1:$C$433,3,FALSE)</f>
        <v>Борилла</v>
      </c>
      <c r="M932" s="24">
        <f t="shared" si="58"/>
        <v>-0.10274372446001168</v>
      </c>
      <c r="N932" s="29">
        <f t="shared" si="59"/>
        <v>236.27586206896552</v>
      </c>
      <c r="O932" s="32">
        <f>VLOOKUP(H932,клиенты!$A$2:$G$435,5,FALSE)</f>
        <v>44794</v>
      </c>
      <c r="P932">
        <f>Продажи[[#This Row],[дата создания чека]]-Продажи[[#This Row],[Дата регистрации клиента]]</f>
        <v>226</v>
      </c>
      <c r="Q932" t="str">
        <f>VLOOKUP(H932,Таблица3[],7,FALSE)</f>
        <v>Беларусь</v>
      </c>
    </row>
    <row r="933" spans="1:17" x14ac:dyDescent="0.3">
      <c r="A933">
        <v>932</v>
      </c>
      <c r="B933">
        <v>188</v>
      </c>
      <c r="C933">
        <v>233</v>
      </c>
      <c r="D933">
        <v>2</v>
      </c>
      <c r="E933">
        <v>466</v>
      </c>
      <c r="F933" s="32">
        <v>45214</v>
      </c>
      <c r="G933" t="s">
        <v>18</v>
      </c>
      <c r="H933">
        <v>445</v>
      </c>
      <c r="I933" t="str">
        <f>VLOOKUP(B933,товар!$A$1:$C$433,2,FALSE)</f>
        <v>Молоко</v>
      </c>
      <c r="J933" s="22">
        <f t="shared" si="56"/>
        <v>294.95238095238096</v>
      </c>
      <c r="K933" s="24">
        <f t="shared" si="57"/>
        <v>-0.21004197610590902</v>
      </c>
      <c r="L933" t="str">
        <f>VLOOKUP(B933,товар!$A$1:$C$433,3,FALSE)</f>
        <v>Вимм-Билль-Данн</v>
      </c>
      <c r="M933" s="24">
        <f t="shared" si="58"/>
        <v>0.20413436692506459</v>
      </c>
      <c r="N933" s="29">
        <f t="shared" si="59"/>
        <v>193.5</v>
      </c>
      <c r="O933" s="32">
        <f>VLOOKUP(H933,клиенты!$A$2:$G$435,5,FALSE)</f>
        <v>44676</v>
      </c>
      <c r="P933">
        <f>Продажи[[#This Row],[дата создания чека]]-Продажи[[#This Row],[Дата регистрации клиента]]</f>
        <v>538</v>
      </c>
      <c r="Q933" t="str">
        <f>VLOOKUP(H933,Таблица3[],7,FALSE)</f>
        <v>Россия</v>
      </c>
    </row>
    <row r="934" spans="1:17" x14ac:dyDescent="0.3">
      <c r="A934">
        <v>933</v>
      </c>
      <c r="B934">
        <v>246</v>
      </c>
      <c r="C934">
        <v>400</v>
      </c>
      <c r="D934">
        <v>4</v>
      </c>
      <c r="E934">
        <v>1600</v>
      </c>
      <c r="F934" s="32">
        <v>45376</v>
      </c>
      <c r="G934" t="s">
        <v>23</v>
      </c>
      <c r="H934">
        <v>191</v>
      </c>
      <c r="I934" t="str">
        <f>VLOOKUP(B934,товар!$A$1:$C$433,2,FALSE)</f>
        <v>Сыр</v>
      </c>
      <c r="J934" s="22">
        <f t="shared" si="56"/>
        <v>262.63492063492066</v>
      </c>
      <c r="K934" s="24">
        <f t="shared" si="57"/>
        <v>0.52302671340505236</v>
      </c>
      <c r="L934" t="str">
        <f>VLOOKUP(B934,товар!$A$1:$C$433,3,FALSE)</f>
        <v>President</v>
      </c>
      <c r="M934" s="24">
        <f t="shared" si="58"/>
        <v>0.67558761926925759</v>
      </c>
      <c r="N934" s="29">
        <f t="shared" si="59"/>
        <v>238.72222222222223</v>
      </c>
      <c r="O934" s="32">
        <f>VLOOKUP(H934,клиенты!$A$2:$G$435,5,FALSE)</f>
        <v>44866</v>
      </c>
      <c r="P934">
        <f>Продажи[[#This Row],[дата создания чека]]-Продажи[[#This Row],[Дата регистрации клиента]]</f>
        <v>510</v>
      </c>
      <c r="Q934" t="str">
        <f>VLOOKUP(H934,Таблица3[],7,FALSE)</f>
        <v>Украина</v>
      </c>
    </row>
    <row r="935" spans="1:17" x14ac:dyDescent="0.3">
      <c r="A935">
        <v>934</v>
      </c>
      <c r="B935">
        <v>187</v>
      </c>
      <c r="C935">
        <v>168</v>
      </c>
      <c r="D935">
        <v>3</v>
      </c>
      <c r="E935">
        <v>504</v>
      </c>
      <c r="F935" s="32">
        <v>44946</v>
      </c>
      <c r="G935" t="s">
        <v>22</v>
      </c>
      <c r="H935">
        <v>126</v>
      </c>
      <c r="I935" t="str">
        <f>VLOOKUP(B935,товар!$A$1:$C$433,2,FALSE)</f>
        <v>Макароны</v>
      </c>
      <c r="J935" s="22">
        <f t="shared" si="56"/>
        <v>265.47674418604652</v>
      </c>
      <c r="K935" s="24">
        <f t="shared" si="57"/>
        <v>-0.36717620778765714</v>
      </c>
      <c r="L935" t="str">
        <f>VLOOKUP(B935,товар!$A$1:$C$433,3,FALSE)</f>
        <v>Паста Зара</v>
      </c>
      <c r="M935" s="24">
        <f t="shared" si="58"/>
        <v>-0.39279085669629776</v>
      </c>
      <c r="N935" s="29">
        <f t="shared" si="59"/>
        <v>276.67567567567568</v>
      </c>
      <c r="O935" s="32">
        <f>VLOOKUP(H935,клиенты!$A$2:$G$435,5,FALSE)</f>
        <v>44822</v>
      </c>
      <c r="P935">
        <f>Продажи[[#This Row],[дата создания чека]]-Продажи[[#This Row],[Дата регистрации клиента]]</f>
        <v>124</v>
      </c>
      <c r="Q935" t="str">
        <f>VLOOKUP(H935,Таблица3[],7,FALSE)</f>
        <v>Узбекистан</v>
      </c>
    </row>
    <row r="936" spans="1:17" x14ac:dyDescent="0.3">
      <c r="A936">
        <v>935</v>
      </c>
      <c r="B936">
        <v>9</v>
      </c>
      <c r="C936">
        <v>321</v>
      </c>
      <c r="D936">
        <v>1</v>
      </c>
      <c r="E936">
        <v>321</v>
      </c>
      <c r="F936" s="32">
        <v>45173</v>
      </c>
      <c r="G936" t="s">
        <v>23</v>
      </c>
      <c r="H936">
        <v>217</v>
      </c>
      <c r="I936" t="str">
        <f>VLOOKUP(B936,товар!$A$1:$C$433,2,FALSE)</f>
        <v>Йогурт</v>
      </c>
      <c r="J936" s="22">
        <f t="shared" si="56"/>
        <v>263.25423728813558</v>
      </c>
      <c r="K936" s="24">
        <f t="shared" si="57"/>
        <v>0.21935359258305431</v>
      </c>
      <c r="L936" t="str">
        <f>VLOOKUP(B936,товар!$A$1:$C$433,3,FALSE)</f>
        <v>Чудо</v>
      </c>
      <c r="M936" s="24">
        <f t="shared" si="58"/>
        <v>0.11807732497387669</v>
      </c>
      <c r="N936" s="29">
        <f t="shared" si="59"/>
        <v>287.10000000000002</v>
      </c>
      <c r="O936" s="32">
        <f>VLOOKUP(H936,клиенты!$A$2:$G$435,5,FALSE)</f>
        <v>44826</v>
      </c>
      <c r="P936">
        <f>Продажи[[#This Row],[дата создания чека]]-Продажи[[#This Row],[Дата регистрации клиента]]</f>
        <v>347</v>
      </c>
      <c r="Q936" t="str">
        <f>VLOOKUP(H936,Таблица3[],7,FALSE)</f>
        <v>Россия</v>
      </c>
    </row>
    <row r="937" spans="1:17" x14ac:dyDescent="0.3">
      <c r="A937">
        <v>936</v>
      </c>
      <c r="B937">
        <v>302</v>
      </c>
      <c r="C937">
        <v>229</v>
      </c>
      <c r="D937">
        <v>5</v>
      </c>
      <c r="E937">
        <v>1145</v>
      </c>
      <c r="F937" s="32">
        <v>45372</v>
      </c>
      <c r="G937" t="s">
        <v>12</v>
      </c>
      <c r="H937">
        <v>42</v>
      </c>
      <c r="I937" t="str">
        <f>VLOOKUP(B937,товар!$A$1:$C$433,2,FALSE)</f>
        <v>Молоко</v>
      </c>
      <c r="J937" s="22">
        <f t="shared" si="56"/>
        <v>294.95238095238096</v>
      </c>
      <c r="K937" s="24">
        <f t="shared" si="57"/>
        <v>-0.22360348724572165</v>
      </c>
      <c r="L937" t="str">
        <f>VLOOKUP(B937,товар!$A$1:$C$433,3,FALSE)</f>
        <v>Домик в деревне</v>
      </c>
      <c r="M937" s="24">
        <f t="shared" si="58"/>
        <v>-0.16659927213910231</v>
      </c>
      <c r="N937" s="29">
        <f t="shared" si="59"/>
        <v>274.77777777777777</v>
      </c>
      <c r="O937" s="32">
        <f>VLOOKUP(H937,клиенты!$A$2:$G$435,5,FALSE)</f>
        <v>44783</v>
      </c>
      <c r="P937">
        <f>Продажи[[#This Row],[дата создания чека]]-Продажи[[#This Row],[Дата регистрации клиента]]</f>
        <v>589</v>
      </c>
      <c r="Q937" t="str">
        <f>VLOOKUP(H937,Таблица3[],7,FALSE)</f>
        <v>Таджикистан</v>
      </c>
    </row>
    <row r="938" spans="1:17" x14ac:dyDescent="0.3">
      <c r="A938">
        <v>937</v>
      </c>
      <c r="B938">
        <v>166</v>
      </c>
      <c r="C938">
        <v>166</v>
      </c>
      <c r="D938">
        <v>5</v>
      </c>
      <c r="E938">
        <v>830</v>
      </c>
      <c r="F938" s="32">
        <v>45252</v>
      </c>
      <c r="G938" t="s">
        <v>12</v>
      </c>
      <c r="H938">
        <v>407</v>
      </c>
      <c r="I938" t="str">
        <f>VLOOKUP(B938,товар!$A$1:$C$433,2,FALSE)</f>
        <v>Сок</v>
      </c>
      <c r="J938" s="22">
        <f t="shared" si="56"/>
        <v>268.60344827586209</v>
      </c>
      <c r="K938" s="24">
        <f t="shared" si="57"/>
        <v>-0.38198857436292455</v>
      </c>
      <c r="L938" t="str">
        <f>VLOOKUP(B938,товар!$A$1:$C$433,3,FALSE)</f>
        <v>Добрый</v>
      </c>
      <c r="M938" s="24">
        <f t="shared" si="58"/>
        <v>-0.31636091351553719</v>
      </c>
      <c r="N938" s="29">
        <f t="shared" si="59"/>
        <v>242.81818181818181</v>
      </c>
      <c r="O938" s="32">
        <f>VLOOKUP(H938,клиенты!$A$2:$G$435,5,FALSE)</f>
        <v>44621</v>
      </c>
      <c r="P938">
        <f>Продажи[[#This Row],[дата создания чека]]-Продажи[[#This Row],[Дата регистрации клиента]]</f>
        <v>631</v>
      </c>
      <c r="Q938" t="str">
        <f>VLOOKUP(H938,Таблица3[],7,FALSE)</f>
        <v>Беларусь</v>
      </c>
    </row>
    <row r="939" spans="1:17" x14ac:dyDescent="0.3">
      <c r="A939">
        <v>938</v>
      </c>
      <c r="B939">
        <v>329</v>
      </c>
      <c r="C939">
        <v>71</v>
      </c>
      <c r="D939">
        <v>2</v>
      </c>
      <c r="E939">
        <v>142</v>
      </c>
      <c r="F939" s="32">
        <v>45138</v>
      </c>
      <c r="G939" t="s">
        <v>12</v>
      </c>
      <c r="H939">
        <v>117</v>
      </c>
      <c r="I939" t="str">
        <f>VLOOKUP(B939,товар!$A$1:$C$433,2,FALSE)</f>
        <v>Соль</v>
      </c>
      <c r="J939" s="22">
        <f t="shared" si="56"/>
        <v>264.8679245283019</v>
      </c>
      <c r="K939" s="24">
        <f t="shared" si="57"/>
        <v>-0.73194187206154726</v>
      </c>
      <c r="L939" t="str">
        <f>VLOOKUP(B939,товар!$A$1:$C$433,3,FALSE)</f>
        <v>Славянская</v>
      </c>
      <c r="M939" s="24">
        <f t="shared" si="58"/>
        <v>-0.7003165670066831</v>
      </c>
      <c r="N939" s="29">
        <f t="shared" si="59"/>
        <v>236.91666666666666</v>
      </c>
      <c r="O939" s="32">
        <f>VLOOKUP(H939,клиенты!$A$2:$G$435,5,FALSE)</f>
        <v>44706</v>
      </c>
      <c r="P939">
        <f>Продажи[[#This Row],[дата создания чека]]-Продажи[[#This Row],[Дата регистрации клиента]]</f>
        <v>432</v>
      </c>
      <c r="Q939" t="str">
        <f>VLOOKUP(H939,Таблица3[],7,FALSE)</f>
        <v>Украина</v>
      </c>
    </row>
    <row r="940" spans="1:17" x14ac:dyDescent="0.3">
      <c r="A940">
        <v>939</v>
      </c>
      <c r="B940">
        <v>35</v>
      </c>
      <c r="C940">
        <v>345</v>
      </c>
      <c r="D940">
        <v>2</v>
      </c>
      <c r="E940">
        <v>690</v>
      </c>
      <c r="F940" s="32">
        <v>45078</v>
      </c>
      <c r="G940" t="s">
        <v>19</v>
      </c>
      <c r="H940">
        <v>91</v>
      </c>
      <c r="I940" t="str">
        <f>VLOOKUP(B940,товар!$A$1:$C$433,2,FALSE)</f>
        <v>Крупа</v>
      </c>
      <c r="J940" s="22">
        <f t="shared" si="56"/>
        <v>255.11627906976744</v>
      </c>
      <c r="K940" s="24">
        <f t="shared" si="57"/>
        <v>0.35232452142206006</v>
      </c>
      <c r="L940" t="str">
        <f>VLOOKUP(B940,товар!$A$1:$C$433,3,FALSE)</f>
        <v>Мистраль</v>
      </c>
      <c r="M940" s="24">
        <f t="shared" si="58"/>
        <v>0.37830362630608483</v>
      </c>
      <c r="N940" s="29">
        <f t="shared" si="59"/>
        <v>250.30769230769232</v>
      </c>
      <c r="O940" s="32">
        <f>VLOOKUP(H940,клиенты!$A$2:$G$435,5,FALSE)</f>
        <v>44687</v>
      </c>
      <c r="P940">
        <f>Продажи[[#This Row],[дата создания чека]]-Продажи[[#This Row],[Дата регистрации клиента]]</f>
        <v>391</v>
      </c>
      <c r="Q940" t="str">
        <f>VLOOKUP(H940,Таблица3[],7,FALSE)</f>
        <v>Россия</v>
      </c>
    </row>
    <row r="941" spans="1:17" x14ac:dyDescent="0.3">
      <c r="A941">
        <v>940</v>
      </c>
      <c r="B941">
        <v>342</v>
      </c>
      <c r="C941">
        <v>259</v>
      </c>
      <c r="D941">
        <v>5</v>
      </c>
      <c r="E941">
        <v>1295</v>
      </c>
      <c r="F941" s="32">
        <v>45349</v>
      </c>
      <c r="G941" t="s">
        <v>17</v>
      </c>
      <c r="H941">
        <v>380</v>
      </c>
      <c r="I941" t="str">
        <f>VLOOKUP(B941,товар!$A$1:$C$433,2,FALSE)</f>
        <v>Овощи</v>
      </c>
      <c r="J941" s="22">
        <f t="shared" si="56"/>
        <v>250.48780487804879</v>
      </c>
      <c r="K941" s="24">
        <f t="shared" si="57"/>
        <v>3.3982473222979426E-2</v>
      </c>
      <c r="L941" t="str">
        <f>VLOOKUP(B941,товар!$A$1:$C$433,3,FALSE)</f>
        <v>Овощной ряд</v>
      </c>
      <c r="M941" s="24">
        <f t="shared" si="58"/>
        <v>-0.14753146176185861</v>
      </c>
      <c r="N941" s="29">
        <f t="shared" si="59"/>
        <v>303.8235294117647</v>
      </c>
      <c r="O941" s="32">
        <f>VLOOKUP(H941,клиенты!$A$2:$G$435,5,FALSE)</f>
        <v>44563</v>
      </c>
      <c r="P941">
        <f>Продажи[[#This Row],[дата создания чека]]-Продажи[[#This Row],[Дата регистрации клиента]]</f>
        <v>786</v>
      </c>
      <c r="Q941" t="str">
        <f>VLOOKUP(H941,Таблица3[],7,FALSE)</f>
        <v>Россия</v>
      </c>
    </row>
    <row r="942" spans="1:17" x14ac:dyDescent="0.3">
      <c r="A942">
        <v>941</v>
      </c>
      <c r="B942">
        <v>44</v>
      </c>
      <c r="C942">
        <v>439</v>
      </c>
      <c r="D942">
        <v>5</v>
      </c>
      <c r="E942">
        <v>2195</v>
      </c>
      <c r="F942" s="32">
        <v>45008</v>
      </c>
      <c r="G942" t="s">
        <v>14</v>
      </c>
      <c r="H942">
        <v>469</v>
      </c>
      <c r="I942" t="str">
        <f>VLOOKUP(B942,товар!$A$1:$C$433,2,FALSE)</f>
        <v>Молоко</v>
      </c>
      <c r="J942" s="22">
        <f t="shared" si="56"/>
        <v>294.95238095238096</v>
      </c>
      <c r="K942" s="24">
        <f t="shared" si="57"/>
        <v>0.48837584759444619</v>
      </c>
      <c r="L942" t="str">
        <f>VLOOKUP(B942,товар!$A$1:$C$433,3,FALSE)</f>
        <v>Беллакт</v>
      </c>
      <c r="M942" s="24">
        <f t="shared" si="58"/>
        <v>0.36104847801578344</v>
      </c>
      <c r="N942" s="29">
        <f t="shared" si="59"/>
        <v>322.54545454545456</v>
      </c>
      <c r="O942" s="32">
        <f>VLOOKUP(H942,клиенты!$A$2:$G$435,5,FALSE)</f>
        <v>44659</v>
      </c>
      <c r="P942">
        <f>Продажи[[#This Row],[дата создания чека]]-Продажи[[#This Row],[Дата регистрации клиента]]</f>
        <v>349</v>
      </c>
      <c r="Q942" t="str">
        <f>VLOOKUP(H942,Таблица3[],7,FALSE)</f>
        <v>Россия</v>
      </c>
    </row>
    <row r="943" spans="1:17" x14ac:dyDescent="0.3">
      <c r="A943">
        <v>942</v>
      </c>
      <c r="B943">
        <v>128</v>
      </c>
      <c r="C943">
        <v>246</v>
      </c>
      <c r="D943">
        <v>4</v>
      </c>
      <c r="E943">
        <v>984</v>
      </c>
      <c r="F943" s="32">
        <v>45310</v>
      </c>
      <c r="G943" t="s">
        <v>10</v>
      </c>
      <c r="H943">
        <v>479</v>
      </c>
      <c r="I943" t="str">
        <f>VLOOKUP(B943,товар!$A$1:$C$433,2,FALSE)</f>
        <v>Мясо</v>
      </c>
      <c r="J943" s="22">
        <f t="shared" si="56"/>
        <v>271.74545454545455</v>
      </c>
      <c r="K943" s="24">
        <f t="shared" si="57"/>
        <v>-9.4741067844239302E-2</v>
      </c>
      <c r="L943" t="str">
        <f>VLOOKUP(B943,товар!$A$1:$C$433,3,FALSE)</f>
        <v>Мираторг</v>
      </c>
      <c r="M943" s="24">
        <f t="shared" si="58"/>
        <v>-0.22295340879178727</v>
      </c>
      <c r="N943" s="29">
        <f t="shared" si="59"/>
        <v>316.58333333333331</v>
      </c>
      <c r="O943" s="32">
        <f>VLOOKUP(H943,клиенты!$A$2:$G$435,5,FALSE)</f>
        <v>44793</v>
      </c>
      <c r="P943">
        <f>Продажи[[#This Row],[дата создания чека]]-Продажи[[#This Row],[Дата регистрации клиента]]</f>
        <v>517</v>
      </c>
      <c r="Q943" t="str">
        <f>VLOOKUP(H943,Таблица3[],7,FALSE)</f>
        <v>Россия</v>
      </c>
    </row>
    <row r="944" spans="1:17" x14ac:dyDescent="0.3">
      <c r="A944">
        <v>943</v>
      </c>
      <c r="B944">
        <v>447</v>
      </c>
      <c r="C944">
        <v>118</v>
      </c>
      <c r="D944">
        <v>3</v>
      </c>
      <c r="E944">
        <v>354</v>
      </c>
      <c r="F944" s="32">
        <v>45337</v>
      </c>
      <c r="G944" t="s">
        <v>16</v>
      </c>
      <c r="H944">
        <v>9</v>
      </c>
      <c r="I944" t="str">
        <f>VLOOKUP(B944,товар!$A$1:$C$433,2,FALSE)</f>
        <v>Йогурт</v>
      </c>
      <c r="J944" s="22">
        <f t="shared" si="56"/>
        <v>263.25423728813558</v>
      </c>
      <c r="K944" s="24">
        <f t="shared" si="57"/>
        <v>-0.55176409992274011</v>
      </c>
      <c r="L944" t="str">
        <f>VLOOKUP(B944,товар!$A$1:$C$433,3,FALSE)</f>
        <v>Эрманн</v>
      </c>
      <c r="M944" s="24">
        <f t="shared" si="58"/>
        <v>-0.52515090543259557</v>
      </c>
      <c r="N944" s="29">
        <f t="shared" si="59"/>
        <v>248.5</v>
      </c>
      <c r="O944" s="32">
        <f>VLOOKUP(H944,клиенты!$A$2:$G$435,5,FALSE)</f>
        <v>44900</v>
      </c>
      <c r="P944">
        <f>Продажи[[#This Row],[дата создания чека]]-Продажи[[#This Row],[Дата регистрации клиента]]</f>
        <v>437</v>
      </c>
      <c r="Q944" t="str">
        <f>VLOOKUP(H944,Таблица3[],7,FALSE)</f>
        <v>Таджикистан</v>
      </c>
    </row>
    <row r="945" spans="1:17" x14ac:dyDescent="0.3">
      <c r="A945">
        <v>944</v>
      </c>
      <c r="B945">
        <v>48</v>
      </c>
      <c r="C945">
        <v>116</v>
      </c>
      <c r="D945">
        <v>5</v>
      </c>
      <c r="E945">
        <v>580</v>
      </c>
      <c r="F945" s="32">
        <v>45034</v>
      </c>
      <c r="G945" t="s">
        <v>25</v>
      </c>
      <c r="H945">
        <v>477</v>
      </c>
      <c r="I945" t="str">
        <f>VLOOKUP(B945,товар!$A$1:$C$433,2,FALSE)</f>
        <v>Фрукты</v>
      </c>
      <c r="J945" s="22">
        <f t="shared" si="56"/>
        <v>274.16279069767444</v>
      </c>
      <c r="K945" s="24">
        <f t="shared" si="57"/>
        <v>-0.57689371447959958</v>
      </c>
      <c r="L945" t="str">
        <f>VLOOKUP(B945,товар!$A$1:$C$433,3,FALSE)</f>
        <v>Фруктовый Рай</v>
      </c>
      <c r="M945" s="24">
        <f t="shared" si="58"/>
        <v>-0.55092316855270995</v>
      </c>
      <c r="N945" s="29">
        <f t="shared" si="59"/>
        <v>258.30769230769232</v>
      </c>
      <c r="O945" s="32">
        <f>VLOOKUP(H945,клиенты!$A$2:$G$435,5,FALSE)</f>
        <v>44738</v>
      </c>
      <c r="P945">
        <f>Продажи[[#This Row],[дата создания чека]]-Продажи[[#This Row],[Дата регистрации клиента]]</f>
        <v>296</v>
      </c>
      <c r="Q945" t="str">
        <f>VLOOKUP(H945,Таблица3[],7,FALSE)</f>
        <v>Узбекистан</v>
      </c>
    </row>
    <row r="946" spans="1:17" x14ac:dyDescent="0.3">
      <c r="A946">
        <v>945</v>
      </c>
      <c r="B946">
        <v>415</v>
      </c>
      <c r="C946">
        <v>307</v>
      </c>
      <c r="D946">
        <v>3</v>
      </c>
      <c r="E946">
        <v>921</v>
      </c>
      <c r="F946" s="32">
        <v>45290</v>
      </c>
      <c r="G946" t="s">
        <v>26</v>
      </c>
      <c r="H946">
        <v>498</v>
      </c>
      <c r="I946" t="str">
        <f>VLOOKUP(B946,товар!$A$1:$C$433,2,FALSE)</f>
        <v>Чипсы</v>
      </c>
      <c r="J946" s="22">
        <f t="shared" si="56"/>
        <v>273.72549019607845</v>
      </c>
      <c r="K946" s="24">
        <f t="shared" si="57"/>
        <v>0.12156160458452714</v>
      </c>
      <c r="L946" t="str">
        <f>VLOOKUP(B946,товар!$A$1:$C$433,3,FALSE)</f>
        <v>Pringles</v>
      </c>
      <c r="M946" s="24">
        <f t="shared" si="58"/>
        <v>9.5497026338147828E-2</v>
      </c>
      <c r="N946" s="29">
        <f t="shared" si="59"/>
        <v>280.23809523809524</v>
      </c>
      <c r="O946" s="32">
        <f>VLOOKUP(H946,клиенты!$A$2:$G$435,5,FALSE)</f>
        <v>44721</v>
      </c>
      <c r="P946">
        <f>Продажи[[#This Row],[дата создания чека]]-Продажи[[#This Row],[Дата регистрации клиента]]</f>
        <v>569</v>
      </c>
      <c r="Q946" t="str">
        <f>VLOOKUP(H946,Таблица3[],7,FALSE)</f>
        <v>Украина</v>
      </c>
    </row>
    <row r="947" spans="1:17" x14ac:dyDescent="0.3">
      <c r="A947">
        <v>946</v>
      </c>
      <c r="B947">
        <v>298</v>
      </c>
      <c r="C947">
        <v>84</v>
      </c>
      <c r="D947">
        <v>5</v>
      </c>
      <c r="E947">
        <v>420</v>
      </c>
      <c r="F947" s="32">
        <v>45335</v>
      </c>
      <c r="G947" t="s">
        <v>10</v>
      </c>
      <c r="H947">
        <v>93</v>
      </c>
      <c r="I947" t="str">
        <f>VLOOKUP(B947,товар!$A$1:$C$433,2,FALSE)</f>
        <v>Крупа</v>
      </c>
      <c r="J947" s="22">
        <f t="shared" si="56"/>
        <v>255.11627906976744</v>
      </c>
      <c r="K947" s="24">
        <f t="shared" si="57"/>
        <v>-0.67073837739288966</v>
      </c>
      <c r="L947" t="str">
        <f>VLOOKUP(B947,товар!$A$1:$C$433,3,FALSE)</f>
        <v>Увелка</v>
      </c>
      <c r="M947" s="24">
        <f t="shared" si="58"/>
        <v>-0.66655640092623214</v>
      </c>
      <c r="N947" s="29">
        <f t="shared" si="59"/>
        <v>251.91666666666666</v>
      </c>
      <c r="O947" s="32">
        <f>VLOOKUP(H947,клиенты!$A$2:$G$435,5,FALSE)</f>
        <v>44905</v>
      </c>
      <c r="P947">
        <f>Продажи[[#This Row],[дата создания чека]]-Продажи[[#This Row],[Дата регистрации клиента]]</f>
        <v>430</v>
      </c>
      <c r="Q947" t="str">
        <f>VLOOKUP(H947,Таблица3[],7,FALSE)</f>
        <v>Украина</v>
      </c>
    </row>
    <row r="948" spans="1:17" x14ac:dyDescent="0.3">
      <c r="A948">
        <v>947</v>
      </c>
      <c r="B948">
        <v>3</v>
      </c>
      <c r="C948">
        <v>180</v>
      </c>
      <c r="D948">
        <v>3</v>
      </c>
      <c r="E948">
        <v>540</v>
      </c>
      <c r="F948" s="32">
        <v>44940</v>
      </c>
      <c r="G948" t="s">
        <v>18</v>
      </c>
      <c r="H948">
        <v>200</v>
      </c>
      <c r="I948" t="str">
        <f>VLOOKUP(B948,товар!$A$1:$C$433,2,FALSE)</f>
        <v>Крупа</v>
      </c>
      <c r="J948" s="22">
        <f t="shared" si="56"/>
        <v>255.11627906976744</v>
      </c>
      <c r="K948" s="24">
        <f t="shared" si="57"/>
        <v>-0.29443938012762083</v>
      </c>
      <c r="L948" t="str">
        <f>VLOOKUP(B948,товар!$A$1:$C$433,3,FALSE)</f>
        <v>Ярмарка</v>
      </c>
      <c r="M948" s="24">
        <f t="shared" si="58"/>
        <v>-0.28597187161918503</v>
      </c>
      <c r="N948" s="29">
        <f t="shared" si="59"/>
        <v>252.09090909090909</v>
      </c>
      <c r="O948" s="32">
        <f>VLOOKUP(H948,клиенты!$A$2:$G$435,5,FALSE)</f>
        <v>44783</v>
      </c>
      <c r="P948">
        <f>Продажи[[#This Row],[дата создания чека]]-Продажи[[#This Row],[Дата регистрации клиента]]</f>
        <v>157</v>
      </c>
      <c r="Q948" t="str">
        <f>VLOOKUP(H948,Таблица3[],7,FALSE)</f>
        <v>Узбекистан</v>
      </c>
    </row>
    <row r="949" spans="1:17" x14ac:dyDescent="0.3">
      <c r="A949">
        <v>948</v>
      </c>
      <c r="B949">
        <v>60</v>
      </c>
      <c r="C949">
        <v>334</v>
      </c>
      <c r="D949">
        <v>1</v>
      </c>
      <c r="E949">
        <v>334</v>
      </c>
      <c r="F949" s="32">
        <v>45196</v>
      </c>
      <c r="G949" t="s">
        <v>25</v>
      </c>
      <c r="H949">
        <v>381</v>
      </c>
      <c r="I949" t="str">
        <f>VLOOKUP(B949,товар!$A$1:$C$433,2,FALSE)</f>
        <v>Кофе</v>
      </c>
      <c r="J949" s="22">
        <f t="shared" si="56"/>
        <v>249.02380952380952</v>
      </c>
      <c r="K949" s="24">
        <f t="shared" si="57"/>
        <v>0.34123721197055179</v>
      </c>
      <c r="L949" t="str">
        <f>VLOOKUP(B949,товар!$A$1:$C$433,3,FALSE)</f>
        <v>Jacobs</v>
      </c>
      <c r="M949" s="24">
        <f t="shared" si="58"/>
        <v>0.20922256097560976</v>
      </c>
      <c r="N949" s="29">
        <f t="shared" si="59"/>
        <v>276.21052631578948</v>
      </c>
      <c r="O949" s="32">
        <f>VLOOKUP(H949,клиенты!$A$2:$G$435,5,FALSE)</f>
        <v>44714</v>
      </c>
      <c r="P949">
        <f>Продажи[[#This Row],[дата создания чека]]-Продажи[[#This Row],[Дата регистрации клиента]]</f>
        <v>482</v>
      </c>
      <c r="Q949" t="str">
        <f>VLOOKUP(H949,Таблица3[],7,FALSE)</f>
        <v>Узбекистан</v>
      </c>
    </row>
    <row r="950" spans="1:17" x14ac:dyDescent="0.3">
      <c r="A950">
        <v>949</v>
      </c>
      <c r="B950">
        <v>59</v>
      </c>
      <c r="C950">
        <v>234</v>
      </c>
      <c r="D950">
        <v>2</v>
      </c>
      <c r="E950">
        <v>468</v>
      </c>
      <c r="F950" s="32">
        <v>45101</v>
      </c>
      <c r="G950" t="s">
        <v>14</v>
      </c>
      <c r="H950">
        <v>18</v>
      </c>
      <c r="I950" t="str">
        <f>VLOOKUP(B950,товар!$A$1:$C$433,2,FALSE)</f>
        <v>Сахар</v>
      </c>
      <c r="J950" s="22">
        <f t="shared" si="56"/>
        <v>252.76271186440678</v>
      </c>
      <c r="K950" s="24">
        <f t="shared" si="57"/>
        <v>-7.4230537115268613E-2</v>
      </c>
      <c r="L950" t="str">
        <f>VLOOKUP(B950,товар!$A$1:$C$433,3,FALSE)</f>
        <v>Продимекс</v>
      </c>
      <c r="M950" s="24">
        <f t="shared" si="58"/>
        <v>-2.7027027027026973E-2</v>
      </c>
      <c r="N950" s="29">
        <f t="shared" si="59"/>
        <v>240.5</v>
      </c>
      <c r="O950" s="32">
        <f>VLOOKUP(H950,клиенты!$A$2:$G$435,5,FALSE)</f>
        <v>44578</v>
      </c>
      <c r="P950">
        <f>Продажи[[#This Row],[дата создания чека]]-Продажи[[#This Row],[Дата регистрации клиента]]</f>
        <v>523</v>
      </c>
      <c r="Q950" t="str">
        <f>VLOOKUP(H950,Таблица3[],7,FALSE)</f>
        <v>Украина</v>
      </c>
    </row>
    <row r="951" spans="1:17" x14ac:dyDescent="0.3">
      <c r="A951">
        <v>950</v>
      </c>
      <c r="B951">
        <v>119</v>
      </c>
      <c r="C951">
        <v>426</v>
      </c>
      <c r="D951">
        <v>1</v>
      </c>
      <c r="E951">
        <v>426</v>
      </c>
      <c r="F951" s="32">
        <v>45094</v>
      </c>
      <c r="G951" t="s">
        <v>15</v>
      </c>
      <c r="H951">
        <v>327</v>
      </c>
      <c r="I951" t="str">
        <f>VLOOKUP(B951,товар!$A$1:$C$433,2,FALSE)</f>
        <v>Печенье</v>
      </c>
      <c r="J951" s="22">
        <f t="shared" si="56"/>
        <v>283.468085106383</v>
      </c>
      <c r="K951" s="24">
        <f t="shared" si="57"/>
        <v>0.50281468137806784</v>
      </c>
      <c r="L951" t="str">
        <f>VLOOKUP(B951,товар!$A$1:$C$433,3,FALSE)</f>
        <v>КДВ</v>
      </c>
      <c r="M951" s="24">
        <f t="shared" si="58"/>
        <v>0.31857142857142851</v>
      </c>
      <c r="N951" s="29">
        <f t="shared" si="59"/>
        <v>323.07692307692309</v>
      </c>
      <c r="O951" s="32">
        <f>VLOOKUP(H951,клиенты!$A$2:$G$435,5,FALSE)</f>
        <v>44565</v>
      </c>
      <c r="P951">
        <f>Продажи[[#This Row],[дата создания чека]]-Продажи[[#This Row],[Дата регистрации клиента]]</f>
        <v>529</v>
      </c>
      <c r="Q951" t="str">
        <f>VLOOKUP(H951,Таблица3[],7,FALSE)</f>
        <v>Таджикистан</v>
      </c>
    </row>
    <row r="952" spans="1:17" x14ac:dyDescent="0.3">
      <c r="A952">
        <v>951</v>
      </c>
      <c r="B952">
        <v>199</v>
      </c>
      <c r="C952">
        <v>494</v>
      </c>
      <c r="D952">
        <v>1</v>
      </c>
      <c r="E952">
        <v>494</v>
      </c>
      <c r="F952" s="32">
        <v>45252</v>
      </c>
      <c r="G952" t="s">
        <v>10</v>
      </c>
      <c r="H952">
        <v>340</v>
      </c>
      <c r="I952" t="str">
        <f>VLOOKUP(B952,товар!$A$1:$C$433,2,FALSE)</f>
        <v>Макароны</v>
      </c>
      <c r="J952" s="22">
        <f t="shared" si="56"/>
        <v>265.47674418604652</v>
      </c>
      <c r="K952" s="24">
        <f t="shared" si="57"/>
        <v>0.86080329376724629</v>
      </c>
      <c r="L952" t="str">
        <f>VLOOKUP(B952,товар!$A$1:$C$433,3,FALSE)</f>
        <v>Борилла</v>
      </c>
      <c r="M952" s="24">
        <f t="shared" si="58"/>
        <v>1.0907764156450672</v>
      </c>
      <c r="N952" s="29">
        <f t="shared" si="59"/>
        <v>236.27586206896552</v>
      </c>
      <c r="O952" s="32">
        <f>VLOOKUP(H952,клиенты!$A$2:$G$435,5,FALSE)</f>
        <v>44896</v>
      </c>
      <c r="P952">
        <f>Продажи[[#This Row],[дата создания чека]]-Продажи[[#This Row],[Дата регистрации клиента]]</f>
        <v>356</v>
      </c>
      <c r="Q952" t="str">
        <f>VLOOKUP(H952,Таблица3[],7,FALSE)</f>
        <v>Россия</v>
      </c>
    </row>
    <row r="953" spans="1:17" x14ac:dyDescent="0.3">
      <c r="A953">
        <v>952</v>
      </c>
      <c r="B953">
        <v>272</v>
      </c>
      <c r="C953">
        <v>353</v>
      </c>
      <c r="D953">
        <v>3</v>
      </c>
      <c r="E953">
        <v>1059</v>
      </c>
      <c r="F953" s="32">
        <v>44989</v>
      </c>
      <c r="G953" t="s">
        <v>23</v>
      </c>
      <c r="H953">
        <v>490</v>
      </c>
      <c r="I953" t="str">
        <f>VLOOKUP(B953,товар!$A$1:$C$433,2,FALSE)</f>
        <v>Крупа</v>
      </c>
      <c r="J953" s="22">
        <f t="shared" si="56"/>
        <v>255.11627906976744</v>
      </c>
      <c r="K953" s="24">
        <f t="shared" si="57"/>
        <v>0.38368277119416594</v>
      </c>
      <c r="L953" t="str">
        <f>VLOOKUP(B953,товар!$A$1:$C$433,3,FALSE)</f>
        <v>Ярмарка</v>
      </c>
      <c r="M953" s="24">
        <f t="shared" si="58"/>
        <v>0.40028849621348717</v>
      </c>
      <c r="N953" s="29">
        <f t="shared" si="59"/>
        <v>252.09090909090909</v>
      </c>
      <c r="O953" s="32">
        <f>VLOOKUP(H953,клиенты!$A$2:$G$435,5,FALSE)</f>
        <v>44603</v>
      </c>
      <c r="P953">
        <f>Продажи[[#This Row],[дата создания чека]]-Продажи[[#This Row],[Дата регистрации клиента]]</f>
        <v>386</v>
      </c>
      <c r="Q953" t="str">
        <f>VLOOKUP(H953,Таблица3[],7,FALSE)</f>
        <v>Россия</v>
      </c>
    </row>
    <row r="954" spans="1:17" x14ac:dyDescent="0.3">
      <c r="A954">
        <v>953</v>
      </c>
      <c r="B954">
        <v>386</v>
      </c>
      <c r="C954">
        <v>288</v>
      </c>
      <c r="D954">
        <v>2</v>
      </c>
      <c r="E954">
        <v>576</v>
      </c>
      <c r="F954" s="32">
        <v>45285</v>
      </c>
      <c r="G954" t="s">
        <v>22</v>
      </c>
      <c r="H954">
        <v>67</v>
      </c>
      <c r="I954" t="str">
        <f>VLOOKUP(B954,товар!$A$1:$C$433,2,FALSE)</f>
        <v>Крупа</v>
      </c>
      <c r="J954" s="22">
        <f t="shared" si="56"/>
        <v>255.11627906976744</v>
      </c>
      <c r="K954" s="24">
        <f t="shared" si="57"/>
        <v>0.12889699179580671</v>
      </c>
      <c r="L954" t="str">
        <f>VLOOKUP(B954,товар!$A$1:$C$433,3,FALSE)</f>
        <v>Увелка</v>
      </c>
      <c r="M954" s="24">
        <f t="shared" si="58"/>
        <v>0.14323519682434682</v>
      </c>
      <c r="N954" s="29">
        <f t="shared" si="59"/>
        <v>251.91666666666666</v>
      </c>
      <c r="O954" s="32">
        <f>VLOOKUP(H954,клиенты!$A$2:$G$435,5,FALSE)</f>
        <v>44731</v>
      </c>
      <c r="P954">
        <f>Продажи[[#This Row],[дата создания чека]]-Продажи[[#This Row],[Дата регистрации клиента]]</f>
        <v>554</v>
      </c>
      <c r="Q954" t="str">
        <f>VLOOKUP(H954,Таблица3[],7,FALSE)</f>
        <v>Узбекистан</v>
      </c>
    </row>
    <row r="955" spans="1:17" x14ac:dyDescent="0.3">
      <c r="A955">
        <v>954</v>
      </c>
      <c r="B955">
        <v>464</v>
      </c>
      <c r="C955">
        <v>430</v>
      </c>
      <c r="D955">
        <v>2</v>
      </c>
      <c r="E955">
        <v>860</v>
      </c>
      <c r="F955" s="32">
        <v>45148</v>
      </c>
      <c r="G955" t="s">
        <v>26</v>
      </c>
      <c r="H955">
        <v>132</v>
      </c>
      <c r="I955" t="str">
        <f>VLOOKUP(B955,товар!$A$1:$C$433,2,FALSE)</f>
        <v>Сыр</v>
      </c>
      <c r="J955" s="22">
        <f t="shared" si="56"/>
        <v>262.63492063492066</v>
      </c>
      <c r="K955" s="24">
        <f t="shared" si="57"/>
        <v>0.63725371691043131</v>
      </c>
      <c r="L955" t="str">
        <f>VLOOKUP(B955,товар!$A$1:$C$433,3,FALSE)</f>
        <v>Сырная долина</v>
      </c>
      <c r="M955" s="24">
        <f t="shared" si="58"/>
        <v>0.58671586715867163</v>
      </c>
      <c r="N955" s="29">
        <f t="shared" si="59"/>
        <v>271</v>
      </c>
      <c r="O955" s="32">
        <f>VLOOKUP(H955,клиенты!$A$2:$G$435,5,FALSE)</f>
        <v>44601</v>
      </c>
      <c r="P955">
        <f>Продажи[[#This Row],[дата создания чека]]-Продажи[[#This Row],[Дата регистрации клиента]]</f>
        <v>547</v>
      </c>
      <c r="Q955" t="str">
        <f>VLOOKUP(H955,Таблица3[],7,FALSE)</f>
        <v>Украина</v>
      </c>
    </row>
    <row r="956" spans="1:17" x14ac:dyDescent="0.3">
      <c r="A956">
        <v>955</v>
      </c>
      <c r="B956">
        <v>494</v>
      </c>
      <c r="C956">
        <v>471</v>
      </c>
      <c r="D956">
        <v>5</v>
      </c>
      <c r="E956">
        <v>2355</v>
      </c>
      <c r="F956" s="32">
        <v>45289</v>
      </c>
      <c r="G956" t="s">
        <v>8</v>
      </c>
      <c r="H956">
        <v>95</v>
      </c>
      <c r="I956" t="str">
        <f>VLOOKUP(B956,товар!$A$1:$C$433,2,FALSE)</f>
        <v>Сыр</v>
      </c>
      <c r="J956" s="22">
        <f t="shared" si="56"/>
        <v>262.63492063492066</v>
      </c>
      <c r="K956" s="24">
        <f t="shared" si="57"/>
        <v>0.79336395503444934</v>
      </c>
      <c r="L956" t="str">
        <f>VLOOKUP(B956,товар!$A$1:$C$433,3,FALSE)</f>
        <v>Сырная долина</v>
      </c>
      <c r="M956" s="24">
        <f t="shared" si="58"/>
        <v>0.73800738007380073</v>
      </c>
      <c r="N956" s="29">
        <f t="shared" si="59"/>
        <v>271</v>
      </c>
      <c r="O956" s="32">
        <f>VLOOKUP(H956,клиенты!$A$2:$G$435,5,FALSE)</f>
        <v>44704</v>
      </c>
      <c r="P956">
        <f>Продажи[[#This Row],[дата создания чека]]-Продажи[[#This Row],[Дата регистрации клиента]]</f>
        <v>585</v>
      </c>
      <c r="Q956" t="str">
        <f>VLOOKUP(H956,Таблица3[],7,FALSE)</f>
        <v>Узбекистан</v>
      </c>
    </row>
    <row r="957" spans="1:17" x14ac:dyDescent="0.3">
      <c r="A957">
        <v>956</v>
      </c>
      <c r="B957">
        <v>242</v>
      </c>
      <c r="C957">
        <v>313</v>
      </c>
      <c r="D957">
        <v>3</v>
      </c>
      <c r="E957">
        <v>939</v>
      </c>
      <c r="F957" s="32">
        <v>45249</v>
      </c>
      <c r="G957" t="s">
        <v>25</v>
      </c>
      <c r="H957">
        <v>75</v>
      </c>
      <c r="I957" t="str">
        <f>VLOOKUP(B957,товар!$A$1:$C$433,2,FALSE)</f>
        <v>Овощи</v>
      </c>
      <c r="J957" s="22">
        <f t="shared" si="56"/>
        <v>250.48780487804879</v>
      </c>
      <c r="K957" s="24">
        <f t="shared" si="57"/>
        <v>0.24956183057448866</v>
      </c>
      <c r="L957" t="str">
        <f>VLOOKUP(B957,товар!$A$1:$C$433,3,FALSE)</f>
        <v>Овощной ряд</v>
      </c>
      <c r="M957" s="24">
        <f t="shared" si="58"/>
        <v>3.0203291384317543E-2</v>
      </c>
      <c r="N957" s="29">
        <f t="shared" si="59"/>
        <v>303.8235294117647</v>
      </c>
      <c r="O957" s="32">
        <f>VLOOKUP(H957,клиенты!$A$2:$G$435,5,FALSE)</f>
        <v>44796</v>
      </c>
      <c r="P957">
        <f>Продажи[[#This Row],[дата создания чека]]-Продажи[[#This Row],[Дата регистрации клиента]]</f>
        <v>453</v>
      </c>
      <c r="Q957" t="str">
        <f>VLOOKUP(H957,Таблица3[],7,FALSE)</f>
        <v>Украина</v>
      </c>
    </row>
    <row r="958" spans="1:17" x14ac:dyDescent="0.3">
      <c r="A958">
        <v>957</v>
      </c>
      <c r="B958">
        <v>434</v>
      </c>
      <c r="C958">
        <v>340</v>
      </c>
      <c r="D958">
        <v>4</v>
      </c>
      <c r="E958">
        <v>1360</v>
      </c>
      <c r="F958" s="32">
        <v>44937</v>
      </c>
      <c r="G958" t="s">
        <v>17</v>
      </c>
      <c r="H958">
        <v>419</v>
      </c>
      <c r="I958" t="str">
        <f>VLOOKUP(B958,товар!$A$1:$C$433,2,FALSE)</f>
        <v>Сыр</v>
      </c>
      <c r="J958" s="22">
        <f t="shared" si="56"/>
        <v>262.63492063492066</v>
      </c>
      <c r="K958" s="24">
        <f t="shared" si="57"/>
        <v>0.29457270639429467</v>
      </c>
      <c r="L958" t="str">
        <f>VLOOKUP(B958,товар!$A$1:$C$433,3,FALSE)</f>
        <v>Сырная долина</v>
      </c>
      <c r="M958" s="24">
        <f t="shared" si="58"/>
        <v>0.25461254612546136</v>
      </c>
      <c r="N958" s="29">
        <f t="shared" si="59"/>
        <v>271</v>
      </c>
      <c r="O958" s="32">
        <f>VLOOKUP(H958,клиенты!$A$2:$G$435,5,FALSE)</f>
        <v>44869</v>
      </c>
      <c r="P958">
        <f>Продажи[[#This Row],[дата создания чека]]-Продажи[[#This Row],[Дата регистрации клиента]]</f>
        <v>68</v>
      </c>
      <c r="Q958" t="str">
        <f>VLOOKUP(H958,Таблица3[],7,FALSE)</f>
        <v>Таджикистан</v>
      </c>
    </row>
    <row r="959" spans="1:17" x14ac:dyDescent="0.3">
      <c r="A959">
        <v>958</v>
      </c>
      <c r="B959">
        <v>110</v>
      </c>
      <c r="C959">
        <v>148</v>
      </c>
      <c r="D959">
        <v>2</v>
      </c>
      <c r="E959">
        <v>296</v>
      </c>
      <c r="F959" s="32">
        <v>44995</v>
      </c>
      <c r="G959" t="s">
        <v>10</v>
      </c>
      <c r="H959">
        <v>42</v>
      </c>
      <c r="I959" t="str">
        <f>VLOOKUP(B959,товар!$A$1:$C$433,2,FALSE)</f>
        <v>Макароны</v>
      </c>
      <c r="J959" s="22">
        <f t="shared" si="56"/>
        <v>265.47674418604652</v>
      </c>
      <c r="K959" s="24">
        <f t="shared" si="57"/>
        <v>-0.44251237352722173</v>
      </c>
      <c r="L959" t="str">
        <f>VLOOKUP(B959,товар!$A$1:$C$433,3,FALSE)</f>
        <v>Паста Зара</v>
      </c>
      <c r="M959" s="24">
        <f t="shared" si="58"/>
        <v>-0.46507765947054802</v>
      </c>
      <c r="N959" s="29">
        <f t="shared" si="59"/>
        <v>276.67567567567568</v>
      </c>
      <c r="O959" s="32">
        <f>VLOOKUP(H959,клиенты!$A$2:$G$435,5,FALSE)</f>
        <v>44783</v>
      </c>
      <c r="P959">
        <f>Продажи[[#This Row],[дата создания чека]]-Продажи[[#This Row],[Дата регистрации клиента]]</f>
        <v>212</v>
      </c>
      <c r="Q959" t="str">
        <f>VLOOKUP(H959,Таблица3[],7,FALSE)</f>
        <v>Таджикистан</v>
      </c>
    </row>
    <row r="960" spans="1:17" x14ac:dyDescent="0.3">
      <c r="A960">
        <v>959</v>
      </c>
      <c r="B960">
        <v>168</v>
      </c>
      <c r="C960">
        <v>391</v>
      </c>
      <c r="D960">
        <v>2</v>
      </c>
      <c r="E960">
        <v>782</v>
      </c>
      <c r="F960" s="32">
        <v>45143</v>
      </c>
      <c r="G960" t="s">
        <v>26</v>
      </c>
      <c r="H960">
        <v>316</v>
      </c>
      <c r="I960" t="str">
        <f>VLOOKUP(B960,товар!$A$1:$C$433,2,FALSE)</f>
        <v>Крупа</v>
      </c>
      <c r="J960" s="22">
        <f t="shared" si="56"/>
        <v>255.11627906976744</v>
      </c>
      <c r="K960" s="24">
        <f t="shared" si="57"/>
        <v>0.53263445761166817</v>
      </c>
      <c r="L960" t="str">
        <f>VLOOKUP(B960,товар!$A$1:$C$433,3,FALSE)</f>
        <v>Ярмарка</v>
      </c>
      <c r="M960" s="24">
        <f t="shared" si="58"/>
        <v>0.55102776776054818</v>
      </c>
      <c r="N960" s="29">
        <f t="shared" si="59"/>
        <v>252.09090909090909</v>
      </c>
      <c r="O960" s="32">
        <f>VLOOKUP(H960,клиенты!$A$2:$G$435,5,FALSE)</f>
        <v>44787</v>
      </c>
      <c r="P960">
        <f>Продажи[[#This Row],[дата создания чека]]-Продажи[[#This Row],[Дата регистрации клиента]]</f>
        <v>356</v>
      </c>
      <c r="Q960" t="str">
        <f>VLOOKUP(H960,Таблица3[],7,FALSE)</f>
        <v>Таджикистан</v>
      </c>
    </row>
    <row r="961" spans="1:17" x14ac:dyDescent="0.3">
      <c r="A961">
        <v>960</v>
      </c>
      <c r="B961">
        <v>13</v>
      </c>
      <c r="C961">
        <v>181</v>
      </c>
      <c r="D961">
        <v>4</v>
      </c>
      <c r="E961">
        <v>724</v>
      </c>
      <c r="F961" s="32">
        <v>45398</v>
      </c>
      <c r="G961" t="s">
        <v>23</v>
      </c>
      <c r="H961">
        <v>117</v>
      </c>
      <c r="I961" t="str">
        <f>VLOOKUP(B961,товар!$A$1:$C$433,2,FALSE)</f>
        <v>Макароны</v>
      </c>
      <c r="J961" s="22">
        <f t="shared" si="56"/>
        <v>265.47674418604652</v>
      </c>
      <c r="K961" s="24">
        <f t="shared" si="57"/>
        <v>-0.3182077000569401</v>
      </c>
      <c r="L961" t="str">
        <f>VLOOKUP(B961,товар!$A$1:$C$433,3,FALSE)</f>
        <v>Паста Зара</v>
      </c>
      <c r="M961" s="24">
        <f t="shared" si="58"/>
        <v>-0.34580443489303503</v>
      </c>
      <c r="N961" s="29">
        <f t="shared" si="59"/>
        <v>276.67567567567568</v>
      </c>
      <c r="O961" s="32">
        <f>VLOOKUP(H961,клиенты!$A$2:$G$435,5,FALSE)</f>
        <v>44706</v>
      </c>
      <c r="P961">
        <f>Продажи[[#This Row],[дата создания чека]]-Продажи[[#This Row],[Дата регистрации клиента]]</f>
        <v>692</v>
      </c>
      <c r="Q961" t="str">
        <f>VLOOKUP(H961,Таблица3[],7,FALSE)</f>
        <v>Украина</v>
      </c>
    </row>
    <row r="962" spans="1:17" x14ac:dyDescent="0.3">
      <c r="A962">
        <v>961</v>
      </c>
      <c r="B962">
        <v>141</v>
      </c>
      <c r="C962">
        <v>279</v>
      </c>
      <c r="D962">
        <v>1</v>
      </c>
      <c r="E962">
        <v>279</v>
      </c>
      <c r="F962" s="32">
        <v>45324</v>
      </c>
      <c r="G962" t="s">
        <v>10</v>
      </c>
      <c r="H962">
        <v>243</v>
      </c>
      <c r="I962" t="str">
        <f>VLOOKUP(B962,товар!$A$1:$C$433,2,FALSE)</f>
        <v>Фрукты</v>
      </c>
      <c r="J962" s="22">
        <f t="shared" ref="J962:J1001" si="60">AVERAGEIF($I$2:$I$1001,I962,$C$2:$C$1001)</f>
        <v>274.16279069767444</v>
      </c>
      <c r="K962" s="24">
        <f t="shared" ref="K962:K1001" si="61">C962/J962-1</f>
        <v>1.7643566036135372E-2</v>
      </c>
      <c r="L962" t="str">
        <f>VLOOKUP(B962,товар!$A$1:$C$433,3,FALSE)</f>
        <v>Фруктовый Рай</v>
      </c>
      <c r="M962" s="24">
        <f t="shared" ref="M962:M1025" si="62">C962/N962-1</f>
        <v>8.0107206670637199E-2</v>
      </c>
      <c r="N962" s="29">
        <f t="shared" ref="N962:N1001" si="63">AVERAGEIFS($C$2:$C$1001,$I$2:$I$1001,I962,$L$2:$L$1001,L962)</f>
        <v>258.30769230769232</v>
      </c>
      <c r="O962" s="32">
        <f>VLOOKUP(H962,клиенты!$A$2:$G$435,5,FALSE)</f>
        <v>44681</v>
      </c>
      <c r="P962">
        <f>Продажи[[#This Row],[дата создания чека]]-Продажи[[#This Row],[Дата регистрации клиента]]</f>
        <v>643</v>
      </c>
      <c r="Q962" t="str">
        <f>VLOOKUP(H962,Таблица3[],7,FALSE)</f>
        <v>Россия</v>
      </c>
    </row>
    <row r="963" spans="1:17" x14ac:dyDescent="0.3">
      <c r="A963">
        <v>962</v>
      </c>
      <c r="B963">
        <v>120</v>
      </c>
      <c r="C963">
        <v>229</v>
      </c>
      <c r="D963">
        <v>5</v>
      </c>
      <c r="E963">
        <v>1145</v>
      </c>
      <c r="F963" s="32">
        <v>44930</v>
      </c>
      <c r="G963" t="s">
        <v>25</v>
      </c>
      <c r="H963">
        <v>6</v>
      </c>
      <c r="I963" t="str">
        <f>VLOOKUP(B963,товар!$A$1:$C$433,2,FALSE)</f>
        <v>Хлеб</v>
      </c>
      <c r="J963" s="22">
        <f t="shared" si="60"/>
        <v>300.31818181818181</v>
      </c>
      <c r="K963" s="24">
        <f t="shared" si="61"/>
        <v>-0.23747540487361884</v>
      </c>
      <c r="L963" t="str">
        <f>VLOOKUP(B963,товар!$A$1:$C$433,3,FALSE)</f>
        <v>Дарница</v>
      </c>
      <c r="M963" s="24">
        <f t="shared" si="62"/>
        <v>-0.13257575757575757</v>
      </c>
      <c r="N963" s="29">
        <f t="shared" si="63"/>
        <v>264</v>
      </c>
      <c r="O963" s="32">
        <f>VLOOKUP(H963,клиенты!$A$2:$G$435,5,FALSE)</f>
        <v>44710</v>
      </c>
      <c r="P963">
        <f>Продажи[[#This Row],[дата создания чека]]-Продажи[[#This Row],[Дата регистрации клиента]]</f>
        <v>220</v>
      </c>
      <c r="Q963" t="str">
        <f>VLOOKUP(H963,Таблица3[],7,FALSE)</f>
        <v>Украина</v>
      </c>
    </row>
    <row r="964" spans="1:17" x14ac:dyDescent="0.3">
      <c r="A964">
        <v>963</v>
      </c>
      <c r="B964">
        <v>316</v>
      </c>
      <c r="C964">
        <v>97</v>
      </c>
      <c r="D964">
        <v>4</v>
      </c>
      <c r="E964">
        <v>388</v>
      </c>
      <c r="F964" s="32">
        <v>44932</v>
      </c>
      <c r="G964" t="s">
        <v>17</v>
      </c>
      <c r="H964">
        <v>283</v>
      </c>
      <c r="I964" t="str">
        <f>VLOOKUP(B964,товар!$A$1:$C$433,2,FALSE)</f>
        <v>Макароны</v>
      </c>
      <c r="J964" s="22">
        <f t="shared" si="60"/>
        <v>265.47674418604652</v>
      </c>
      <c r="K964" s="24">
        <f t="shared" si="61"/>
        <v>-0.63461959616311159</v>
      </c>
      <c r="L964" t="str">
        <f>VLOOKUP(B964,товар!$A$1:$C$433,3,FALSE)</f>
        <v>Борилла</v>
      </c>
      <c r="M964" s="24">
        <f t="shared" si="62"/>
        <v>-0.58946293053123178</v>
      </c>
      <c r="N964" s="29">
        <f t="shared" si="63"/>
        <v>236.27586206896552</v>
      </c>
      <c r="O964" s="32">
        <f>VLOOKUP(H964,клиенты!$A$2:$G$435,5,FALSE)</f>
        <v>44889</v>
      </c>
      <c r="P964">
        <f>Продажи[[#This Row],[дата создания чека]]-Продажи[[#This Row],[Дата регистрации клиента]]</f>
        <v>43</v>
      </c>
      <c r="Q964" t="str">
        <f>VLOOKUP(H964,Таблица3[],7,FALSE)</f>
        <v>Таджикистан</v>
      </c>
    </row>
    <row r="965" spans="1:17" x14ac:dyDescent="0.3">
      <c r="A965">
        <v>964</v>
      </c>
      <c r="B965">
        <v>448</v>
      </c>
      <c r="C965">
        <v>484</v>
      </c>
      <c r="D965">
        <v>1</v>
      </c>
      <c r="E965">
        <v>484</v>
      </c>
      <c r="F965" s="32">
        <v>45301</v>
      </c>
      <c r="G965" t="s">
        <v>10</v>
      </c>
      <c r="H965">
        <v>404</v>
      </c>
      <c r="I965" t="str">
        <f>VLOOKUP(B965,товар!$A$1:$C$433,2,FALSE)</f>
        <v>Йогурт</v>
      </c>
      <c r="J965" s="22">
        <f t="shared" si="60"/>
        <v>263.25423728813558</v>
      </c>
      <c r="K965" s="24">
        <f t="shared" si="61"/>
        <v>0.83852691218130326</v>
      </c>
      <c r="L965" t="str">
        <f>VLOOKUP(B965,товар!$A$1:$C$433,3,FALSE)</f>
        <v>Ростагроэкспорт</v>
      </c>
      <c r="M965" s="24">
        <f t="shared" si="62"/>
        <v>0.87755102040816313</v>
      </c>
      <c r="N965" s="29">
        <f t="shared" si="63"/>
        <v>257.78260869565219</v>
      </c>
      <c r="O965" s="32">
        <f>VLOOKUP(H965,клиенты!$A$2:$G$435,5,FALSE)</f>
        <v>44913</v>
      </c>
      <c r="P965">
        <f>Продажи[[#This Row],[дата создания чека]]-Продажи[[#This Row],[Дата регистрации клиента]]</f>
        <v>388</v>
      </c>
      <c r="Q965" t="str">
        <f>VLOOKUP(H965,Таблица3[],7,FALSE)</f>
        <v>Украина</v>
      </c>
    </row>
    <row r="966" spans="1:17" x14ac:dyDescent="0.3">
      <c r="A966">
        <v>965</v>
      </c>
      <c r="B966">
        <v>143</v>
      </c>
      <c r="C966">
        <v>200</v>
      </c>
      <c r="D966">
        <v>4</v>
      </c>
      <c r="E966">
        <v>800</v>
      </c>
      <c r="F966" s="32">
        <v>45306</v>
      </c>
      <c r="G966" t="s">
        <v>8</v>
      </c>
      <c r="H966">
        <v>379</v>
      </c>
      <c r="I966" t="str">
        <f>VLOOKUP(B966,товар!$A$1:$C$433,2,FALSE)</f>
        <v>Сахар</v>
      </c>
      <c r="J966" s="22">
        <f t="shared" si="60"/>
        <v>252.76271186440678</v>
      </c>
      <c r="K966" s="24">
        <f t="shared" si="61"/>
        <v>-0.20874404881646891</v>
      </c>
      <c r="L966" t="str">
        <f>VLOOKUP(B966,товар!$A$1:$C$433,3,FALSE)</f>
        <v>Агросахар</v>
      </c>
      <c r="M966" s="24">
        <f t="shared" si="62"/>
        <v>-7.3461283917935161E-2</v>
      </c>
      <c r="N966" s="29">
        <f t="shared" si="63"/>
        <v>215.85714285714286</v>
      </c>
      <c r="O966" s="32">
        <f>VLOOKUP(H966,клиенты!$A$2:$G$435,5,FALSE)</f>
        <v>44581</v>
      </c>
      <c r="P966">
        <f>Продажи[[#This Row],[дата создания чека]]-Продажи[[#This Row],[Дата регистрации клиента]]</f>
        <v>725</v>
      </c>
      <c r="Q966" t="str">
        <f>VLOOKUP(H966,Таблица3[],7,FALSE)</f>
        <v>Таджикистан</v>
      </c>
    </row>
    <row r="967" spans="1:17" x14ac:dyDescent="0.3">
      <c r="A967">
        <v>966</v>
      </c>
      <c r="B967">
        <v>168</v>
      </c>
      <c r="C967">
        <v>206</v>
      </c>
      <c r="D967">
        <v>4</v>
      </c>
      <c r="E967">
        <v>824</v>
      </c>
      <c r="F967" s="32">
        <v>45243</v>
      </c>
      <c r="G967" t="s">
        <v>22</v>
      </c>
      <c r="H967">
        <v>136</v>
      </c>
      <c r="I967" t="str">
        <f>VLOOKUP(B967,товар!$A$1:$C$433,2,FALSE)</f>
        <v>Крупа</v>
      </c>
      <c r="J967" s="22">
        <f t="shared" si="60"/>
        <v>255.11627906976744</v>
      </c>
      <c r="K967" s="24">
        <f t="shared" si="61"/>
        <v>-0.1925250683682771</v>
      </c>
      <c r="L967" t="str">
        <f>VLOOKUP(B967,товар!$A$1:$C$433,3,FALSE)</f>
        <v>Ярмарка</v>
      </c>
      <c r="M967" s="24">
        <f t="shared" si="62"/>
        <v>-0.18283447529751173</v>
      </c>
      <c r="N967" s="29">
        <f t="shared" si="63"/>
        <v>252.09090909090909</v>
      </c>
      <c r="O967" s="32">
        <f>VLOOKUP(H967,клиенты!$A$2:$G$435,5,FALSE)</f>
        <v>44860</v>
      </c>
      <c r="P967">
        <f>Продажи[[#This Row],[дата создания чека]]-Продажи[[#This Row],[Дата регистрации клиента]]</f>
        <v>383</v>
      </c>
      <c r="Q967" t="str">
        <f>VLOOKUP(H967,Таблица3[],7,FALSE)</f>
        <v>Украина</v>
      </c>
    </row>
    <row r="968" spans="1:17" x14ac:dyDescent="0.3">
      <c r="A968">
        <v>967</v>
      </c>
      <c r="B968">
        <v>435</v>
      </c>
      <c r="C968">
        <v>116</v>
      </c>
      <c r="D968">
        <v>4</v>
      </c>
      <c r="E968">
        <v>464</v>
      </c>
      <c r="F968" s="32">
        <v>45037</v>
      </c>
      <c r="G968" t="s">
        <v>22</v>
      </c>
      <c r="H968">
        <v>20</v>
      </c>
      <c r="I968" t="str">
        <f>VLOOKUP(B968,товар!$A$1:$C$433,2,FALSE)</f>
        <v>Мясо</v>
      </c>
      <c r="J968" s="22">
        <f t="shared" si="60"/>
        <v>271.74545454545455</v>
      </c>
      <c r="K968" s="24">
        <f t="shared" si="61"/>
        <v>-0.57312993443061688</v>
      </c>
      <c r="L968" t="str">
        <f>VLOOKUP(B968,товар!$A$1:$C$433,3,FALSE)</f>
        <v>Снежана</v>
      </c>
      <c r="M968" s="24">
        <f t="shared" si="62"/>
        <v>-0.57408207343412532</v>
      </c>
      <c r="N968" s="29">
        <f t="shared" si="63"/>
        <v>272.35294117647061</v>
      </c>
      <c r="O968" s="32">
        <f>VLOOKUP(H968,клиенты!$A$2:$G$435,5,FALSE)</f>
        <v>44691</v>
      </c>
      <c r="P968">
        <f>Продажи[[#This Row],[дата создания чека]]-Продажи[[#This Row],[Дата регистрации клиента]]</f>
        <v>346</v>
      </c>
      <c r="Q968" t="str">
        <f>VLOOKUP(H968,Таблица3[],7,FALSE)</f>
        <v>Узбекистан</v>
      </c>
    </row>
    <row r="969" spans="1:17" x14ac:dyDescent="0.3">
      <c r="A969">
        <v>968</v>
      </c>
      <c r="B969">
        <v>375</v>
      </c>
      <c r="C969">
        <v>212</v>
      </c>
      <c r="D969">
        <v>3</v>
      </c>
      <c r="E969">
        <v>636</v>
      </c>
      <c r="F969" s="32">
        <v>45009</v>
      </c>
      <c r="G969" t="s">
        <v>27</v>
      </c>
      <c r="H969">
        <v>369</v>
      </c>
      <c r="I969" t="str">
        <f>VLOOKUP(B969,товар!$A$1:$C$433,2,FALSE)</f>
        <v>Макароны</v>
      </c>
      <c r="J969" s="22">
        <f t="shared" si="60"/>
        <v>265.47674418604652</v>
      </c>
      <c r="K969" s="24">
        <f t="shared" si="61"/>
        <v>-0.20143664316061494</v>
      </c>
      <c r="L969" t="str">
        <f>VLOOKUP(B969,товар!$A$1:$C$433,3,FALSE)</f>
        <v>Борилла</v>
      </c>
      <c r="M969" s="24">
        <f t="shared" si="62"/>
        <v>-0.10274372446001168</v>
      </c>
      <c r="N969" s="29">
        <f t="shared" si="63"/>
        <v>236.27586206896552</v>
      </c>
      <c r="O969" s="32">
        <f>VLOOKUP(H969,клиенты!$A$2:$G$435,5,FALSE)</f>
        <v>44678</v>
      </c>
      <c r="P969">
        <f>Продажи[[#This Row],[дата создания чека]]-Продажи[[#This Row],[Дата регистрации клиента]]</f>
        <v>331</v>
      </c>
      <c r="Q969" t="str">
        <f>VLOOKUP(H969,Таблица3[],7,FALSE)</f>
        <v>Россия</v>
      </c>
    </row>
    <row r="970" spans="1:17" x14ac:dyDescent="0.3">
      <c r="A970">
        <v>969</v>
      </c>
      <c r="B970">
        <v>416</v>
      </c>
      <c r="C970">
        <v>202</v>
      </c>
      <c r="D970">
        <v>4</v>
      </c>
      <c r="E970">
        <v>808</v>
      </c>
      <c r="F970" s="32">
        <v>45285</v>
      </c>
      <c r="G970" t="s">
        <v>11</v>
      </c>
      <c r="H970">
        <v>499</v>
      </c>
      <c r="I970" t="str">
        <f>VLOOKUP(B970,товар!$A$1:$C$433,2,FALSE)</f>
        <v>Рыба</v>
      </c>
      <c r="J970" s="22">
        <f t="shared" si="60"/>
        <v>258.5128205128205</v>
      </c>
      <c r="K970" s="24">
        <f t="shared" si="61"/>
        <v>-0.21860741916286441</v>
      </c>
      <c r="L970" t="str">
        <f>VLOOKUP(B970,товар!$A$1:$C$433,3,FALSE)</f>
        <v>Меридиан</v>
      </c>
      <c r="M970" s="24">
        <f t="shared" si="62"/>
        <v>-0.22500564206725338</v>
      </c>
      <c r="N970" s="29">
        <f t="shared" si="63"/>
        <v>260.64705882352939</v>
      </c>
      <c r="O970" s="32">
        <f>VLOOKUP(H970,клиенты!$A$2:$G$435,5,FALSE)</f>
        <v>44798</v>
      </c>
      <c r="P970">
        <f>Продажи[[#This Row],[дата создания чека]]-Продажи[[#This Row],[Дата регистрации клиента]]</f>
        <v>487</v>
      </c>
      <c r="Q970" t="str">
        <f>VLOOKUP(H970,Таблица3[],7,FALSE)</f>
        <v>Беларусь</v>
      </c>
    </row>
    <row r="971" spans="1:17" x14ac:dyDescent="0.3">
      <c r="A971">
        <v>970</v>
      </c>
      <c r="B971">
        <v>25</v>
      </c>
      <c r="C971">
        <v>332</v>
      </c>
      <c r="D971">
        <v>3</v>
      </c>
      <c r="E971">
        <v>996</v>
      </c>
      <c r="F971" s="32">
        <v>45164</v>
      </c>
      <c r="G971" t="s">
        <v>17</v>
      </c>
      <c r="H971">
        <v>153</v>
      </c>
      <c r="I971" t="str">
        <f>VLOOKUP(B971,товар!$A$1:$C$433,2,FALSE)</f>
        <v>Чипсы</v>
      </c>
      <c r="J971" s="22">
        <f t="shared" si="60"/>
        <v>273.72549019607845</v>
      </c>
      <c r="K971" s="24">
        <f t="shared" si="61"/>
        <v>0.21289398280802274</v>
      </c>
      <c r="L971" t="str">
        <f>VLOOKUP(B971,товар!$A$1:$C$433,3,FALSE)</f>
        <v>Русская картошка</v>
      </c>
      <c r="M971" s="24">
        <f t="shared" si="62"/>
        <v>0.37284631288766357</v>
      </c>
      <c r="N971" s="29">
        <f t="shared" si="63"/>
        <v>241.83333333333334</v>
      </c>
      <c r="O971" s="32">
        <f>VLOOKUP(H971,клиенты!$A$2:$G$435,5,FALSE)</f>
        <v>44802</v>
      </c>
      <c r="P971">
        <f>Продажи[[#This Row],[дата создания чека]]-Продажи[[#This Row],[Дата регистрации клиента]]</f>
        <v>362</v>
      </c>
      <c r="Q971" t="str">
        <f>VLOOKUP(H971,Таблица3[],7,FALSE)</f>
        <v>Россия</v>
      </c>
    </row>
    <row r="972" spans="1:17" x14ac:dyDescent="0.3">
      <c r="A972">
        <v>971</v>
      </c>
      <c r="B972">
        <v>236</v>
      </c>
      <c r="C972">
        <v>420</v>
      </c>
      <c r="D972">
        <v>5</v>
      </c>
      <c r="E972">
        <v>2100</v>
      </c>
      <c r="F972" s="32">
        <v>45260</v>
      </c>
      <c r="G972" t="s">
        <v>18</v>
      </c>
      <c r="H972">
        <v>34</v>
      </c>
      <c r="I972" t="str">
        <f>VLOOKUP(B972,товар!$A$1:$C$433,2,FALSE)</f>
        <v>Печенье</v>
      </c>
      <c r="J972" s="22">
        <f t="shared" si="60"/>
        <v>283.468085106383</v>
      </c>
      <c r="K972" s="24">
        <f t="shared" si="61"/>
        <v>0.48164827741499661</v>
      </c>
      <c r="L972" t="str">
        <f>VLOOKUP(B972,товар!$A$1:$C$433,3,FALSE)</f>
        <v>Посиделкино</v>
      </c>
      <c r="M972" s="24">
        <f t="shared" si="62"/>
        <v>0.30582249858677213</v>
      </c>
      <c r="N972" s="29">
        <f t="shared" si="63"/>
        <v>321.63636363636363</v>
      </c>
      <c r="O972" s="32">
        <f>VLOOKUP(H972,клиенты!$A$2:$G$435,5,FALSE)</f>
        <v>44654</v>
      </c>
      <c r="P972">
        <f>Продажи[[#This Row],[дата создания чека]]-Продажи[[#This Row],[Дата регистрации клиента]]</f>
        <v>606</v>
      </c>
      <c r="Q972" t="str">
        <f>VLOOKUP(H972,Таблица3[],7,FALSE)</f>
        <v>Таджикистан</v>
      </c>
    </row>
    <row r="973" spans="1:17" x14ac:dyDescent="0.3">
      <c r="A973">
        <v>972</v>
      </c>
      <c r="B973">
        <v>418</v>
      </c>
      <c r="C973">
        <v>139</v>
      </c>
      <c r="D973">
        <v>2</v>
      </c>
      <c r="E973">
        <v>278</v>
      </c>
      <c r="F973" s="32">
        <v>45395</v>
      </c>
      <c r="G973" t="s">
        <v>25</v>
      </c>
      <c r="H973">
        <v>337</v>
      </c>
      <c r="I973" t="str">
        <f>VLOOKUP(B973,товар!$A$1:$C$433,2,FALSE)</f>
        <v>Фрукты</v>
      </c>
      <c r="J973" s="22">
        <f t="shared" si="60"/>
        <v>274.16279069767444</v>
      </c>
      <c r="K973" s="24">
        <f t="shared" si="61"/>
        <v>-0.49300195097124444</v>
      </c>
      <c r="L973" t="str">
        <f>VLOOKUP(B973,товар!$A$1:$C$433,3,FALSE)</f>
        <v>Green Garden</v>
      </c>
      <c r="M973" s="24">
        <f t="shared" si="62"/>
        <v>-0.62351029252437695</v>
      </c>
      <c r="N973" s="29">
        <f t="shared" si="63"/>
        <v>369.2</v>
      </c>
      <c r="O973" s="32">
        <f>VLOOKUP(H973,клиенты!$A$2:$G$435,5,FALSE)</f>
        <v>44875</v>
      </c>
      <c r="P973">
        <f>Продажи[[#This Row],[дата создания чека]]-Продажи[[#This Row],[Дата регистрации клиента]]</f>
        <v>520</v>
      </c>
      <c r="Q973" t="str">
        <f>VLOOKUP(H973,Таблица3[],7,FALSE)</f>
        <v>Россия</v>
      </c>
    </row>
    <row r="974" spans="1:17" x14ac:dyDescent="0.3">
      <c r="A974">
        <v>973</v>
      </c>
      <c r="B974">
        <v>141</v>
      </c>
      <c r="C974">
        <v>112</v>
      </c>
      <c r="D974">
        <v>4</v>
      </c>
      <c r="E974">
        <v>448</v>
      </c>
      <c r="F974" s="32">
        <v>45032</v>
      </c>
      <c r="G974" t="s">
        <v>21</v>
      </c>
      <c r="H974">
        <v>200</v>
      </c>
      <c r="I974" t="str">
        <f>VLOOKUP(B974,товар!$A$1:$C$433,2,FALSE)</f>
        <v>Фрукты</v>
      </c>
      <c r="J974" s="22">
        <f t="shared" si="60"/>
        <v>274.16279069767444</v>
      </c>
      <c r="K974" s="24">
        <f t="shared" si="61"/>
        <v>-0.59148358639409615</v>
      </c>
      <c r="L974" t="str">
        <f>VLOOKUP(B974,товар!$A$1:$C$433,3,FALSE)</f>
        <v>Фруктовый Рай</v>
      </c>
      <c r="M974" s="24">
        <f t="shared" si="62"/>
        <v>-0.56640857653365106</v>
      </c>
      <c r="N974" s="29">
        <f t="shared" si="63"/>
        <v>258.30769230769232</v>
      </c>
      <c r="O974" s="32">
        <f>VLOOKUP(H974,клиенты!$A$2:$G$435,5,FALSE)</f>
        <v>44783</v>
      </c>
      <c r="P974">
        <f>Продажи[[#This Row],[дата создания чека]]-Продажи[[#This Row],[Дата регистрации клиента]]</f>
        <v>249</v>
      </c>
      <c r="Q974" t="str">
        <f>VLOOKUP(H974,Таблица3[],7,FALSE)</f>
        <v>Узбекистан</v>
      </c>
    </row>
    <row r="975" spans="1:17" x14ac:dyDescent="0.3">
      <c r="A975">
        <v>974</v>
      </c>
      <c r="B975">
        <v>294</v>
      </c>
      <c r="C975">
        <v>485</v>
      </c>
      <c r="D975">
        <v>3</v>
      </c>
      <c r="E975">
        <v>1455</v>
      </c>
      <c r="F975" s="32">
        <v>45330</v>
      </c>
      <c r="G975" t="s">
        <v>26</v>
      </c>
      <c r="H975">
        <v>8</v>
      </c>
      <c r="I975" t="str">
        <f>VLOOKUP(B975,товар!$A$1:$C$433,2,FALSE)</f>
        <v>Сок</v>
      </c>
      <c r="J975" s="22">
        <f t="shared" si="60"/>
        <v>268.60344827586209</v>
      </c>
      <c r="K975" s="24">
        <f t="shared" si="61"/>
        <v>0.80563579177097355</v>
      </c>
      <c r="L975" t="str">
        <f>VLOOKUP(B975,товар!$A$1:$C$433,3,FALSE)</f>
        <v>Фруктовый сад</v>
      </c>
      <c r="M975" s="24">
        <f t="shared" si="62"/>
        <v>0.72004876426909004</v>
      </c>
      <c r="N975" s="29">
        <f t="shared" si="63"/>
        <v>281.96875</v>
      </c>
      <c r="O975" s="32">
        <f>VLOOKUP(H975,клиенты!$A$2:$G$435,5,FALSE)</f>
        <v>44883</v>
      </c>
      <c r="P975">
        <f>Продажи[[#This Row],[дата создания чека]]-Продажи[[#This Row],[Дата регистрации клиента]]</f>
        <v>447</v>
      </c>
      <c r="Q975" t="str">
        <f>VLOOKUP(H975,Таблица3[],7,FALSE)</f>
        <v>Беларусь</v>
      </c>
    </row>
    <row r="976" spans="1:17" x14ac:dyDescent="0.3">
      <c r="A976">
        <v>975</v>
      </c>
      <c r="B976">
        <v>497</v>
      </c>
      <c r="C976">
        <v>120</v>
      </c>
      <c r="D976">
        <v>1</v>
      </c>
      <c r="E976">
        <v>120</v>
      </c>
      <c r="F976" s="32">
        <v>45284</v>
      </c>
      <c r="G976" t="s">
        <v>22</v>
      </c>
      <c r="H976">
        <v>280</v>
      </c>
      <c r="I976" t="str">
        <f>VLOOKUP(B976,товар!$A$1:$C$433,2,FALSE)</f>
        <v>Конфеты</v>
      </c>
      <c r="J976" s="22">
        <f t="shared" si="60"/>
        <v>267.85483870967744</v>
      </c>
      <c r="K976" s="24">
        <f t="shared" si="61"/>
        <v>-0.5519961462034082</v>
      </c>
      <c r="L976" t="str">
        <f>VLOOKUP(B976,товар!$A$1:$C$433,3,FALSE)</f>
        <v>Бабаевский</v>
      </c>
      <c r="M976" s="24">
        <f t="shared" si="62"/>
        <v>-0.52049726209856439</v>
      </c>
      <c r="N976" s="29">
        <f t="shared" si="63"/>
        <v>250.25925925925927</v>
      </c>
      <c r="O976" s="32">
        <f>VLOOKUP(H976,клиенты!$A$2:$G$435,5,FALSE)</f>
        <v>44563</v>
      </c>
      <c r="P976">
        <f>Продажи[[#This Row],[дата создания чека]]-Продажи[[#This Row],[Дата регистрации клиента]]</f>
        <v>721</v>
      </c>
      <c r="Q976" t="str">
        <f>VLOOKUP(H976,Таблица3[],7,FALSE)</f>
        <v>Россия</v>
      </c>
    </row>
    <row r="977" spans="1:17" x14ac:dyDescent="0.3">
      <c r="A977">
        <v>976</v>
      </c>
      <c r="B977">
        <v>359</v>
      </c>
      <c r="C977">
        <v>359</v>
      </c>
      <c r="D977">
        <v>4</v>
      </c>
      <c r="E977">
        <v>1436</v>
      </c>
      <c r="F977" s="32">
        <v>45382</v>
      </c>
      <c r="G977" t="s">
        <v>13</v>
      </c>
      <c r="H977">
        <v>94</v>
      </c>
      <c r="I977" t="str">
        <f>VLOOKUP(B977,товар!$A$1:$C$433,2,FALSE)</f>
        <v>Мясо</v>
      </c>
      <c r="J977" s="22">
        <f t="shared" si="60"/>
        <v>271.74545454545455</v>
      </c>
      <c r="K977" s="24">
        <f t="shared" si="61"/>
        <v>0.32108925465007365</v>
      </c>
      <c r="L977" t="str">
        <f>VLOOKUP(B977,товар!$A$1:$C$433,3,FALSE)</f>
        <v>Мираторг</v>
      </c>
      <c r="M977" s="24">
        <f t="shared" si="62"/>
        <v>0.13398262700710717</v>
      </c>
      <c r="N977" s="29">
        <f t="shared" si="63"/>
        <v>316.58333333333331</v>
      </c>
      <c r="O977" s="32">
        <f>VLOOKUP(H977,клиенты!$A$2:$G$435,5,FALSE)</f>
        <v>44723</v>
      </c>
      <c r="P977">
        <f>Продажи[[#This Row],[дата создания чека]]-Продажи[[#This Row],[Дата регистрации клиента]]</f>
        <v>659</v>
      </c>
      <c r="Q977" t="str">
        <f>VLOOKUP(H977,Таблица3[],7,FALSE)</f>
        <v>Украина</v>
      </c>
    </row>
    <row r="978" spans="1:17" x14ac:dyDescent="0.3">
      <c r="A978">
        <v>977</v>
      </c>
      <c r="B978">
        <v>175</v>
      </c>
      <c r="C978">
        <v>198</v>
      </c>
      <c r="D978">
        <v>3</v>
      </c>
      <c r="E978">
        <v>594</v>
      </c>
      <c r="F978" s="32">
        <v>45145</v>
      </c>
      <c r="G978" t="s">
        <v>11</v>
      </c>
      <c r="H978">
        <v>331</v>
      </c>
      <c r="I978" t="str">
        <f>VLOOKUP(B978,товар!$A$1:$C$433,2,FALSE)</f>
        <v>Овощи</v>
      </c>
      <c r="J978" s="22">
        <f t="shared" si="60"/>
        <v>250.48780487804879</v>
      </c>
      <c r="K978" s="24">
        <f t="shared" si="61"/>
        <v>-0.2095423563777995</v>
      </c>
      <c r="L978" t="str">
        <f>VLOOKUP(B978,товар!$A$1:$C$433,3,FALSE)</f>
        <v>Семко</v>
      </c>
      <c r="M978" s="24">
        <f t="shared" si="62"/>
        <v>-4.8076923076923128E-2</v>
      </c>
      <c r="N978" s="29">
        <f t="shared" si="63"/>
        <v>208</v>
      </c>
      <c r="O978" s="32">
        <f>VLOOKUP(H978,клиенты!$A$2:$G$435,5,FALSE)</f>
        <v>44813</v>
      </c>
      <c r="P978">
        <f>Продажи[[#This Row],[дата создания чека]]-Продажи[[#This Row],[Дата регистрации клиента]]</f>
        <v>332</v>
      </c>
      <c r="Q978" t="str">
        <f>VLOOKUP(H978,Таблица3[],7,FALSE)</f>
        <v>Узбекистан</v>
      </c>
    </row>
    <row r="979" spans="1:17" x14ac:dyDescent="0.3">
      <c r="A979">
        <v>978</v>
      </c>
      <c r="B979">
        <v>236</v>
      </c>
      <c r="C979">
        <v>363</v>
      </c>
      <c r="D979">
        <v>4</v>
      </c>
      <c r="E979">
        <v>1452</v>
      </c>
      <c r="F979" s="32">
        <v>45168</v>
      </c>
      <c r="G979" t="s">
        <v>9</v>
      </c>
      <c r="H979">
        <v>405</v>
      </c>
      <c r="I979" t="str">
        <f>VLOOKUP(B979,товар!$A$1:$C$433,2,FALSE)</f>
        <v>Печенье</v>
      </c>
      <c r="J979" s="22">
        <f t="shared" si="60"/>
        <v>283.468085106383</v>
      </c>
      <c r="K979" s="24">
        <f t="shared" si="61"/>
        <v>0.28056743976581844</v>
      </c>
      <c r="L979" t="str">
        <f>VLOOKUP(B979,товар!$A$1:$C$433,3,FALSE)</f>
        <v>Посиделкино</v>
      </c>
      <c r="M979" s="24">
        <f t="shared" si="62"/>
        <v>0.12860373092142452</v>
      </c>
      <c r="N979" s="29">
        <f t="shared" si="63"/>
        <v>321.63636363636363</v>
      </c>
      <c r="O979" s="32">
        <f>VLOOKUP(H979,клиенты!$A$2:$G$435,5,FALSE)</f>
        <v>44798</v>
      </c>
      <c r="P979">
        <f>Продажи[[#This Row],[дата создания чека]]-Продажи[[#This Row],[Дата регистрации клиента]]</f>
        <v>370</v>
      </c>
      <c r="Q979" t="str">
        <f>VLOOKUP(H979,Таблица3[],7,FALSE)</f>
        <v>Украина</v>
      </c>
    </row>
    <row r="980" spans="1:17" x14ac:dyDescent="0.3">
      <c r="A980">
        <v>979</v>
      </c>
      <c r="B980">
        <v>195</v>
      </c>
      <c r="C980">
        <v>103</v>
      </c>
      <c r="D980">
        <v>1</v>
      </c>
      <c r="E980">
        <v>103</v>
      </c>
      <c r="F980" s="32">
        <v>44997</v>
      </c>
      <c r="G980" t="s">
        <v>15</v>
      </c>
      <c r="H980">
        <v>42</v>
      </c>
      <c r="I980" t="str">
        <f>VLOOKUP(B980,товар!$A$1:$C$433,2,FALSE)</f>
        <v>Хлеб</v>
      </c>
      <c r="J980" s="22">
        <f t="shared" si="60"/>
        <v>300.31818181818181</v>
      </c>
      <c r="K980" s="24">
        <f t="shared" si="61"/>
        <v>-0.65703042227940056</v>
      </c>
      <c r="L980" t="str">
        <f>VLOOKUP(B980,товар!$A$1:$C$433,3,FALSE)</f>
        <v>Каравай</v>
      </c>
      <c r="M980" s="24">
        <f t="shared" si="62"/>
        <v>-0.68897835933568197</v>
      </c>
      <c r="N980" s="29">
        <f t="shared" si="63"/>
        <v>331.16666666666669</v>
      </c>
      <c r="O980" s="32">
        <f>VLOOKUP(H980,клиенты!$A$2:$G$435,5,FALSE)</f>
        <v>44783</v>
      </c>
      <c r="P980">
        <f>Продажи[[#This Row],[дата создания чека]]-Продажи[[#This Row],[Дата регистрации клиента]]</f>
        <v>214</v>
      </c>
      <c r="Q980" t="str">
        <f>VLOOKUP(H980,Таблица3[],7,FALSE)</f>
        <v>Таджикистан</v>
      </c>
    </row>
    <row r="981" spans="1:17" x14ac:dyDescent="0.3">
      <c r="A981">
        <v>980</v>
      </c>
      <c r="B981">
        <v>364</v>
      </c>
      <c r="C981">
        <v>401</v>
      </c>
      <c r="D981">
        <v>2</v>
      </c>
      <c r="E981">
        <v>802</v>
      </c>
      <c r="F981" s="32">
        <v>45081</v>
      </c>
      <c r="G981" t="s">
        <v>25</v>
      </c>
      <c r="H981">
        <v>271</v>
      </c>
      <c r="I981" t="str">
        <f>VLOOKUP(B981,товар!$A$1:$C$433,2,FALSE)</f>
        <v>Сахар</v>
      </c>
      <c r="J981" s="22">
        <f t="shared" si="60"/>
        <v>252.76271186440678</v>
      </c>
      <c r="K981" s="24">
        <f t="shared" si="61"/>
        <v>0.58646818212298002</v>
      </c>
      <c r="L981" t="str">
        <f>VLOOKUP(B981,товар!$A$1:$C$433,3,FALSE)</f>
        <v>Русский сахар</v>
      </c>
      <c r="M981" s="24">
        <f t="shared" si="62"/>
        <v>0.36668003207698474</v>
      </c>
      <c r="N981" s="29">
        <f t="shared" si="63"/>
        <v>293.41176470588238</v>
      </c>
      <c r="O981" s="32">
        <f>VLOOKUP(H981,клиенты!$A$2:$G$435,5,FALSE)</f>
        <v>44892</v>
      </c>
      <c r="P981">
        <f>Продажи[[#This Row],[дата создания чека]]-Продажи[[#This Row],[Дата регистрации клиента]]</f>
        <v>189</v>
      </c>
      <c r="Q981" t="str">
        <f>VLOOKUP(H981,Таблица3[],7,FALSE)</f>
        <v>Беларусь</v>
      </c>
    </row>
    <row r="982" spans="1:17" x14ac:dyDescent="0.3">
      <c r="A982">
        <v>981</v>
      </c>
      <c r="B982">
        <v>347</v>
      </c>
      <c r="C982">
        <v>139</v>
      </c>
      <c r="D982">
        <v>1</v>
      </c>
      <c r="E982">
        <v>139</v>
      </c>
      <c r="F982" s="32">
        <v>45318</v>
      </c>
      <c r="G982" t="s">
        <v>21</v>
      </c>
      <c r="H982">
        <v>56</v>
      </c>
      <c r="I982" t="str">
        <f>VLOOKUP(B982,товар!$A$1:$C$433,2,FALSE)</f>
        <v>Макароны</v>
      </c>
      <c r="J982" s="22">
        <f t="shared" si="60"/>
        <v>265.47674418604652</v>
      </c>
      <c r="K982" s="24">
        <f t="shared" si="61"/>
        <v>-0.47641364811002584</v>
      </c>
      <c r="L982" t="str">
        <f>VLOOKUP(B982,товар!$A$1:$C$433,3,FALSE)</f>
        <v>Паста Зара</v>
      </c>
      <c r="M982" s="24">
        <f t="shared" si="62"/>
        <v>-0.49760672071896062</v>
      </c>
      <c r="N982" s="29">
        <f t="shared" si="63"/>
        <v>276.67567567567568</v>
      </c>
      <c r="O982" s="32">
        <f>VLOOKUP(H982,клиенты!$A$2:$G$435,5,FALSE)</f>
        <v>44662</v>
      </c>
      <c r="P982">
        <f>Продажи[[#This Row],[дата создания чека]]-Продажи[[#This Row],[Дата регистрации клиента]]</f>
        <v>656</v>
      </c>
      <c r="Q982" t="str">
        <f>VLOOKUP(H982,Таблица3[],7,FALSE)</f>
        <v>Таджикистан</v>
      </c>
    </row>
    <row r="983" spans="1:17" x14ac:dyDescent="0.3">
      <c r="A983">
        <v>982</v>
      </c>
      <c r="B983">
        <v>149</v>
      </c>
      <c r="C983">
        <v>468</v>
      </c>
      <c r="D983">
        <v>1</v>
      </c>
      <c r="E983">
        <v>468</v>
      </c>
      <c r="F983" s="32">
        <v>45377</v>
      </c>
      <c r="G983" t="s">
        <v>10</v>
      </c>
      <c r="H983">
        <v>427</v>
      </c>
      <c r="I983" t="str">
        <f>VLOOKUP(B983,товар!$A$1:$C$433,2,FALSE)</f>
        <v>Конфеты</v>
      </c>
      <c r="J983" s="22">
        <f t="shared" si="60"/>
        <v>267.85483870967744</v>
      </c>
      <c r="K983" s="24">
        <f t="shared" si="61"/>
        <v>0.74721502980670795</v>
      </c>
      <c r="L983" t="str">
        <f>VLOOKUP(B983,товар!$A$1:$C$433,3,FALSE)</f>
        <v>Бабаевский</v>
      </c>
      <c r="M983" s="24">
        <f t="shared" si="62"/>
        <v>0.87006067781559859</v>
      </c>
      <c r="N983" s="29">
        <f t="shared" si="63"/>
        <v>250.25925925925927</v>
      </c>
      <c r="O983" s="32">
        <f>VLOOKUP(H983,клиенты!$A$2:$G$435,5,FALSE)</f>
        <v>44834</v>
      </c>
      <c r="P983">
        <f>Продажи[[#This Row],[дата создания чека]]-Продажи[[#This Row],[Дата регистрации клиента]]</f>
        <v>543</v>
      </c>
      <c r="Q983" t="str">
        <f>VLOOKUP(H983,Таблица3[],7,FALSE)</f>
        <v>Россия</v>
      </c>
    </row>
    <row r="984" spans="1:17" x14ac:dyDescent="0.3">
      <c r="A984">
        <v>983</v>
      </c>
      <c r="B984">
        <v>384</v>
      </c>
      <c r="C984">
        <v>100</v>
      </c>
      <c r="D984">
        <v>4</v>
      </c>
      <c r="E984">
        <v>400</v>
      </c>
      <c r="F984" s="32">
        <v>45318</v>
      </c>
      <c r="G984" t="s">
        <v>11</v>
      </c>
      <c r="H984">
        <v>323</v>
      </c>
      <c r="I984" t="str">
        <f>VLOOKUP(B984,товар!$A$1:$C$433,2,FALSE)</f>
        <v>Сахар</v>
      </c>
      <c r="J984" s="22">
        <f t="shared" si="60"/>
        <v>252.76271186440678</v>
      </c>
      <c r="K984" s="24">
        <f t="shared" si="61"/>
        <v>-0.60437202440823445</v>
      </c>
      <c r="L984" t="str">
        <f>VLOOKUP(B984,товар!$A$1:$C$433,3,FALSE)</f>
        <v>Сладов</v>
      </c>
      <c r="M984" s="24">
        <f t="shared" si="62"/>
        <v>-0.58379578246392905</v>
      </c>
      <c r="N984" s="29">
        <f t="shared" si="63"/>
        <v>240.26666666666668</v>
      </c>
      <c r="O984" s="32">
        <f>VLOOKUP(H984,клиенты!$A$2:$G$435,5,FALSE)</f>
        <v>44821</v>
      </c>
      <c r="P984">
        <f>Продажи[[#This Row],[дата создания чека]]-Продажи[[#This Row],[Дата регистрации клиента]]</f>
        <v>497</v>
      </c>
      <c r="Q984" t="str">
        <f>VLOOKUP(H984,Таблица3[],7,FALSE)</f>
        <v>Таджикистан</v>
      </c>
    </row>
    <row r="985" spans="1:17" x14ac:dyDescent="0.3">
      <c r="A985">
        <v>984</v>
      </c>
      <c r="B985">
        <v>404</v>
      </c>
      <c r="C985">
        <v>304</v>
      </c>
      <c r="D985">
        <v>5</v>
      </c>
      <c r="E985">
        <v>1520</v>
      </c>
      <c r="F985" s="32">
        <v>45288</v>
      </c>
      <c r="G985" t="s">
        <v>11</v>
      </c>
      <c r="H985">
        <v>17</v>
      </c>
      <c r="I985" t="str">
        <f>VLOOKUP(B985,товар!$A$1:$C$433,2,FALSE)</f>
        <v>Йогурт</v>
      </c>
      <c r="J985" s="22">
        <f t="shared" si="60"/>
        <v>263.25423728813558</v>
      </c>
      <c r="K985" s="24">
        <f t="shared" si="61"/>
        <v>0.15477723409734745</v>
      </c>
      <c r="L985" t="str">
        <f>VLOOKUP(B985,товар!$A$1:$C$433,3,FALSE)</f>
        <v>Ростагроэкспорт</v>
      </c>
      <c r="M985" s="24">
        <f t="shared" si="62"/>
        <v>0.17928824422330902</v>
      </c>
      <c r="N985" s="29">
        <f t="shared" si="63"/>
        <v>257.78260869565219</v>
      </c>
      <c r="O985" s="32">
        <f>VLOOKUP(H985,клиенты!$A$2:$G$435,5,FALSE)</f>
        <v>44877</v>
      </c>
      <c r="P985">
        <f>Продажи[[#This Row],[дата создания чека]]-Продажи[[#This Row],[Дата регистрации клиента]]</f>
        <v>411</v>
      </c>
      <c r="Q985" t="str">
        <f>VLOOKUP(H985,Таблица3[],7,FALSE)</f>
        <v>Таджикистан</v>
      </c>
    </row>
    <row r="986" spans="1:17" x14ac:dyDescent="0.3">
      <c r="A986">
        <v>985</v>
      </c>
      <c r="B986">
        <v>469</v>
      </c>
      <c r="C986">
        <v>357</v>
      </c>
      <c r="D986">
        <v>4</v>
      </c>
      <c r="E986">
        <v>1428</v>
      </c>
      <c r="F986" s="32">
        <v>45377</v>
      </c>
      <c r="G986" t="s">
        <v>24</v>
      </c>
      <c r="H986">
        <v>165</v>
      </c>
      <c r="I986" t="str">
        <f>VLOOKUP(B986,товар!$A$1:$C$433,2,FALSE)</f>
        <v>Сахар</v>
      </c>
      <c r="J986" s="22">
        <f t="shared" si="60"/>
        <v>252.76271186440678</v>
      </c>
      <c r="K986" s="24">
        <f t="shared" si="61"/>
        <v>0.41239187286260304</v>
      </c>
      <c r="L986" t="str">
        <f>VLOOKUP(B986,товар!$A$1:$C$433,3,FALSE)</f>
        <v>Сладов</v>
      </c>
      <c r="M986" s="24">
        <f t="shared" si="62"/>
        <v>0.48584905660377342</v>
      </c>
      <c r="N986" s="29">
        <f t="shared" si="63"/>
        <v>240.26666666666668</v>
      </c>
      <c r="O986" s="32">
        <f>VLOOKUP(H986,клиенты!$A$2:$G$435,5,FALSE)</f>
        <v>44599</v>
      </c>
      <c r="P986">
        <f>Продажи[[#This Row],[дата создания чека]]-Продажи[[#This Row],[Дата регистрации клиента]]</f>
        <v>778</v>
      </c>
      <c r="Q986" t="str">
        <f>VLOOKUP(H986,Таблица3[],7,FALSE)</f>
        <v>Таджикистан</v>
      </c>
    </row>
    <row r="987" spans="1:17" x14ac:dyDescent="0.3">
      <c r="A987">
        <v>986</v>
      </c>
      <c r="B987">
        <v>134</v>
      </c>
      <c r="C987">
        <v>89</v>
      </c>
      <c r="D987">
        <v>5</v>
      </c>
      <c r="E987">
        <v>445</v>
      </c>
      <c r="F987" s="32">
        <v>44983</v>
      </c>
      <c r="G987" t="s">
        <v>27</v>
      </c>
      <c r="H987">
        <v>403</v>
      </c>
      <c r="I987" t="str">
        <f>VLOOKUP(B987,товар!$A$1:$C$433,2,FALSE)</f>
        <v>Рыба</v>
      </c>
      <c r="J987" s="22">
        <f t="shared" si="60"/>
        <v>258.5128205128205</v>
      </c>
      <c r="K987" s="24">
        <f t="shared" si="61"/>
        <v>-0.65572307081928183</v>
      </c>
      <c r="L987" t="str">
        <f>VLOOKUP(B987,товар!$A$1:$C$433,3,FALSE)</f>
        <v>Меридиан</v>
      </c>
      <c r="M987" s="24">
        <f t="shared" si="62"/>
        <v>-0.6585420898217107</v>
      </c>
      <c r="N987" s="29">
        <f t="shared" si="63"/>
        <v>260.64705882352939</v>
      </c>
      <c r="O987" s="32">
        <f>VLOOKUP(H987,клиенты!$A$2:$G$435,5,FALSE)</f>
        <v>44594</v>
      </c>
      <c r="P987">
        <f>Продажи[[#This Row],[дата создания чека]]-Продажи[[#This Row],[Дата регистрации клиента]]</f>
        <v>389</v>
      </c>
      <c r="Q987" t="str">
        <f>VLOOKUP(H987,Таблица3[],7,FALSE)</f>
        <v>Россия</v>
      </c>
    </row>
    <row r="988" spans="1:17" x14ac:dyDescent="0.3">
      <c r="A988">
        <v>987</v>
      </c>
      <c r="B988">
        <v>361</v>
      </c>
      <c r="C988">
        <v>283</v>
      </c>
      <c r="D988">
        <v>5</v>
      </c>
      <c r="E988">
        <v>1415</v>
      </c>
      <c r="F988" s="32">
        <v>45133</v>
      </c>
      <c r="G988" t="s">
        <v>8</v>
      </c>
      <c r="H988">
        <v>274</v>
      </c>
      <c r="I988" t="str">
        <f>VLOOKUP(B988,товар!$A$1:$C$433,2,FALSE)</f>
        <v>Мясо</v>
      </c>
      <c r="J988" s="22">
        <f t="shared" si="60"/>
        <v>271.74545454545455</v>
      </c>
      <c r="K988" s="24">
        <f t="shared" si="61"/>
        <v>4.141576341496056E-2</v>
      </c>
      <c r="L988" t="str">
        <f>VLOOKUP(B988,товар!$A$1:$C$433,3,FALSE)</f>
        <v>Сава</v>
      </c>
      <c r="M988" s="24">
        <f t="shared" si="62"/>
        <v>0.32980910425844345</v>
      </c>
      <c r="N988" s="29">
        <f t="shared" si="63"/>
        <v>212.8125</v>
      </c>
      <c r="O988" s="32">
        <f>VLOOKUP(H988,клиенты!$A$2:$G$435,5,FALSE)</f>
        <v>44607</v>
      </c>
      <c r="P988">
        <f>Продажи[[#This Row],[дата создания чека]]-Продажи[[#This Row],[Дата регистрации клиента]]</f>
        <v>526</v>
      </c>
      <c r="Q988" t="str">
        <f>VLOOKUP(H988,Таблица3[],7,FALSE)</f>
        <v>Россия</v>
      </c>
    </row>
    <row r="989" spans="1:17" x14ac:dyDescent="0.3">
      <c r="A989">
        <v>988</v>
      </c>
      <c r="B989">
        <v>110</v>
      </c>
      <c r="C989">
        <v>280</v>
      </c>
      <c r="D989">
        <v>3</v>
      </c>
      <c r="E989">
        <v>840</v>
      </c>
      <c r="F989" s="32">
        <v>45121</v>
      </c>
      <c r="G989" t="s">
        <v>17</v>
      </c>
      <c r="H989">
        <v>61</v>
      </c>
      <c r="I989" t="str">
        <f>VLOOKUP(B989,товар!$A$1:$C$433,2,FALSE)</f>
        <v>Макароны</v>
      </c>
      <c r="J989" s="22">
        <f t="shared" si="60"/>
        <v>265.47674418604652</v>
      </c>
      <c r="K989" s="24">
        <f t="shared" si="61"/>
        <v>5.4706320353904658E-2</v>
      </c>
      <c r="L989" t="str">
        <f>VLOOKUP(B989,товар!$A$1:$C$433,3,FALSE)</f>
        <v>Паста Зара</v>
      </c>
      <c r="M989" s="24">
        <f t="shared" si="62"/>
        <v>1.2015238839503839E-2</v>
      </c>
      <c r="N989" s="29">
        <f t="shared" si="63"/>
        <v>276.67567567567568</v>
      </c>
      <c r="O989" s="32">
        <f>VLOOKUP(H989,клиенты!$A$2:$G$435,5,FALSE)</f>
        <v>44769</v>
      </c>
      <c r="P989">
        <f>Продажи[[#This Row],[дата создания чека]]-Продажи[[#This Row],[Дата регистрации клиента]]</f>
        <v>352</v>
      </c>
      <c r="Q989" t="str">
        <f>VLOOKUP(H989,Таблица3[],7,FALSE)</f>
        <v>Таджикистан</v>
      </c>
    </row>
    <row r="990" spans="1:17" x14ac:dyDescent="0.3">
      <c r="A990">
        <v>989</v>
      </c>
      <c r="B990">
        <v>280</v>
      </c>
      <c r="C990">
        <v>459</v>
      </c>
      <c r="D990">
        <v>4</v>
      </c>
      <c r="E990">
        <v>1836</v>
      </c>
      <c r="F990" s="32">
        <v>45273</v>
      </c>
      <c r="G990" t="s">
        <v>19</v>
      </c>
      <c r="H990">
        <v>262</v>
      </c>
      <c r="I990" t="str">
        <f>VLOOKUP(B990,товар!$A$1:$C$433,2,FALSE)</f>
        <v>Сыр</v>
      </c>
      <c r="J990" s="22">
        <f t="shared" si="60"/>
        <v>262.63492063492066</v>
      </c>
      <c r="K990" s="24">
        <f t="shared" si="61"/>
        <v>0.74767315363229758</v>
      </c>
      <c r="L990" t="str">
        <f>VLOOKUP(B990,товар!$A$1:$C$433,3,FALSE)</f>
        <v>President</v>
      </c>
      <c r="M990" s="24">
        <f t="shared" si="62"/>
        <v>0.92273679311147316</v>
      </c>
      <c r="N990" s="29">
        <f t="shared" si="63"/>
        <v>238.72222222222223</v>
      </c>
      <c r="O990" s="32">
        <f>VLOOKUP(H990,клиенты!$A$2:$G$435,5,FALSE)</f>
        <v>44778</v>
      </c>
      <c r="P990">
        <f>Продажи[[#This Row],[дата создания чека]]-Продажи[[#This Row],[Дата регистрации клиента]]</f>
        <v>495</v>
      </c>
      <c r="Q990" t="str">
        <f>VLOOKUP(H990,Таблица3[],7,FALSE)</f>
        <v>Таджикистан</v>
      </c>
    </row>
    <row r="991" spans="1:17" x14ac:dyDescent="0.3">
      <c r="A991">
        <v>990</v>
      </c>
      <c r="B991">
        <v>43</v>
      </c>
      <c r="C991">
        <v>244</v>
      </c>
      <c r="D991">
        <v>4</v>
      </c>
      <c r="E991">
        <v>976</v>
      </c>
      <c r="F991" s="32">
        <v>45392</v>
      </c>
      <c r="G991" t="s">
        <v>22</v>
      </c>
      <c r="H991">
        <v>323</v>
      </c>
      <c r="I991" t="str">
        <f>VLOOKUP(B991,товар!$A$1:$C$433,2,FALSE)</f>
        <v>Печенье</v>
      </c>
      <c r="J991" s="22">
        <f t="shared" si="60"/>
        <v>283.468085106383</v>
      </c>
      <c r="K991" s="24">
        <f t="shared" si="61"/>
        <v>-0.13923290550176393</v>
      </c>
      <c r="L991" t="str">
        <f>VLOOKUP(B991,товар!$A$1:$C$433,3,FALSE)</f>
        <v>КДВ</v>
      </c>
      <c r="M991" s="24">
        <f t="shared" si="62"/>
        <v>-0.24476190476190485</v>
      </c>
      <c r="N991" s="29">
        <f t="shared" si="63"/>
        <v>323.07692307692309</v>
      </c>
      <c r="O991" s="32">
        <f>VLOOKUP(H991,клиенты!$A$2:$G$435,5,FALSE)</f>
        <v>44821</v>
      </c>
      <c r="P991">
        <f>Продажи[[#This Row],[дата создания чека]]-Продажи[[#This Row],[Дата регистрации клиента]]</f>
        <v>571</v>
      </c>
      <c r="Q991" t="str">
        <f>VLOOKUP(H991,Таблица3[],7,FALSE)</f>
        <v>Таджикистан</v>
      </c>
    </row>
    <row r="992" spans="1:17" x14ac:dyDescent="0.3">
      <c r="A992">
        <v>991</v>
      </c>
      <c r="B992">
        <v>434</v>
      </c>
      <c r="C992">
        <v>299</v>
      </c>
      <c r="D992">
        <v>2</v>
      </c>
      <c r="E992">
        <v>598</v>
      </c>
      <c r="F992" s="32">
        <v>45144</v>
      </c>
      <c r="G992" t="s">
        <v>23</v>
      </c>
      <c r="H992">
        <v>481</v>
      </c>
      <c r="I992" t="str">
        <f>VLOOKUP(B992,товар!$A$1:$C$433,2,FALSE)</f>
        <v>Сыр</v>
      </c>
      <c r="J992" s="22">
        <f t="shared" si="60"/>
        <v>262.63492063492066</v>
      </c>
      <c r="K992" s="24">
        <f t="shared" si="61"/>
        <v>0.13846246827027664</v>
      </c>
      <c r="L992" t="str">
        <f>VLOOKUP(B992,товар!$A$1:$C$433,3,FALSE)</f>
        <v>Сырная долина</v>
      </c>
      <c r="M992" s="24">
        <f t="shared" si="62"/>
        <v>0.10332103321033204</v>
      </c>
      <c r="N992" s="29">
        <f t="shared" si="63"/>
        <v>271</v>
      </c>
      <c r="O992" s="32">
        <f>VLOOKUP(H992,клиенты!$A$2:$G$435,5,FALSE)</f>
        <v>44756</v>
      </c>
      <c r="P992">
        <f>Продажи[[#This Row],[дата создания чека]]-Продажи[[#This Row],[Дата регистрации клиента]]</f>
        <v>388</v>
      </c>
      <c r="Q992" t="str">
        <f>VLOOKUP(H992,Таблица3[],7,FALSE)</f>
        <v>Беларусь</v>
      </c>
    </row>
    <row r="993" spans="1:17" x14ac:dyDescent="0.3">
      <c r="A993">
        <v>992</v>
      </c>
      <c r="B993">
        <v>183</v>
      </c>
      <c r="C993">
        <v>73</v>
      </c>
      <c r="D993">
        <v>5</v>
      </c>
      <c r="E993">
        <v>365</v>
      </c>
      <c r="F993" s="32">
        <v>45317</v>
      </c>
      <c r="G993" t="s">
        <v>21</v>
      </c>
      <c r="H993">
        <v>478</v>
      </c>
      <c r="I993" t="str">
        <f>VLOOKUP(B993,товар!$A$1:$C$433,2,FALSE)</f>
        <v>Конфеты</v>
      </c>
      <c r="J993" s="22">
        <f t="shared" si="60"/>
        <v>267.85483870967744</v>
      </c>
      <c r="K993" s="24">
        <f t="shared" si="61"/>
        <v>-0.72746432227374003</v>
      </c>
      <c r="L993" t="str">
        <f>VLOOKUP(B993,товар!$A$1:$C$433,3,FALSE)</f>
        <v>Бабаевский</v>
      </c>
      <c r="M993" s="24">
        <f t="shared" si="62"/>
        <v>-0.70830250110996007</v>
      </c>
      <c r="N993" s="29">
        <f t="shared" si="63"/>
        <v>250.25925925925927</v>
      </c>
      <c r="O993" s="32">
        <f>VLOOKUP(H993,клиенты!$A$2:$G$435,5,FALSE)</f>
        <v>44726</v>
      </c>
      <c r="P993">
        <f>Продажи[[#This Row],[дата создания чека]]-Продажи[[#This Row],[Дата регистрации клиента]]</f>
        <v>591</v>
      </c>
      <c r="Q993" t="str">
        <f>VLOOKUP(H993,Таблица3[],7,FALSE)</f>
        <v>Украина</v>
      </c>
    </row>
    <row r="994" spans="1:17" x14ac:dyDescent="0.3">
      <c r="A994">
        <v>993</v>
      </c>
      <c r="B994">
        <v>224</v>
      </c>
      <c r="C994">
        <v>421</v>
      </c>
      <c r="D994">
        <v>3</v>
      </c>
      <c r="E994">
        <v>1263</v>
      </c>
      <c r="F994" s="32">
        <v>45093</v>
      </c>
      <c r="G994" t="s">
        <v>19</v>
      </c>
      <c r="H994">
        <v>497</v>
      </c>
      <c r="I994" t="str">
        <f>VLOOKUP(B994,товар!$A$1:$C$433,2,FALSE)</f>
        <v>Чипсы</v>
      </c>
      <c r="J994" s="22">
        <f t="shared" si="60"/>
        <v>273.72549019607845</v>
      </c>
      <c r="K994" s="24">
        <f t="shared" si="61"/>
        <v>0.53803724928366758</v>
      </c>
      <c r="L994" t="str">
        <f>VLOOKUP(B994,товар!$A$1:$C$433,3,FALSE)</f>
        <v>Pringles</v>
      </c>
      <c r="M994" s="24">
        <f t="shared" si="62"/>
        <v>0.50229396771452839</v>
      </c>
      <c r="N994" s="29">
        <f t="shared" si="63"/>
        <v>280.23809523809524</v>
      </c>
      <c r="O994" s="32">
        <f>VLOOKUP(H994,клиенты!$A$2:$G$435,5,FALSE)</f>
        <v>44826</v>
      </c>
      <c r="P994">
        <f>Продажи[[#This Row],[дата создания чека]]-Продажи[[#This Row],[Дата регистрации клиента]]</f>
        <v>267</v>
      </c>
      <c r="Q994" t="str">
        <f>VLOOKUP(H994,Таблица3[],7,FALSE)</f>
        <v>Узбекистан</v>
      </c>
    </row>
    <row r="995" spans="1:17" x14ac:dyDescent="0.3">
      <c r="A995">
        <v>994</v>
      </c>
      <c r="B995">
        <v>235</v>
      </c>
      <c r="C995">
        <v>345</v>
      </c>
      <c r="D995">
        <v>3</v>
      </c>
      <c r="E995">
        <v>1035</v>
      </c>
      <c r="F995" s="32">
        <v>45301</v>
      </c>
      <c r="G995" t="s">
        <v>8</v>
      </c>
      <c r="H995">
        <v>406</v>
      </c>
      <c r="I995" t="str">
        <f>VLOOKUP(B995,товар!$A$1:$C$433,2,FALSE)</f>
        <v>Хлеб</v>
      </c>
      <c r="J995" s="22">
        <f t="shared" si="60"/>
        <v>300.31818181818181</v>
      </c>
      <c r="K995" s="24">
        <f t="shared" si="61"/>
        <v>0.14878159527773582</v>
      </c>
      <c r="L995" t="str">
        <f>VLOOKUP(B995,товар!$A$1:$C$433,3,FALSE)</f>
        <v>Русский Хлеб</v>
      </c>
      <c r="M995" s="24">
        <f t="shared" si="62"/>
        <v>8.970309538850274E-2</v>
      </c>
      <c r="N995" s="29">
        <f t="shared" si="63"/>
        <v>316.60000000000002</v>
      </c>
      <c r="O995" s="32">
        <f>VLOOKUP(H995,клиенты!$A$2:$G$435,5,FALSE)</f>
        <v>44895</v>
      </c>
      <c r="P995">
        <f>Продажи[[#This Row],[дата создания чека]]-Продажи[[#This Row],[Дата регистрации клиента]]</f>
        <v>406</v>
      </c>
      <c r="Q995" t="str">
        <f>VLOOKUP(H995,Таблица3[],7,FALSE)</f>
        <v>Украина</v>
      </c>
    </row>
    <row r="996" spans="1:17" x14ac:dyDescent="0.3">
      <c r="A996">
        <v>995</v>
      </c>
      <c r="B996">
        <v>477</v>
      </c>
      <c r="C996">
        <v>50</v>
      </c>
      <c r="D996">
        <v>1</v>
      </c>
      <c r="E996">
        <v>50</v>
      </c>
      <c r="F996" s="32">
        <v>45145</v>
      </c>
      <c r="G996" t="s">
        <v>15</v>
      </c>
      <c r="H996">
        <v>58</v>
      </c>
      <c r="I996" t="str">
        <f>VLOOKUP(B996,товар!$A$1:$C$433,2,FALSE)</f>
        <v>Макароны</v>
      </c>
      <c r="J996" s="22">
        <f t="shared" si="60"/>
        <v>265.47674418604652</v>
      </c>
      <c r="K996" s="24">
        <f t="shared" si="61"/>
        <v>-0.81165958565108842</v>
      </c>
      <c r="L996" t="str">
        <f>VLOOKUP(B996,товар!$A$1:$C$433,3,FALSE)</f>
        <v>Борилла</v>
      </c>
      <c r="M996" s="24">
        <f t="shared" si="62"/>
        <v>-0.78838295388207824</v>
      </c>
      <c r="N996" s="29">
        <f t="shared" si="63"/>
        <v>236.27586206896552</v>
      </c>
      <c r="O996" s="32">
        <f>VLOOKUP(H996,клиенты!$A$2:$G$435,5,FALSE)</f>
        <v>44628</v>
      </c>
      <c r="P996">
        <f>Продажи[[#This Row],[дата создания чека]]-Продажи[[#This Row],[Дата регистрации клиента]]</f>
        <v>517</v>
      </c>
      <c r="Q996" t="str">
        <f>VLOOKUP(H996,Таблица3[],7,FALSE)</f>
        <v>Беларусь</v>
      </c>
    </row>
    <row r="997" spans="1:17" x14ac:dyDescent="0.3">
      <c r="A997">
        <v>996</v>
      </c>
      <c r="B997">
        <v>242</v>
      </c>
      <c r="C997">
        <v>441</v>
      </c>
      <c r="D997">
        <v>1</v>
      </c>
      <c r="E997">
        <v>441</v>
      </c>
      <c r="F997" s="32">
        <v>44934</v>
      </c>
      <c r="G997" t="s">
        <v>25</v>
      </c>
      <c r="H997">
        <v>312</v>
      </c>
      <c r="I997" t="str">
        <f>VLOOKUP(B997,товар!$A$1:$C$433,2,FALSE)</f>
        <v>Овощи</v>
      </c>
      <c r="J997" s="22">
        <f t="shared" si="60"/>
        <v>250.48780487804879</v>
      </c>
      <c r="K997" s="24">
        <f t="shared" si="61"/>
        <v>0.76056475170399218</v>
      </c>
      <c r="L997" t="str">
        <f>VLOOKUP(B997,товар!$A$1:$C$433,3,FALSE)</f>
        <v>Овощной ряд</v>
      </c>
      <c r="M997" s="24">
        <f t="shared" si="62"/>
        <v>0.45150048402710552</v>
      </c>
      <c r="N997" s="29">
        <f t="shared" si="63"/>
        <v>303.8235294117647</v>
      </c>
      <c r="O997" s="32">
        <f>VLOOKUP(H997,клиенты!$A$2:$G$435,5,FALSE)</f>
        <v>44886</v>
      </c>
      <c r="P997">
        <f>Продажи[[#This Row],[дата создания чека]]-Продажи[[#This Row],[Дата регистрации клиента]]</f>
        <v>48</v>
      </c>
      <c r="Q997" t="str">
        <f>VLOOKUP(H997,Таблица3[],7,FALSE)</f>
        <v>Россия</v>
      </c>
    </row>
    <row r="998" spans="1:17" x14ac:dyDescent="0.3">
      <c r="A998">
        <v>997</v>
      </c>
      <c r="B998">
        <v>423</v>
      </c>
      <c r="C998">
        <v>187</v>
      </c>
      <c r="D998">
        <v>5</v>
      </c>
      <c r="E998">
        <v>935</v>
      </c>
      <c r="F998" s="32">
        <v>45247</v>
      </c>
      <c r="G998" t="s">
        <v>8</v>
      </c>
      <c r="H998">
        <v>136</v>
      </c>
      <c r="I998" t="str">
        <f>VLOOKUP(B998,товар!$A$1:$C$433,2,FALSE)</f>
        <v>Чипсы</v>
      </c>
      <c r="J998" s="22">
        <f t="shared" si="60"/>
        <v>273.72549019607845</v>
      </c>
      <c r="K998" s="24">
        <f t="shared" si="61"/>
        <v>-0.31683381088825224</v>
      </c>
      <c r="L998" t="str">
        <f>VLOOKUP(B998,товар!$A$1:$C$433,3,FALSE)</f>
        <v>Pringles</v>
      </c>
      <c r="M998" s="24">
        <f t="shared" si="62"/>
        <v>-0.33271028037383177</v>
      </c>
      <c r="N998" s="29">
        <f t="shared" si="63"/>
        <v>280.23809523809524</v>
      </c>
      <c r="O998" s="32">
        <f>VLOOKUP(H998,клиенты!$A$2:$G$435,5,FALSE)</f>
        <v>44860</v>
      </c>
      <c r="P998">
        <f>Продажи[[#This Row],[дата создания чека]]-Продажи[[#This Row],[Дата регистрации клиента]]</f>
        <v>387</v>
      </c>
      <c r="Q998" t="str">
        <f>VLOOKUP(H998,Таблица3[],7,FALSE)</f>
        <v>Украина</v>
      </c>
    </row>
    <row r="999" spans="1:17" x14ac:dyDescent="0.3">
      <c r="A999">
        <v>998</v>
      </c>
      <c r="B999">
        <v>414</v>
      </c>
      <c r="C999">
        <v>170</v>
      </c>
      <c r="D999">
        <v>1</v>
      </c>
      <c r="E999">
        <v>170</v>
      </c>
      <c r="F999" s="32">
        <v>45248</v>
      </c>
      <c r="G999" t="s">
        <v>12</v>
      </c>
      <c r="H999">
        <v>328</v>
      </c>
      <c r="I999" t="str">
        <f>VLOOKUP(B999,товар!$A$1:$C$433,2,FALSE)</f>
        <v>Фрукты</v>
      </c>
      <c r="J999" s="22">
        <f t="shared" si="60"/>
        <v>274.16279069767444</v>
      </c>
      <c r="K999" s="24">
        <f t="shared" si="61"/>
        <v>-0.37993044363389605</v>
      </c>
      <c r="L999" t="str">
        <f>VLOOKUP(B999,товар!$A$1:$C$433,3,FALSE)</f>
        <v>Экзотик</v>
      </c>
      <c r="M999" s="24">
        <f t="shared" si="62"/>
        <v>-0.32988420793298845</v>
      </c>
      <c r="N999" s="29">
        <f t="shared" si="63"/>
        <v>253.6875</v>
      </c>
      <c r="O999" s="32">
        <f>VLOOKUP(H999,клиенты!$A$2:$G$435,5,FALSE)</f>
        <v>44568</v>
      </c>
      <c r="P999">
        <f>Продажи[[#This Row],[дата создания чека]]-Продажи[[#This Row],[Дата регистрации клиента]]</f>
        <v>680</v>
      </c>
      <c r="Q999" t="str">
        <f>VLOOKUP(H999,Таблица3[],7,FALSE)</f>
        <v>Россия</v>
      </c>
    </row>
    <row r="1000" spans="1:17" x14ac:dyDescent="0.3">
      <c r="A1000">
        <v>999</v>
      </c>
      <c r="B1000">
        <v>110</v>
      </c>
      <c r="C1000">
        <v>114</v>
      </c>
      <c r="D1000">
        <v>3</v>
      </c>
      <c r="E1000">
        <v>342</v>
      </c>
      <c r="F1000" s="32">
        <v>44990</v>
      </c>
      <c r="G1000" t="s">
        <v>22</v>
      </c>
      <c r="H1000">
        <v>172</v>
      </c>
      <c r="I1000" t="str">
        <f>VLOOKUP(B1000,товар!$A$1:$C$433,2,FALSE)</f>
        <v>Макароны</v>
      </c>
      <c r="J1000" s="22">
        <f t="shared" si="60"/>
        <v>265.47674418604652</v>
      </c>
      <c r="K1000" s="24">
        <f t="shared" si="61"/>
        <v>-0.57058385528448163</v>
      </c>
      <c r="L1000" t="str">
        <f>VLOOKUP(B1000,товар!$A$1:$C$433,3,FALSE)</f>
        <v>Паста Зара</v>
      </c>
      <c r="M1000" s="24">
        <f t="shared" si="62"/>
        <v>-0.58796522418677344</v>
      </c>
      <c r="N1000" s="29">
        <f t="shared" si="63"/>
        <v>276.67567567567568</v>
      </c>
      <c r="O1000" s="32">
        <f>VLOOKUP(H1000,клиенты!$A$2:$G$435,5,FALSE)</f>
        <v>44737</v>
      </c>
      <c r="P1000">
        <f>Продажи[[#This Row],[дата создания чека]]-Продажи[[#This Row],[Дата регистрации клиента]]</f>
        <v>253</v>
      </c>
      <c r="Q1000" t="str">
        <f>VLOOKUP(H1000,Таблица3[],7,FALSE)</f>
        <v>Россия</v>
      </c>
    </row>
    <row r="1001" spans="1:17" x14ac:dyDescent="0.3">
      <c r="A1001">
        <v>1000</v>
      </c>
      <c r="B1001">
        <v>296</v>
      </c>
      <c r="C1001">
        <v>453</v>
      </c>
      <c r="D1001">
        <v>1</v>
      </c>
      <c r="E1001">
        <v>453</v>
      </c>
      <c r="F1001" s="32">
        <v>45265</v>
      </c>
      <c r="G1001" t="s">
        <v>15</v>
      </c>
      <c r="H1001">
        <v>167</v>
      </c>
      <c r="I1001" t="str">
        <f>VLOOKUP(B1001,товар!$A$1:$C$433,2,FALSE)</f>
        <v>Крупа</v>
      </c>
      <c r="J1001" s="22">
        <f t="shared" si="60"/>
        <v>255.11627906976744</v>
      </c>
      <c r="K1001" s="24">
        <f t="shared" si="61"/>
        <v>0.7756608933454876</v>
      </c>
      <c r="L1001" t="str">
        <f>VLOOKUP(B1001,товар!$A$1:$C$433,3,FALSE)</f>
        <v>Мистраль</v>
      </c>
      <c r="M1001" s="24">
        <f t="shared" si="62"/>
        <v>0.80977258758451121</v>
      </c>
      <c r="N1001" s="29">
        <f t="shared" si="63"/>
        <v>250.30769230769232</v>
      </c>
      <c r="O1001" s="32">
        <f>VLOOKUP(H1001,клиенты!$A$2:$G$435,5,FALSE)</f>
        <v>44563</v>
      </c>
      <c r="P1001">
        <f>Продажи[[#This Row],[дата создания чека]]-Продажи[[#This Row],[Дата регистрации клиента]]</f>
        <v>702</v>
      </c>
      <c r="Q1001" t="str">
        <f>VLOOKUP(H1001,Таблица3[],7,FALSE)</f>
        <v>Узбекистан</v>
      </c>
    </row>
  </sheetData>
  <conditionalFormatting sqref="K2:K1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6E96-61BB-4AB7-82C8-CC0ADE8374B0}">
  <dimension ref="A3:B9"/>
  <sheetViews>
    <sheetView workbookViewId="0">
      <selection activeCell="B4" sqref="B4:B8"/>
    </sheetView>
  </sheetViews>
  <sheetFormatPr defaultRowHeight="14.4" x14ac:dyDescent="0.3"/>
  <cols>
    <col min="1" max="1" width="17" bestFit="1" customWidth="1"/>
    <col min="2" max="2" width="28.88671875" bestFit="1" customWidth="1"/>
  </cols>
  <sheetData>
    <row r="3" spans="1:2" x14ac:dyDescent="0.3">
      <c r="A3" s="16" t="s">
        <v>1043</v>
      </c>
      <c r="B3" t="s">
        <v>1071</v>
      </c>
    </row>
    <row r="4" spans="1:2" x14ac:dyDescent="0.3">
      <c r="A4" s="17" t="s">
        <v>136</v>
      </c>
      <c r="B4">
        <v>146</v>
      </c>
    </row>
    <row r="5" spans="1:2" x14ac:dyDescent="0.3">
      <c r="A5" s="17" t="s">
        <v>132</v>
      </c>
      <c r="B5">
        <v>85</v>
      </c>
    </row>
    <row r="6" spans="1:2" x14ac:dyDescent="0.3">
      <c r="A6" s="17" t="s">
        <v>128</v>
      </c>
      <c r="B6">
        <v>78</v>
      </c>
    </row>
    <row r="7" spans="1:2" x14ac:dyDescent="0.3">
      <c r="A7" s="17" t="s">
        <v>130</v>
      </c>
      <c r="B7">
        <v>74</v>
      </c>
    </row>
    <row r="8" spans="1:2" x14ac:dyDescent="0.3">
      <c r="A8" s="17" t="s">
        <v>134</v>
      </c>
      <c r="B8">
        <v>51</v>
      </c>
    </row>
    <row r="9" spans="1:2" x14ac:dyDescent="0.3">
      <c r="A9" s="17" t="s">
        <v>1044</v>
      </c>
      <c r="B9">
        <v>434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3194-EA46-493B-8553-A85E29F06F84}">
  <dimension ref="A1:B22"/>
  <sheetViews>
    <sheetView workbookViewId="0">
      <selection activeCell="G26" sqref="G26"/>
    </sheetView>
  </sheetViews>
  <sheetFormatPr defaultRowHeight="14.4" x14ac:dyDescent="0.3"/>
  <cols>
    <col min="1" max="1" width="17" bestFit="1" customWidth="1"/>
    <col min="2" max="2" width="26" bestFit="1" customWidth="1"/>
  </cols>
  <sheetData>
    <row r="1" spans="1:2" x14ac:dyDescent="0.3">
      <c r="A1" s="16" t="s">
        <v>6</v>
      </c>
      <c r="B1" t="s">
        <v>14</v>
      </c>
    </row>
    <row r="3" spans="1:2" x14ac:dyDescent="0.3">
      <c r="A3" s="16" t="s">
        <v>1043</v>
      </c>
      <c r="B3" t="s">
        <v>1059</v>
      </c>
    </row>
    <row r="4" spans="1:2" x14ac:dyDescent="0.3">
      <c r="A4" s="17" t="s">
        <v>1045</v>
      </c>
      <c r="B4">
        <v>27562</v>
      </c>
    </row>
    <row r="5" spans="1:2" x14ac:dyDescent="0.3">
      <c r="A5" s="18" t="s">
        <v>1047</v>
      </c>
      <c r="B5">
        <v>88</v>
      </c>
    </row>
    <row r="6" spans="1:2" x14ac:dyDescent="0.3">
      <c r="A6" s="18" t="s">
        <v>1048</v>
      </c>
      <c r="B6">
        <v>534</v>
      </c>
    </row>
    <row r="7" spans="1:2" x14ac:dyDescent="0.3">
      <c r="A7" s="18" t="s">
        <v>1049</v>
      </c>
      <c r="B7">
        <v>6221</v>
      </c>
    </row>
    <row r="8" spans="1:2" x14ac:dyDescent="0.3">
      <c r="A8" s="18" t="s">
        <v>1050</v>
      </c>
      <c r="B8">
        <v>1240</v>
      </c>
    </row>
    <row r="9" spans="1:2" x14ac:dyDescent="0.3">
      <c r="A9" s="18" t="s">
        <v>1051</v>
      </c>
      <c r="B9">
        <v>5511</v>
      </c>
    </row>
    <row r="10" spans="1:2" x14ac:dyDescent="0.3">
      <c r="A10" s="18" t="s">
        <v>1052</v>
      </c>
      <c r="B10">
        <v>3074</v>
      </c>
    </row>
    <row r="11" spans="1:2" x14ac:dyDescent="0.3">
      <c r="A11" s="18" t="s">
        <v>1053</v>
      </c>
      <c r="B11">
        <v>1946</v>
      </c>
    </row>
    <row r="12" spans="1:2" x14ac:dyDescent="0.3">
      <c r="A12" s="18" t="s">
        <v>1054</v>
      </c>
      <c r="B12">
        <v>1310</v>
      </c>
    </row>
    <row r="13" spans="1:2" x14ac:dyDescent="0.3">
      <c r="A13" s="18" t="s">
        <v>1055</v>
      </c>
      <c r="B13">
        <v>934</v>
      </c>
    </row>
    <row r="14" spans="1:2" x14ac:dyDescent="0.3">
      <c r="A14" s="18" t="s">
        <v>1056</v>
      </c>
      <c r="B14">
        <v>4577</v>
      </c>
    </row>
    <row r="15" spans="1:2" x14ac:dyDescent="0.3">
      <c r="A15" s="18" t="s">
        <v>1057</v>
      </c>
      <c r="B15">
        <v>183</v>
      </c>
    </row>
    <row r="16" spans="1:2" x14ac:dyDescent="0.3">
      <c r="A16" s="18" t="s">
        <v>1058</v>
      </c>
      <c r="B16">
        <v>1944</v>
      </c>
    </row>
    <row r="17" spans="1:2" x14ac:dyDescent="0.3">
      <c r="A17" s="17" t="s">
        <v>1046</v>
      </c>
      <c r="B17">
        <v>12467</v>
      </c>
    </row>
    <row r="18" spans="1:2" x14ac:dyDescent="0.3">
      <c r="A18" s="18" t="s">
        <v>1047</v>
      </c>
      <c r="B18">
        <v>2362</v>
      </c>
    </row>
    <row r="19" spans="1:2" x14ac:dyDescent="0.3">
      <c r="A19" s="18" t="s">
        <v>1048</v>
      </c>
      <c r="B19">
        <v>4272</v>
      </c>
    </row>
    <row r="20" spans="1:2" x14ac:dyDescent="0.3">
      <c r="A20" s="18" t="s">
        <v>1049</v>
      </c>
      <c r="B20">
        <v>3576</v>
      </c>
    </row>
    <row r="21" spans="1:2" x14ac:dyDescent="0.3">
      <c r="A21" s="18" t="s">
        <v>1050</v>
      </c>
      <c r="B21">
        <v>2257</v>
      </c>
    </row>
    <row r="22" spans="1:2" x14ac:dyDescent="0.3">
      <c r="A22" s="17" t="s">
        <v>1044</v>
      </c>
      <c r="B22">
        <v>40029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3400-1637-45D5-814C-77ED156A36F5}">
  <dimension ref="A3:B23"/>
  <sheetViews>
    <sheetView zoomScale="80" zoomScaleNormal="80" workbookViewId="0">
      <selection activeCell="B3" sqref="B3"/>
    </sheetView>
  </sheetViews>
  <sheetFormatPr defaultRowHeight="14.4" x14ac:dyDescent="0.3"/>
  <cols>
    <col min="1" max="1" width="22.88671875" bestFit="1" customWidth="1"/>
    <col min="2" max="2" width="13" bestFit="1" customWidth="1"/>
    <col min="3" max="429" width="5.109375" bestFit="1" customWidth="1"/>
    <col min="430" max="470" width="4.109375" bestFit="1" customWidth="1"/>
    <col min="471" max="524" width="3.44140625" bestFit="1" customWidth="1"/>
    <col min="525" max="936" width="4.44140625" bestFit="1" customWidth="1"/>
    <col min="937" max="937" width="5.44140625" bestFit="1" customWidth="1"/>
    <col min="938" max="938" width="11.33203125" bestFit="1" customWidth="1"/>
  </cols>
  <sheetData>
    <row r="3" spans="1:2" ht="43.2" x14ac:dyDescent="0.3">
      <c r="A3" s="16" t="s">
        <v>1043</v>
      </c>
      <c r="B3" s="26" t="s">
        <v>1065</v>
      </c>
    </row>
    <row r="4" spans="1:2" x14ac:dyDescent="0.3">
      <c r="A4" s="17" t="s">
        <v>18</v>
      </c>
      <c r="B4" s="25">
        <v>0.10062698971238108</v>
      </c>
    </row>
    <row r="5" spans="1:2" x14ac:dyDescent="0.3">
      <c r="A5" s="17" t="s">
        <v>25</v>
      </c>
      <c r="B5" s="25">
        <v>8.1840255375316515E-2</v>
      </c>
    </row>
    <row r="6" spans="1:2" x14ac:dyDescent="0.3">
      <c r="A6" s="17" t="s">
        <v>10</v>
      </c>
      <c r="B6" s="25">
        <v>5.8968409942088303E-2</v>
      </c>
    </row>
    <row r="7" spans="1:2" x14ac:dyDescent="0.3">
      <c r="A7" s="17" t="s">
        <v>20</v>
      </c>
      <c r="B7" s="25">
        <v>5.6287665956558271E-2</v>
      </c>
    </row>
    <row r="8" spans="1:2" x14ac:dyDescent="0.3">
      <c r="A8" s="17" t="s">
        <v>19</v>
      </c>
      <c r="B8" s="25">
        <v>4.7135772995875888E-2</v>
      </c>
    </row>
    <row r="9" spans="1:2" x14ac:dyDescent="0.3">
      <c r="A9" s="17" t="s">
        <v>27</v>
      </c>
      <c r="B9" s="25">
        <v>3.613108366981542E-2</v>
      </c>
    </row>
    <row r="10" spans="1:2" x14ac:dyDescent="0.3">
      <c r="A10" s="17" t="s">
        <v>15</v>
      </c>
      <c r="B10" s="25">
        <v>2.3330793858908173E-2</v>
      </c>
    </row>
    <row r="11" spans="1:2" x14ac:dyDescent="0.3">
      <c r="A11" s="17" t="s">
        <v>14</v>
      </c>
      <c r="B11" s="25">
        <v>1.0296276612656797E-2</v>
      </c>
    </row>
    <row r="12" spans="1:2" x14ac:dyDescent="0.3">
      <c r="A12" s="17" t="s">
        <v>13</v>
      </c>
      <c r="B12" s="25">
        <v>7.0069984701864327E-3</v>
      </c>
    </row>
    <row r="13" spans="1:2" x14ac:dyDescent="0.3">
      <c r="A13" s="17" t="s">
        <v>23</v>
      </c>
      <c r="B13" s="25">
        <v>5.2821684960563031E-3</v>
      </c>
    </row>
    <row r="14" spans="1:2" x14ac:dyDescent="0.3">
      <c r="A14" s="17" t="s">
        <v>8</v>
      </c>
      <c r="B14" s="25">
        <v>-8.094054282908528E-3</v>
      </c>
    </row>
    <row r="15" spans="1:2" x14ac:dyDescent="0.3">
      <c r="A15" s="17" t="s">
        <v>9</v>
      </c>
      <c r="B15" s="25">
        <v>-9.4885770216267366E-3</v>
      </c>
    </row>
    <row r="16" spans="1:2" x14ac:dyDescent="0.3">
      <c r="A16" s="17" t="s">
        <v>26</v>
      </c>
      <c r="B16" s="25">
        <v>-1.1341839275218986E-2</v>
      </c>
    </row>
    <row r="17" spans="1:2" x14ac:dyDescent="0.3">
      <c r="A17" s="17" t="s">
        <v>17</v>
      </c>
      <c r="B17" s="25">
        <v>-2.959425010257517E-2</v>
      </c>
    </row>
    <row r="18" spans="1:2" x14ac:dyDescent="0.3">
      <c r="A18" s="17" t="s">
        <v>24</v>
      </c>
      <c r="B18" s="25">
        <v>-3.2883513853600721E-2</v>
      </c>
    </row>
    <row r="19" spans="1:2" x14ac:dyDescent="0.3">
      <c r="A19" s="17" t="s">
        <v>22</v>
      </c>
      <c r="B19" s="25">
        <v>-3.9462244779638118E-2</v>
      </c>
    </row>
    <row r="20" spans="1:2" x14ac:dyDescent="0.3">
      <c r="A20" s="17" t="s">
        <v>16</v>
      </c>
      <c r="B20" s="25">
        <v>-4.2441773613568989E-2</v>
      </c>
    </row>
    <row r="21" spans="1:2" x14ac:dyDescent="0.3">
      <c r="A21" s="17" t="s">
        <v>11</v>
      </c>
      <c r="B21" s="25">
        <v>-5.0380082409471671E-2</v>
      </c>
    </row>
    <row r="22" spans="1:2" x14ac:dyDescent="0.3">
      <c r="A22" s="17" t="s">
        <v>12</v>
      </c>
      <c r="B22" s="25">
        <v>-6.3289069364215592E-2</v>
      </c>
    </row>
    <row r="23" spans="1:2" x14ac:dyDescent="0.3">
      <c r="A23" s="17" t="s">
        <v>21</v>
      </c>
      <c r="B23" s="25">
        <v>-0.10170732495505042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480D-426F-450B-B04C-C45418DC94B0}">
  <dimension ref="A3:B24"/>
  <sheetViews>
    <sheetView workbookViewId="0">
      <selection activeCell="B5" sqref="B5"/>
    </sheetView>
  </sheetViews>
  <sheetFormatPr defaultRowHeight="14.4" x14ac:dyDescent="0.3"/>
  <cols>
    <col min="1" max="1" width="22" bestFit="1" customWidth="1"/>
    <col min="2" max="2" width="10.33203125" bestFit="1" customWidth="1"/>
    <col min="3" max="3" width="15.88671875" bestFit="1" customWidth="1"/>
    <col min="4" max="4" width="6" bestFit="1" customWidth="1"/>
    <col min="5" max="5" width="6.21875" bestFit="1" customWidth="1"/>
    <col min="6" max="6" width="9.109375" bestFit="1" customWidth="1"/>
    <col min="7" max="7" width="7.88671875" bestFit="1" customWidth="1"/>
    <col min="8" max="8" width="12" bestFit="1" customWidth="1"/>
    <col min="9" max="9" width="22.88671875" bestFit="1" customWidth="1"/>
    <col min="10" max="10" width="6.44140625" bestFit="1" customWidth="1"/>
    <col min="11" max="11" width="9.109375" bestFit="1" customWidth="1"/>
    <col min="12" max="12" width="6.109375" bestFit="1" customWidth="1"/>
    <col min="13" max="13" width="7.44140625" bestFit="1" customWidth="1"/>
    <col min="14" max="14" width="6.77734375" bestFit="1" customWidth="1"/>
    <col min="15" max="15" width="9.6640625" bestFit="1" customWidth="1"/>
    <col min="16" max="16" width="9.109375" bestFit="1" customWidth="1"/>
    <col min="17" max="17" width="6" bestFit="1" customWidth="1"/>
    <col min="18" max="18" width="12.21875" bestFit="1" customWidth="1"/>
    <col min="19" max="19" width="10.21875" bestFit="1" customWidth="1"/>
    <col min="20" max="20" width="18.77734375" bestFit="1" customWidth="1"/>
    <col min="21" max="21" width="6" bestFit="1" customWidth="1"/>
    <col min="22" max="22" width="11.33203125" bestFit="1" customWidth="1"/>
  </cols>
  <sheetData>
    <row r="3" spans="1:2" x14ac:dyDescent="0.3">
      <c r="A3" s="16" t="s">
        <v>1066</v>
      </c>
      <c r="B3" t="s">
        <v>1067</v>
      </c>
    </row>
    <row r="4" spans="1:2" x14ac:dyDescent="0.3">
      <c r="A4" s="17" t="s">
        <v>22</v>
      </c>
      <c r="B4" s="27">
        <v>52844</v>
      </c>
    </row>
    <row r="5" spans="1:2" x14ac:dyDescent="0.3">
      <c r="A5" s="17" t="s">
        <v>17</v>
      </c>
      <c r="B5" s="27">
        <v>51789</v>
      </c>
    </row>
    <row r="6" spans="1:2" x14ac:dyDescent="0.3">
      <c r="A6" s="17" t="s">
        <v>15</v>
      </c>
      <c r="B6" s="27">
        <v>49580</v>
      </c>
    </row>
    <row r="7" spans="1:2" x14ac:dyDescent="0.3">
      <c r="A7" s="17" t="s">
        <v>12</v>
      </c>
      <c r="B7" s="27">
        <v>48746</v>
      </c>
    </row>
    <row r="8" spans="1:2" x14ac:dyDescent="0.3">
      <c r="A8" s="17" t="s">
        <v>11</v>
      </c>
      <c r="B8" s="27">
        <v>47028</v>
      </c>
    </row>
    <row r="9" spans="1:2" x14ac:dyDescent="0.3">
      <c r="A9" s="17" t="s">
        <v>10</v>
      </c>
      <c r="B9" s="27">
        <v>43098</v>
      </c>
    </row>
    <row r="10" spans="1:2" x14ac:dyDescent="0.3">
      <c r="A10" s="17" t="s">
        <v>23</v>
      </c>
      <c r="B10" s="27">
        <v>42837</v>
      </c>
    </row>
    <row r="11" spans="1:2" x14ac:dyDescent="0.3">
      <c r="A11" s="17" t="s">
        <v>25</v>
      </c>
      <c r="B11" s="27">
        <v>41106</v>
      </c>
    </row>
    <row r="12" spans="1:2" x14ac:dyDescent="0.3">
      <c r="A12" s="17" t="s">
        <v>8</v>
      </c>
      <c r="B12" s="27">
        <v>41010</v>
      </c>
    </row>
    <row r="13" spans="1:2" x14ac:dyDescent="0.3">
      <c r="A13" s="17" t="s">
        <v>14</v>
      </c>
      <c r="B13" s="27">
        <v>40029</v>
      </c>
    </row>
    <row r="14" spans="1:2" x14ac:dyDescent="0.3">
      <c r="A14" s="17" t="s">
        <v>19</v>
      </c>
      <c r="B14" s="27">
        <v>39168</v>
      </c>
    </row>
    <row r="15" spans="1:2" x14ac:dyDescent="0.3">
      <c r="A15" s="17" t="s">
        <v>18</v>
      </c>
      <c r="B15" s="27">
        <v>38312</v>
      </c>
    </row>
    <row r="16" spans="1:2" x14ac:dyDescent="0.3">
      <c r="A16" s="17" t="s">
        <v>24</v>
      </c>
      <c r="B16" s="27">
        <v>37636</v>
      </c>
    </row>
    <row r="17" spans="1:2" x14ac:dyDescent="0.3">
      <c r="A17" s="17" t="s">
        <v>27</v>
      </c>
      <c r="B17" s="27">
        <v>36448</v>
      </c>
    </row>
    <row r="18" spans="1:2" x14ac:dyDescent="0.3">
      <c r="A18" s="17" t="s">
        <v>16</v>
      </c>
      <c r="B18" s="27">
        <v>36436</v>
      </c>
    </row>
    <row r="19" spans="1:2" x14ac:dyDescent="0.3">
      <c r="A19" s="17" t="s">
        <v>13</v>
      </c>
      <c r="B19" s="27">
        <v>35012</v>
      </c>
    </row>
    <row r="20" spans="1:2" x14ac:dyDescent="0.3">
      <c r="A20" s="17" t="s">
        <v>9</v>
      </c>
      <c r="B20" s="27">
        <v>32463</v>
      </c>
    </row>
    <row r="21" spans="1:2" x14ac:dyDescent="0.3">
      <c r="A21" s="17" t="s">
        <v>26</v>
      </c>
      <c r="B21" s="27">
        <v>31954</v>
      </c>
    </row>
    <row r="22" spans="1:2" x14ac:dyDescent="0.3">
      <c r="A22" s="17" t="s">
        <v>21</v>
      </c>
      <c r="B22" s="27">
        <v>27662</v>
      </c>
    </row>
    <row r="23" spans="1:2" x14ac:dyDescent="0.3">
      <c r="A23" s="17" t="s">
        <v>20</v>
      </c>
      <c r="B23" s="27">
        <v>27275</v>
      </c>
    </row>
    <row r="24" spans="1:2" x14ac:dyDescent="0.3">
      <c r="A24" s="17" t="s">
        <v>1044</v>
      </c>
      <c r="B24" s="27">
        <v>800433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137D-657C-48F1-B5A8-09002C40E346}">
  <dimension ref="A3:B8"/>
  <sheetViews>
    <sheetView workbookViewId="0">
      <selection activeCell="X26" sqref="X26"/>
    </sheetView>
  </sheetViews>
  <sheetFormatPr defaultRowHeight="14.4" x14ac:dyDescent="0.3"/>
  <cols>
    <col min="1" max="1" width="17" bestFit="1" customWidth="1"/>
    <col min="2" max="2" width="26" bestFit="1" customWidth="1"/>
    <col min="3" max="23" width="3" bestFit="1" customWidth="1"/>
    <col min="24" max="465" width="4" bestFit="1" customWidth="1"/>
    <col min="466" max="687" width="5" bestFit="1" customWidth="1"/>
    <col min="688" max="688" width="11.33203125" bestFit="1" customWidth="1"/>
  </cols>
  <sheetData>
    <row r="3" spans="1:2" x14ac:dyDescent="0.3">
      <c r="A3" s="16" t="s">
        <v>1043</v>
      </c>
      <c r="B3" t="s">
        <v>1059</v>
      </c>
    </row>
    <row r="4" spans="1:2" x14ac:dyDescent="0.3">
      <c r="A4" s="17" t="s">
        <v>136</v>
      </c>
      <c r="B4">
        <v>251330</v>
      </c>
    </row>
    <row r="5" spans="1:2" x14ac:dyDescent="0.3">
      <c r="A5" s="17" t="s">
        <v>132</v>
      </c>
      <c r="B5">
        <v>163294</v>
      </c>
    </row>
    <row r="6" spans="1:2" x14ac:dyDescent="0.3">
      <c r="A6" s="17" t="s">
        <v>128</v>
      </c>
      <c r="B6">
        <v>147543</v>
      </c>
    </row>
    <row r="7" spans="1:2" x14ac:dyDescent="0.3">
      <c r="A7" s="17" t="s">
        <v>130</v>
      </c>
      <c r="B7">
        <v>139473</v>
      </c>
    </row>
    <row r="8" spans="1:2" x14ac:dyDescent="0.3">
      <c r="A8" s="17" t="s">
        <v>134</v>
      </c>
      <c r="B8">
        <v>98793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6F5-7BDD-8242-82DF-8791B8A660D9}">
  <dimension ref="A1:C433"/>
  <sheetViews>
    <sheetView workbookViewId="0">
      <selection activeCell="H8" sqref="H8"/>
    </sheetView>
  </sheetViews>
  <sheetFormatPr defaultColWidth="8.77734375" defaultRowHeight="14.4" x14ac:dyDescent="0.3"/>
  <cols>
    <col min="1" max="1" width="10.88671875" customWidth="1"/>
    <col min="2" max="2" width="18.109375" customWidth="1"/>
    <col min="3" max="3" width="17" bestFit="1" customWidth="1"/>
  </cols>
  <sheetData>
    <row r="1" spans="1:3" x14ac:dyDescent="0.3">
      <c r="A1" s="19" t="s">
        <v>1</v>
      </c>
      <c r="B1" s="19" t="s">
        <v>126</v>
      </c>
      <c r="C1" s="19" t="s">
        <v>125</v>
      </c>
    </row>
    <row r="2" spans="1:3" x14ac:dyDescent="0.3">
      <c r="A2">
        <v>300</v>
      </c>
      <c r="B2" t="s">
        <v>29</v>
      </c>
      <c r="C2" t="s">
        <v>61</v>
      </c>
    </row>
    <row r="3" spans="1:3" x14ac:dyDescent="0.3">
      <c r="A3">
        <v>486</v>
      </c>
      <c r="B3" t="s">
        <v>76</v>
      </c>
      <c r="C3" t="s">
        <v>75</v>
      </c>
    </row>
    <row r="4" spans="1:3" x14ac:dyDescent="0.3">
      <c r="A4">
        <v>76</v>
      </c>
      <c r="B4" t="s">
        <v>69</v>
      </c>
      <c r="C4" t="s">
        <v>124</v>
      </c>
    </row>
    <row r="5" spans="1:3" x14ac:dyDescent="0.3">
      <c r="A5">
        <v>240</v>
      </c>
      <c r="B5" t="s">
        <v>40</v>
      </c>
      <c r="C5" t="s">
        <v>91</v>
      </c>
    </row>
    <row r="6" spans="1:3" x14ac:dyDescent="0.3">
      <c r="A6">
        <v>32</v>
      </c>
      <c r="B6" t="s">
        <v>31</v>
      </c>
      <c r="C6" t="s">
        <v>95</v>
      </c>
    </row>
    <row r="7" spans="1:3" x14ac:dyDescent="0.3">
      <c r="A7">
        <v>162</v>
      </c>
      <c r="B7" t="s">
        <v>33</v>
      </c>
      <c r="C7" t="s">
        <v>32</v>
      </c>
    </row>
    <row r="8" spans="1:3" x14ac:dyDescent="0.3">
      <c r="A8">
        <v>323</v>
      </c>
      <c r="B8" t="s">
        <v>55</v>
      </c>
      <c r="C8" t="s">
        <v>54</v>
      </c>
    </row>
    <row r="9" spans="1:3" x14ac:dyDescent="0.3">
      <c r="A9">
        <v>60</v>
      </c>
      <c r="B9" t="s">
        <v>53</v>
      </c>
      <c r="C9" t="s">
        <v>82</v>
      </c>
    </row>
    <row r="10" spans="1:3" x14ac:dyDescent="0.3">
      <c r="A10">
        <v>401</v>
      </c>
      <c r="B10" t="s">
        <v>60</v>
      </c>
      <c r="C10" t="s">
        <v>107</v>
      </c>
    </row>
    <row r="11" spans="1:3" x14ac:dyDescent="0.3">
      <c r="A11">
        <v>100</v>
      </c>
      <c r="B11" t="s">
        <v>46</v>
      </c>
      <c r="C11" t="s">
        <v>73</v>
      </c>
    </row>
    <row r="12" spans="1:3" x14ac:dyDescent="0.3">
      <c r="A12">
        <v>217</v>
      </c>
      <c r="B12" t="s">
        <v>108</v>
      </c>
      <c r="C12" t="s">
        <v>110</v>
      </c>
    </row>
    <row r="13" spans="1:3" x14ac:dyDescent="0.3">
      <c r="A13">
        <v>445</v>
      </c>
      <c r="B13" t="s">
        <v>29</v>
      </c>
      <c r="C13" t="s">
        <v>28</v>
      </c>
    </row>
    <row r="14" spans="1:3" x14ac:dyDescent="0.3">
      <c r="A14">
        <v>284</v>
      </c>
      <c r="B14" t="s">
        <v>108</v>
      </c>
      <c r="C14" t="s">
        <v>115</v>
      </c>
    </row>
    <row r="15" spans="1:3" x14ac:dyDescent="0.3">
      <c r="A15">
        <v>116</v>
      </c>
      <c r="B15" t="s">
        <v>76</v>
      </c>
      <c r="C15" t="s">
        <v>96</v>
      </c>
    </row>
    <row r="16" spans="1:3" x14ac:dyDescent="0.3">
      <c r="A16">
        <v>378</v>
      </c>
      <c r="B16" t="s">
        <v>33</v>
      </c>
      <c r="C16" t="s">
        <v>32</v>
      </c>
    </row>
    <row r="17" spans="1:3" x14ac:dyDescent="0.3">
      <c r="A17">
        <v>299</v>
      </c>
      <c r="B17" t="s">
        <v>60</v>
      </c>
      <c r="C17" t="s">
        <v>70</v>
      </c>
    </row>
    <row r="18" spans="1:3" x14ac:dyDescent="0.3">
      <c r="A18">
        <v>359</v>
      </c>
      <c r="B18" t="s">
        <v>108</v>
      </c>
      <c r="C18" t="s">
        <v>14</v>
      </c>
    </row>
    <row r="19" spans="1:3" x14ac:dyDescent="0.3">
      <c r="A19">
        <v>337</v>
      </c>
      <c r="B19" t="s">
        <v>40</v>
      </c>
      <c r="C19" t="s">
        <v>39</v>
      </c>
    </row>
    <row r="20" spans="1:3" x14ac:dyDescent="0.3">
      <c r="A20">
        <v>226</v>
      </c>
      <c r="B20" t="s">
        <v>50</v>
      </c>
      <c r="C20" t="s">
        <v>92</v>
      </c>
    </row>
    <row r="21" spans="1:3" x14ac:dyDescent="0.3">
      <c r="A21">
        <v>310</v>
      </c>
      <c r="B21" t="s">
        <v>40</v>
      </c>
      <c r="C21" t="s">
        <v>39</v>
      </c>
    </row>
    <row r="22" spans="1:3" x14ac:dyDescent="0.3">
      <c r="A22">
        <v>137</v>
      </c>
      <c r="B22" t="s">
        <v>35</v>
      </c>
      <c r="C22" t="s">
        <v>74</v>
      </c>
    </row>
    <row r="23" spans="1:3" x14ac:dyDescent="0.3">
      <c r="A23">
        <v>385</v>
      </c>
      <c r="B23" t="s">
        <v>40</v>
      </c>
      <c r="C23" t="s">
        <v>101</v>
      </c>
    </row>
    <row r="24" spans="1:3" x14ac:dyDescent="0.3">
      <c r="A24">
        <v>451</v>
      </c>
      <c r="B24" t="s">
        <v>90</v>
      </c>
      <c r="C24" t="s">
        <v>114</v>
      </c>
    </row>
    <row r="25" spans="1:3" x14ac:dyDescent="0.3">
      <c r="A25">
        <v>7</v>
      </c>
      <c r="B25" t="s">
        <v>50</v>
      </c>
      <c r="C25" t="s">
        <v>104</v>
      </c>
    </row>
    <row r="26" spans="1:3" x14ac:dyDescent="0.3">
      <c r="A26">
        <v>495</v>
      </c>
      <c r="B26" t="s">
        <v>60</v>
      </c>
      <c r="C26" t="s">
        <v>107</v>
      </c>
    </row>
    <row r="27" spans="1:3" x14ac:dyDescent="0.3">
      <c r="A27">
        <v>415</v>
      </c>
      <c r="B27" t="s">
        <v>72</v>
      </c>
      <c r="C27" t="s">
        <v>102</v>
      </c>
    </row>
    <row r="28" spans="1:3" x14ac:dyDescent="0.3">
      <c r="A28">
        <v>176</v>
      </c>
      <c r="B28" t="s">
        <v>29</v>
      </c>
      <c r="C28" t="s">
        <v>61</v>
      </c>
    </row>
    <row r="29" spans="1:3" x14ac:dyDescent="0.3">
      <c r="A29">
        <v>181</v>
      </c>
      <c r="B29" t="s">
        <v>44</v>
      </c>
      <c r="C29" t="s">
        <v>99</v>
      </c>
    </row>
    <row r="30" spans="1:3" x14ac:dyDescent="0.3">
      <c r="A30">
        <v>399</v>
      </c>
      <c r="B30" t="s">
        <v>37</v>
      </c>
      <c r="C30" t="s">
        <v>87</v>
      </c>
    </row>
    <row r="31" spans="1:3" x14ac:dyDescent="0.3">
      <c r="A31">
        <v>382</v>
      </c>
      <c r="B31" t="s">
        <v>31</v>
      </c>
      <c r="C31" t="s">
        <v>62</v>
      </c>
    </row>
    <row r="32" spans="1:3" x14ac:dyDescent="0.3">
      <c r="A32">
        <v>103</v>
      </c>
      <c r="B32" t="s">
        <v>55</v>
      </c>
      <c r="C32" t="s">
        <v>118</v>
      </c>
    </row>
    <row r="33" spans="1:3" x14ac:dyDescent="0.3">
      <c r="A33">
        <v>104</v>
      </c>
      <c r="B33" t="s">
        <v>46</v>
      </c>
      <c r="C33" t="s">
        <v>73</v>
      </c>
    </row>
    <row r="34" spans="1:3" x14ac:dyDescent="0.3">
      <c r="A34">
        <v>213</v>
      </c>
      <c r="B34" t="s">
        <v>29</v>
      </c>
      <c r="C34" t="s">
        <v>61</v>
      </c>
    </row>
    <row r="35" spans="1:3" x14ac:dyDescent="0.3">
      <c r="A35">
        <v>157</v>
      </c>
      <c r="B35" t="s">
        <v>50</v>
      </c>
      <c r="C35" t="s">
        <v>104</v>
      </c>
    </row>
    <row r="36" spans="1:3" x14ac:dyDescent="0.3">
      <c r="A36">
        <v>237</v>
      </c>
      <c r="B36" t="s">
        <v>48</v>
      </c>
      <c r="C36" t="s">
        <v>80</v>
      </c>
    </row>
    <row r="37" spans="1:3" x14ac:dyDescent="0.3">
      <c r="A37">
        <v>8</v>
      </c>
      <c r="B37" t="s">
        <v>40</v>
      </c>
      <c r="C37" t="s">
        <v>39</v>
      </c>
    </row>
    <row r="38" spans="1:3" x14ac:dyDescent="0.3">
      <c r="A38">
        <v>65</v>
      </c>
      <c r="B38" t="s">
        <v>37</v>
      </c>
      <c r="C38" t="s">
        <v>87</v>
      </c>
    </row>
    <row r="39" spans="1:3" x14ac:dyDescent="0.3">
      <c r="A39">
        <v>45</v>
      </c>
      <c r="B39" t="s">
        <v>33</v>
      </c>
      <c r="C39" t="s">
        <v>51</v>
      </c>
    </row>
    <row r="40" spans="1:3" x14ac:dyDescent="0.3">
      <c r="A40">
        <v>36</v>
      </c>
      <c r="B40" t="s">
        <v>40</v>
      </c>
      <c r="C40" t="s">
        <v>116</v>
      </c>
    </row>
    <row r="41" spans="1:3" x14ac:dyDescent="0.3">
      <c r="A41">
        <v>443</v>
      </c>
      <c r="B41" t="s">
        <v>53</v>
      </c>
      <c r="C41" t="s">
        <v>82</v>
      </c>
    </row>
    <row r="42" spans="1:3" x14ac:dyDescent="0.3">
      <c r="A42">
        <v>384</v>
      </c>
      <c r="B42" t="s">
        <v>29</v>
      </c>
      <c r="C42" t="s">
        <v>28</v>
      </c>
    </row>
    <row r="43" spans="1:3" x14ac:dyDescent="0.3">
      <c r="A43">
        <v>41</v>
      </c>
      <c r="B43" t="s">
        <v>90</v>
      </c>
      <c r="C43" t="s">
        <v>120</v>
      </c>
    </row>
    <row r="44" spans="1:3" x14ac:dyDescent="0.3">
      <c r="A44">
        <v>484</v>
      </c>
      <c r="B44" t="s">
        <v>69</v>
      </c>
      <c r="C44" t="s">
        <v>100</v>
      </c>
    </row>
    <row r="45" spans="1:3" x14ac:dyDescent="0.3">
      <c r="A45">
        <v>390</v>
      </c>
      <c r="B45" t="s">
        <v>33</v>
      </c>
      <c r="C45" t="s">
        <v>121</v>
      </c>
    </row>
    <row r="46" spans="1:3" x14ac:dyDescent="0.3">
      <c r="A46">
        <v>57</v>
      </c>
      <c r="B46" t="s">
        <v>69</v>
      </c>
      <c r="C46" t="s">
        <v>124</v>
      </c>
    </row>
    <row r="47" spans="1:3" x14ac:dyDescent="0.3">
      <c r="A47">
        <v>285</v>
      </c>
      <c r="B47" t="s">
        <v>40</v>
      </c>
      <c r="C47" t="s">
        <v>39</v>
      </c>
    </row>
    <row r="48" spans="1:3" x14ac:dyDescent="0.3">
      <c r="A48">
        <v>444</v>
      </c>
      <c r="B48" t="s">
        <v>46</v>
      </c>
      <c r="C48" t="s">
        <v>66</v>
      </c>
    </row>
    <row r="49" spans="1:3" x14ac:dyDescent="0.3">
      <c r="A49">
        <v>35</v>
      </c>
      <c r="B49" t="s">
        <v>42</v>
      </c>
      <c r="C49" t="s">
        <v>63</v>
      </c>
    </row>
    <row r="50" spans="1:3" x14ac:dyDescent="0.3">
      <c r="A50">
        <v>296</v>
      </c>
      <c r="B50" t="s">
        <v>42</v>
      </c>
      <c r="C50" t="s">
        <v>63</v>
      </c>
    </row>
    <row r="51" spans="1:3" x14ac:dyDescent="0.3">
      <c r="A51">
        <v>227</v>
      </c>
      <c r="B51" t="s">
        <v>40</v>
      </c>
      <c r="C51" t="s">
        <v>101</v>
      </c>
    </row>
    <row r="52" spans="1:3" x14ac:dyDescent="0.3">
      <c r="A52">
        <v>167</v>
      </c>
      <c r="B52" t="s">
        <v>108</v>
      </c>
      <c r="C52" t="s">
        <v>115</v>
      </c>
    </row>
    <row r="53" spans="1:3" x14ac:dyDescent="0.3">
      <c r="A53">
        <v>146</v>
      </c>
      <c r="B53" t="s">
        <v>33</v>
      </c>
      <c r="C53" t="s">
        <v>51</v>
      </c>
    </row>
    <row r="54" spans="1:3" x14ac:dyDescent="0.3">
      <c r="A54">
        <v>338</v>
      </c>
      <c r="B54" t="s">
        <v>50</v>
      </c>
      <c r="C54" t="s">
        <v>104</v>
      </c>
    </row>
    <row r="55" spans="1:3" x14ac:dyDescent="0.3">
      <c r="A55">
        <v>155</v>
      </c>
      <c r="B55" t="s">
        <v>46</v>
      </c>
      <c r="C55" t="s">
        <v>66</v>
      </c>
    </row>
    <row r="56" spans="1:3" x14ac:dyDescent="0.3">
      <c r="A56">
        <v>239</v>
      </c>
      <c r="B56" t="s">
        <v>46</v>
      </c>
      <c r="C56" t="s">
        <v>66</v>
      </c>
    </row>
    <row r="57" spans="1:3" x14ac:dyDescent="0.3">
      <c r="A57">
        <v>158</v>
      </c>
      <c r="B57" t="s">
        <v>29</v>
      </c>
      <c r="C57" t="s">
        <v>28</v>
      </c>
    </row>
    <row r="58" spans="1:3" x14ac:dyDescent="0.3">
      <c r="A58">
        <v>147</v>
      </c>
      <c r="B58" t="s">
        <v>48</v>
      </c>
      <c r="C58" t="s">
        <v>64</v>
      </c>
    </row>
    <row r="59" spans="1:3" x14ac:dyDescent="0.3">
      <c r="A59">
        <v>311</v>
      </c>
      <c r="B59" t="s">
        <v>40</v>
      </c>
      <c r="C59" t="s">
        <v>39</v>
      </c>
    </row>
    <row r="60" spans="1:3" x14ac:dyDescent="0.3">
      <c r="A60">
        <v>465</v>
      </c>
      <c r="B60" t="s">
        <v>46</v>
      </c>
      <c r="C60" t="s">
        <v>73</v>
      </c>
    </row>
    <row r="61" spans="1:3" x14ac:dyDescent="0.3">
      <c r="A61">
        <v>449</v>
      </c>
      <c r="B61" t="s">
        <v>108</v>
      </c>
      <c r="C61" t="s">
        <v>110</v>
      </c>
    </row>
    <row r="62" spans="1:3" x14ac:dyDescent="0.3">
      <c r="A62">
        <v>144</v>
      </c>
      <c r="B62" t="s">
        <v>40</v>
      </c>
      <c r="C62" t="s">
        <v>116</v>
      </c>
    </row>
    <row r="63" spans="1:3" x14ac:dyDescent="0.3">
      <c r="A63">
        <v>375</v>
      </c>
      <c r="B63" t="s">
        <v>40</v>
      </c>
      <c r="C63" t="s">
        <v>91</v>
      </c>
    </row>
    <row r="64" spans="1:3" x14ac:dyDescent="0.3">
      <c r="A64">
        <v>408</v>
      </c>
      <c r="B64" t="s">
        <v>46</v>
      </c>
      <c r="C64" t="s">
        <v>66</v>
      </c>
    </row>
    <row r="65" spans="1:3" x14ac:dyDescent="0.3">
      <c r="A65">
        <v>425</v>
      </c>
      <c r="B65" t="s">
        <v>76</v>
      </c>
      <c r="C65" t="s">
        <v>96</v>
      </c>
    </row>
    <row r="66" spans="1:3" x14ac:dyDescent="0.3">
      <c r="A66">
        <v>277</v>
      </c>
      <c r="B66" t="s">
        <v>60</v>
      </c>
      <c r="C66" t="s">
        <v>107</v>
      </c>
    </row>
    <row r="67" spans="1:3" x14ac:dyDescent="0.3">
      <c r="A67">
        <v>130</v>
      </c>
      <c r="B67" t="s">
        <v>76</v>
      </c>
      <c r="C67" t="s">
        <v>75</v>
      </c>
    </row>
    <row r="68" spans="1:3" x14ac:dyDescent="0.3">
      <c r="A68">
        <v>30</v>
      </c>
      <c r="B68" t="s">
        <v>72</v>
      </c>
      <c r="C68" t="s">
        <v>102</v>
      </c>
    </row>
    <row r="69" spans="1:3" x14ac:dyDescent="0.3">
      <c r="A69">
        <v>75</v>
      </c>
      <c r="B69" t="s">
        <v>69</v>
      </c>
      <c r="C69" t="s">
        <v>68</v>
      </c>
    </row>
    <row r="70" spans="1:3" x14ac:dyDescent="0.3">
      <c r="A70">
        <v>118</v>
      </c>
      <c r="B70" t="s">
        <v>29</v>
      </c>
      <c r="C70" t="s">
        <v>61</v>
      </c>
    </row>
    <row r="71" spans="1:3" x14ac:dyDescent="0.3">
      <c r="A71">
        <v>19</v>
      </c>
      <c r="B71" t="s">
        <v>108</v>
      </c>
      <c r="C71" t="s">
        <v>109</v>
      </c>
    </row>
    <row r="72" spans="1:3" x14ac:dyDescent="0.3">
      <c r="A72">
        <v>204</v>
      </c>
      <c r="B72" t="s">
        <v>69</v>
      </c>
      <c r="C72" t="s">
        <v>124</v>
      </c>
    </row>
    <row r="73" spans="1:3" x14ac:dyDescent="0.3">
      <c r="A73">
        <v>304</v>
      </c>
      <c r="B73" t="s">
        <v>48</v>
      </c>
      <c r="C73" t="s">
        <v>80</v>
      </c>
    </row>
    <row r="74" spans="1:3" x14ac:dyDescent="0.3">
      <c r="A74">
        <v>189</v>
      </c>
      <c r="B74" t="s">
        <v>37</v>
      </c>
      <c r="C74" t="s">
        <v>36</v>
      </c>
    </row>
    <row r="75" spans="1:3" x14ac:dyDescent="0.3">
      <c r="A75">
        <v>392</v>
      </c>
      <c r="B75" t="s">
        <v>53</v>
      </c>
      <c r="C75" t="s">
        <v>84</v>
      </c>
    </row>
    <row r="76" spans="1:3" x14ac:dyDescent="0.3">
      <c r="A76">
        <v>10</v>
      </c>
      <c r="B76" t="s">
        <v>33</v>
      </c>
      <c r="C76" t="s">
        <v>32</v>
      </c>
    </row>
    <row r="77" spans="1:3" x14ac:dyDescent="0.3">
      <c r="A77">
        <v>64</v>
      </c>
      <c r="B77" t="s">
        <v>57</v>
      </c>
      <c r="C77" t="s">
        <v>81</v>
      </c>
    </row>
    <row r="78" spans="1:3" x14ac:dyDescent="0.3">
      <c r="A78">
        <v>334</v>
      </c>
      <c r="B78" t="s">
        <v>44</v>
      </c>
      <c r="C78" t="s">
        <v>43</v>
      </c>
    </row>
    <row r="79" spans="1:3" x14ac:dyDescent="0.3">
      <c r="A79">
        <v>345</v>
      </c>
      <c r="B79" t="s">
        <v>48</v>
      </c>
      <c r="C79" t="s">
        <v>80</v>
      </c>
    </row>
    <row r="80" spans="1:3" x14ac:dyDescent="0.3">
      <c r="A80">
        <v>281</v>
      </c>
      <c r="B80" t="s">
        <v>60</v>
      </c>
      <c r="C80" t="s">
        <v>70</v>
      </c>
    </row>
    <row r="81" spans="1:3" x14ac:dyDescent="0.3">
      <c r="A81">
        <v>276</v>
      </c>
      <c r="B81" t="s">
        <v>57</v>
      </c>
      <c r="C81" t="s">
        <v>78</v>
      </c>
    </row>
    <row r="82" spans="1:3" x14ac:dyDescent="0.3">
      <c r="A82">
        <v>234</v>
      </c>
      <c r="B82" t="s">
        <v>60</v>
      </c>
      <c r="C82" t="s">
        <v>107</v>
      </c>
    </row>
    <row r="83" spans="1:3" x14ac:dyDescent="0.3">
      <c r="A83">
        <v>319</v>
      </c>
      <c r="B83" t="s">
        <v>46</v>
      </c>
      <c r="C83" t="s">
        <v>66</v>
      </c>
    </row>
    <row r="84" spans="1:3" x14ac:dyDescent="0.3">
      <c r="A84">
        <v>24</v>
      </c>
      <c r="B84" t="s">
        <v>46</v>
      </c>
      <c r="C84" t="s">
        <v>45</v>
      </c>
    </row>
    <row r="85" spans="1:3" x14ac:dyDescent="0.3">
      <c r="A85">
        <v>357</v>
      </c>
      <c r="B85" t="s">
        <v>108</v>
      </c>
      <c r="C85" t="s">
        <v>109</v>
      </c>
    </row>
    <row r="86" spans="1:3" x14ac:dyDescent="0.3">
      <c r="A86">
        <v>265</v>
      </c>
      <c r="B86" t="s">
        <v>108</v>
      </c>
      <c r="C86" t="s">
        <v>14</v>
      </c>
    </row>
    <row r="87" spans="1:3" x14ac:dyDescent="0.3">
      <c r="A87">
        <v>102</v>
      </c>
      <c r="B87" t="s">
        <v>69</v>
      </c>
      <c r="C87" t="s">
        <v>68</v>
      </c>
    </row>
    <row r="88" spans="1:3" x14ac:dyDescent="0.3">
      <c r="A88">
        <v>212</v>
      </c>
      <c r="B88" t="s">
        <v>72</v>
      </c>
      <c r="C88" t="s">
        <v>122</v>
      </c>
    </row>
    <row r="89" spans="1:3" x14ac:dyDescent="0.3">
      <c r="A89">
        <v>215</v>
      </c>
      <c r="B89" t="s">
        <v>33</v>
      </c>
      <c r="C89" t="s">
        <v>32</v>
      </c>
    </row>
    <row r="90" spans="1:3" x14ac:dyDescent="0.3">
      <c r="A90">
        <v>364</v>
      </c>
      <c r="B90" t="s">
        <v>29</v>
      </c>
      <c r="C90" t="s">
        <v>89</v>
      </c>
    </row>
    <row r="91" spans="1:3" x14ac:dyDescent="0.3">
      <c r="A91">
        <v>499</v>
      </c>
      <c r="B91" t="s">
        <v>69</v>
      </c>
      <c r="C91" t="s">
        <v>98</v>
      </c>
    </row>
    <row r="92" spans="1:3" x14ac:dyDescent="0.3">
      <c r="A92">
        <v>202</v>
      </c>
      <c r="B92" t="s">
        <v>31</v>
      </c>
      <c r="C92" t="s">
        <v>62</v>
      </c>
    </row>
    <row r="93" spans="1:3" x14ac:dyDescent="0.3">
      <c r="A93">
        <v>244</v>
      </c>
      <c r="B93" t="s">
        <v>108</v>
      </c>
      <c r="C93" t="s">
        <v>115</v>
      </c>
    </row>
    <row r="94" spans="1:3" x14ac:dyDescent="0.3">
      <c r="A94">
        <v>363</v>
      </c>
      <c r="B94" t="s">
        <v>37</v>
      </c>
      <c r="C94" t="s">
        <v>36</v>
      </c>
    </row>
    <row r="95" spans="1:3" x14ac:dyDescent="0.3">
      <c r="A95">
        <v>434</v>
      </c>
      <c r="B95" t="s">
        <v>50</v>
      </c>
      <c r="C95" t="s">
        <v>49</v>
      </c>
    </row>
    <row r="96" spans="1:3" x14ac:dyDescent="0.3">
      <c r="A96">
        <v>305</v>
      </c>
      <c r="B96" t="s">
        <v>69</v>
      </c>
      <c r="C96" t="s">
        <v>98</v>
      </c>
    </row>
    <row r="97" spans="1:3" x14ac:dyDescent="0.3">
      <c r="A97">
        <v>37</v>
      </c>
      <c r="B97" t="s">
        <v>76</v>
      </c>
      <c r="C97" t="s">
        <v>75</v>
      </c>
    </row>
    <row r="98" spans="1:3" x14ac:dyDescent="0.3">
      <c r="A98">
        <v>242</v>
      </c>
      <c r="B98" t="s">
        <v>31</v>
      </c>
      <c r="C98" t="s">
        <v>62</v>
      </c>
    </row>
    <row r="99" spans="1:3" x14ac:dyDescent="0.3">
      <c r="A99">
        <v>332</v>
      </c>
      <c r="B99" t="s">
        <v>60</v>
      </c>
      <c r="C99" t="s">
        <v>59</v>
      </c>
    </row>
    <row r="100" spans="1:3" x14ac:dyDescent="0.3">
      <c r="A100">
        <v>452</v>
      </c>
      <c r="B100" t="s">
        <v>35</v>
      </c>
      <c r="C100" t="s">
        <v>74</v>
      </c>
    </row>
    <row r="101" spans="1:3" x14ac:dyDescent="0.3">
      <c r="A101">
        <v>132</v>
      </c>
      <c r="B101" t="s">
        <v>55</v>
      </c>
      <c r="C101" t="s">
        <v>54</v>
      </c>
    </row>
    <row r="102" spans="1:3" x14ac:dyDescent="0.3">
      <c r="A102">
        <v>457</v>
      </c>
      <c r="B102" t="s">
        <v>33</v>
      </c>
      <c r="C102" t="s">
        <v>112</v>
      </c>
    </row>
    <row r="103" spans="1:3" x14ac:dyDescent="0.3">
      <c r="A103">
        <v>250</v>
      </c>
      <c r="B103" t="s">
        <v>35</v>
      </c>
      <c r="C103" t="s">
        <v>58</v>
      </c>
    </row>
    <row r="104" spans="1:3" x14ac:dyDescent="0.3">
      <c r="A104">
        <v>195</v>
      </c>
      <c r="B104" t="s">
        <v>37</v>
      </c>
      <c r="C104" t="s">
        <v>111</v>
      </c>
    </row>
    <row r="105" spans="1:3" x14ac:dyDescent="0.3">
      <c r="A105">
        <v>186</v>
      </c>
      <c r="B105" t="s">
        <v>50</v>
      </c>
      <c r="C105" t="s">
        <v>104</v>
      </c>
    </row>
    <row r="106" spans="1:3" x14ac:dyDescent="0.3">
      <c r="A106">
        <v>490</v>
      </c>
      <c r="B106" t="s">
        <v>50</v>
      </c>
      <c r="C106" t="s">
        <v>49</v>
      </c>
    </row>
    <row r="107" spans="1:3" x14ac:dyDescent="0.3">
      <c r="A107">
        <v>72</v>
      </c>
      <c r="B107" t="s">
        <v>48</v>
      </c>
      <c r="C107" t="s">
        <v>64</v>
      </c>
    </row>
    <row r="108" spans="1:3" x14ac:dyDescent="0.3">
      <c r="A108">
        <v>430</v>
      </c>
      <c r="B108" t="s">
        <v>60</v>
      </c>
      <c r="C108" t="s">
        <v>88</v>
      </c>
    </row>
    <row r="109" spans="1:3" x14ac:dyDescent="0.3">
      <c r="A109">
        <v>223</v>
      </c>
      <c r="B109" t="s">
        <v>60</v>
      </c>
      <c r="C109" t="s">
        <v>107</v>
      </c>
    </row>
    <row r="110" spans="1:3" x14ac:dyDescent="0.3">
      <c r="A110">
        <v>164</v>
      </c>
      <c r="B110" t="s">
        <v>44</v>
      </c>
      <c r="C110" t="s">
        <v>65</v>
      </c>
    </row>
    <row r="111" spans="1:3" x14ac:dyDescent="0.3">
      <c r="A111">
        <v>393</v>
      </c>
      <c r="B111" t="s">
        <v>55</v>
      </c>
      <c r="C111" t="s">
        <v>86</v>
      </c>
    </row>
    <row r="112" spans="1:3" x14ac:dyDescent="0.3">
      <c r="A112">
        <v>166</v>
      </c>
      <c r="B112" t="s">
        <v>33</v>
      </c>
      <c r="C112" t="s">
        <v>51</v>
      </c>
    </row>
    <row r="113" spans="1:3" x14ac:dyDescent="0.3">
      <c r="A113">
        <v>249</v>
      </c>
      <c r="B113" t="s">
        <v>60</v>
      </c>
      <c r="C113" t="s">
        <v>70</v>
      </c>
    </row>
    <row r="114" spans="1:3" x14ac:dyDescent="0.3">
      <c r="A114">
        <v>83</v>
      </c>
      <c r="B114" t="s">
        <v>33</v>
      </c>
      <c r="C114" t="s">
        <v>121</v>
      </c>
    </row>
    <row r="115" spans="1:3" x14ac:dyDescent="0.3">
      <c r="A115">
        <v>236</v>
      </c>
      <c r="B115" t="s">
        <v>69</v>
      </c>
      <c r="C115" t="s">
        <v>98</v>
      </c>
    </row>
    <row r="116" spans="1:3" x14ac:dyDescent="0.3">
      <c r="A116">
        <v>379</v>
      </c>
      <c r="B116" t="s">
        <v>46</v>
      </c>
      <c r="C116" t="s">
        <v>77</v>
      </c>
    </row>
    <row r="117" spans="1:3" x14ac:dyDescent="0.3">
      <c r="A117">
        <v>431</v>
      </c>
      <c r="B117" t="s">
        <v>31</v>
      </c>
      <c r="C117" t="s">
        <v>103</v>
      </c>
    </row>
    <row r="118" spans="1:3" x14ac:dyDescent="0.3">
      <c r="A118">
        <v>463</v>
      </c>
      <c r="B118" t="s">
        <v>53</v>
      </c>
      <c r="C118" t="s">
        <v>84</v>
      </c>
    </row>
    <row r="119" spans="1:3" x14ac:dyDescent="0.3">
      <c r="A119">
        <v>494</v>
      </c>
      <c r="B119" t="s">
        <v>50</v>
      </c>
      <c r="C119" t="s">
        <v>49</v>
      </c>
    </row>
    <row r="120" spans="1:3" x14ac:dyDescent="0.3">
      <c r="A120">
        <v>394</v>
      </c>
      <c r="B120" t="s">
        <v>53</v>
      </c>
      <c r="C120" t="s">
        <v>84</v>
      </c>
    </row>
    <row r="121" spans="1:3" x14ac:dyDescent="0.3">
      <c r="A121">
        <v>380</v>
      </c>
      <c r="B121" t="s">
        <v>48</v>
      </c>
      <c r="C121" t="s">
        <v>64</v>
      </c>
    </row>
    <row r="122" spans="1:3" x14ac:dyDescent="0.3">
      <c r="A122">
        <v>309</v>
      </c>
      <c r="B122" t="s">
        <v>48</v>
      </c>
      <c r="C122" t="s">
        <v>80</v>
      </c>
    </row>
    <row r="123" spans="1:3" x14ac:dyDescent="0.3">
      <c r="A123">
        <v>112</v>
      </c>
      <c r="B123" t="s">
        <v>44</v>
      </c>
      <c r="C123" t="s">
        <v>65</v>
      </c>
    </row>
    <row r="124" spans="1:3" x14ac:dyDescent="0.3">
      <c r="A124">
        <v>81</v>
      </c>
      <c r="B124" t="s">
        <v>60</v>
      </c>
      <c r="C124" t="s">
        <v>59</v>
      </c>
    </row>
    <row r="125" spans="1:3" x14ac:dyDescent="0.3">
      <c r="A125">
        <v>4</v>
      </c>
      <c r="B125" t="s">
        <v>90</v>
      </c>
      <c r="C125" t="s">
        <v>114</v>
      </c>
    </row>
    <row r="126" spans="1:3" x14ac:dyDescent="0.3">
      <c r="A126">
        <v>209</v>
      </c>
      <c r="B126" t="s">
        <v>37</v>
      </c>
      <c r="C126" t="s">
        <v>93</v>
      </c>
    </row>
    <row r="127" spans="1:3" x14ac:dyDescent="0.3">
      <c r="A127">
        <v>156</v>
      </c>
      <c r="B127" t="s">
        <v>35</v>
      </c>
      <c r="C127" t="s">
        <v>58</v>
      </c>
    </row>
    <row r="128" spans="1:3" x14ac:dyDescent="0.3">
      <c r="A128">
        <v>441</v>
      </c>
      <c r="B128" t="s">
        <v>60</v>
      </c>
      <c r="C128" t="s">
        <v>70</v>
      </c>
    </row>
    <row r="129" spans="1:3" x14ac:dyDescent="0.3">
      <c r="A129">
        <v>180</v>
      </c>
      <c r="B129" t="s">
        <v>72</v>
      </c>
      <c r="C129" t="s">
        <v>117</v>
      </c>
    </row>
    <row r="130" spans="1:3" x14ac:dyDescent="0.3">
      <c r="A130">
        <v>438</v>
      </c>
      <c r="B130" t="s">
        <v>53</v>
      </c>
      <c r="C130" t="s">
        <v>105</v>
      </c>
    </row>
    <row r="131" spans="1:3" x14ac:dyDescent="0.3">
      <c r="A131">
        <v>232</v>
      </c>
      <c r="B131" t="s">
        <v>44</v>
      </c>
      <c r="C131" t="s">
        <v>99</v>
      </c>
    </row>
    <row r="132" spans="1:3" x14ac:dyDescent="0.3">
      <c r="A132">
        <v>206</v>
      </c>
      <c r="B132" t="s">
        <v>44</v>
      </c>
      <c r="C132" t="s">
        <v>43</v>
      </c>
    </row>
    <row r="133" spans="1:3" x14ac:dyDescent="0.3">
      <c r="A133">
        <v>295</v>
      </c>
      <c r="B133" t="s">
        <v>69</v>
      </c>
      <c r="C133" t="s">
        <v>68</v>
      </c>
    </row>
    <row r="134" spans="1:3" x14ac:dyDescent="0.3">
      <c r="A134">
        <v>221</v>
      </c>
      <c r="B134" t="s">
        <v>72</v>
      </c>
      <c r="C134" t="s">
        <v>102</v>
      </c>
    </row>
    <row r="135" spans="1:3" x14ac:dyDescent="0.3">
      <c r="A135">
        <v>333</v>
      </c>
      <c r="B135" t="s">
        <v>55</v>
      </c>
      <c r="C135" t="s">
        <v>118</v>
      </c>
    </row>
    <row r="136" spans="1:3" x14ac:dyDescent="0.3">
      <c r="A136">
        <v>498</v>
      </c>
      <c r="B136" t="s">
        <v>44</v>
      </c>
      <c r="C136" t="s">
        <v>43</v>
      </c>
    </row>
    <row r="137" spans="1:3" x14ac:dyDescent="0.3">
      <c r="A137">
        <v>476</v>
      </c>
      <c r="B137" t="s">
        <v>55</v>
      </c>
      <c r="C137" t="s">
        <v>97</v>
      </c>
    </row>
    <row r="138" spans="1:3" x14ac:dyDescent="0.3">
      <c r="A138">
        <v>126</v>
      </c>
      <c r="B138" t="s">
        <v>29</v>
      </c>
      <c r="C138" t="s">
        <v>89</v>
      </c>
    </row>
    <row r="139" spans="1:3" x14ac:dyDescent="0.3">
      <c r="A139">
        <v>255</v>
      </c>
      <c r="B139" t="s">
        <v>53</v>
      </c>
      <c r="C139" t="s">
        <v>105</v>
      </c>
    </row>
    <row r="140" spans="1:3" x14ac:dyDescent="0.3">
      <c r="A140">
        <v>138</v>
      </c>
      <c r="B140" t="s">
        <v>50</v>
      </c>
      <c r="C140" t="s">
        <v>49</v>
      </c>
    </row>
    <row r="141" spans="1:3" x14ac:dyDescent="0.3">
      <c r="A141">
        <v>403</v>
      </c>
      <c r="B141" t="s">
        <v>60</v>
      </c>
      <c r="C141" t="s">
        <v>88</v>
      </c>
    </row>
    <row r="142" spans="1:3" x14ac:dyDescent="0.3">
      <c r="A142">
        <v>280</v>
      </c>
      <c r="B142" t="s">
        <v>50</v>
      </c>
      <c r="C142" t="s">
        <v>104</v>
      </c>
    </row>
    <row r="143" spans="1:3" x14ac:dyDescent="0.3">
      <c r="A143">
        <v>356</v>
      </c>
      <c r="B143" t="s">
        <v>69</v>
      </c>
      <c r="C143" t="s">
        <v>98</v>
      </c>
    </row>
    <row r="144" spans="1:3" x14ac:dyDescent="0.3">
      <c r="A144">
        <v>282</v>
      </c>
      <c r="B144" t="s">
        <v>90</v>
      </c>
      <c r="C144" t="s">
        <v>120</v>
      </c>
    </row>
    <row r="145" spans="1:3" x14ac:dyDescent="0.3">
      <c r="A145">
        <v>459</v>
      </c>
      <c r="B145" t="s">
        <v>42</v>
      </c>
      <c r="C145" t="s">
        <v>85</v>
      </c>
    </row>
    <row r="146" spans="1:3" x14ac:dyDescent="0.3">
      <c r="A146">
        <v>402</v>
      </c>
      <c r="B146" t="s">
        <v>37</v>
      </c>
      <c r="C146" t="s">
        <v>111</v>
      </c>
    </row>
    <row r="147" spans="1:3" x14ac:dyDescent="0.3">
      <c r="A147">
        <v>320</v>
      </c>
      <c r="B147" t="s">
        <v>48</v>
      </c>
      <c r="C147" t="s">
        <v>64</v>
      </c>
    </row>
    <row r="148" spans="1:3" x14ac:dyDescent="0.3">
      <c r="A148">
        <v>447</v>
      </c>
      <c r="B148" t="s">
        <v>46</v>
      </c>
      <c r="C148" t="s">
        <v>66</v>
      </c>
    </row>
    <row r="149" spans="1:3" x14ac:dyDescent="0.3">
      <c r="A149">
        <v>406</v>
      </c>
      <c r="B149" t="s">
        <v>33</v>
      </c>
      <c r="C149" t="s">
        <v>32</v>
      </c>
    </row>
    <row r="150" spans="1:3" x14ac:dyDescent="0.3">
      <c r="A150">
        <v>391</v>
      </c>
      <c r="B150" t="s">
        <v>55</v>
      </c>
      <c r="C150" t="s">
        <v>97</v>
      </c>
    </row>
    <row r="151" spans="1:3" x14ac:dyDescent="0.3">
      <c r="A151">
        <v>82</v>
      </c>
      <c r="B151" t="s">
        <v>50</v>
      </c>
      <c r="C151" t="s">
        <v>123</v>
      </c>
    </row>
    <row r="152" spans="1:3" x14ac:dyDescent="0.3">
      <c r="A152">
        <v>243</v>
      </c>
      <c r="B152" t="s">
        <v>90</v>
      </c>
      <c r="C152" t="s">
        <v>114</v>
      </c>
    </row>
    <row r="153" spans="1:3" x14ac:dyDescent="0.3">
      <c r="A153">
        <v>432</v>
      </c>
      <c r="B153" t="s">
        <v>40</v>
      </c>
      <c r="C153" t="s">
        <v>91</v>
      </c>
    </row>
    <row r="154" spans="1:3" x14ac:dyDescent="0.3">
      <c r="A154">
        <v>159</v>
      </c>
      <c r="B154" t="s">
        <v>42</v>
      </c>
      <c r="C154" t="s">
        <v>85</v>
      </c>
    </row>
    <row r="155" spans="1:3" x14ac:dyDescent="0.3">
      <c r="A155">
        <v>197</v>
      </c>
      <c r="B155" t="s">
        <v>69</v>
      </c>
      <c r="C155" t="s">
        <v>124</v>
      </c>
    </row>
    <row r="156" spans="1:3" x14ac:dyDescent="0.3">
      <c r="A156">
        <v>110</v>
      </c>
      <c r="B156" t="s">
        <v>40</v>
      </c>
      <c r="C156" t="s">
        <v>39</v>
      </c>
    </row>
    <row r="157" spans="1:3" x14ac:dyDescent="0.3">
      <c r="A157">
        <v>288</v>
      </c>
      <c r="B157" t="s">
        <v>50</v>
      </c>
      <c r="C157" t="s">
        <v>123</v>
      </c>
    </row>
    <row r="158" spans="1:3" x14ac:dyDescent="0.3">
      <c r="A158">
        <v>493</v>
      </c>
      <c r="B158" t="s">
        <v>31</v>
      </c>
      <c r="C158" t="s">
        <v>62</v>
      </c>
    </row>
    <row r="159" spans="1:3" x14ac:dyDescent="0.3">
      <c r="A159">
        <v>446</v>
      </c>
      <c r="B159" t="s">
        <v>72</v>
      </c>
      <c r="C159" t="s">
        <v>122</v>
      </c>
    </row>
    <row r="160" spans="1:3" x14ac:dyDescent="0.3">
      <c r="A160">
        <v>428</v>
      </c>
      <c r="B160" t="s">
        <v>48</v>
      </c>
      <c r="C160" t="s">
        <v>64</v>
      </c>
    </row>
    <row r="161" spans="1:3" x14ac:dyDescent="0.3">
      <c r="A161">
        <v>192</v>
      </c>
      <c r="B161" t="s">
        <v>108</v>
      </c>
      <c r="C161" t="s">
        <v>109</v>
      </c>
    </row>
    <row r="162" spans="1:3" x14ac:dyDescent="0.3">
      <c r="A162">
        <v>69</v>
      </c>
      <c r="B162" t="s">
        <v>72</v>
      </c>
      <c r="C162" t="s">
        <v>71</v>
      </c>
    </row>
    <row r="163" spans="1:3" x14ac:dyDescent="0.3">
      <c r="A163">
        <v>270</v>
      </c>
      <c r="B163" t="s">
        <v>76</v>
      </c>
      <c r="C163" t="s">
        <v>79</v>
      </c>
    </row>
    <row r="164" spans="1:3" x14ac:dyDescent="0.3">
      <c r="A164">
        <v>348</v>
      </c>
      <c r="B164" t="s">
        <v>72</v>
      </c>
      <c r="C164" t="s">
        <v>71</v>
      </c>
    </row>
    <row r="165" spans="1:3" x14ac:dyDescent="0.3">
      <c r="A165">
        <v>321</v>
      </c>
      <c r="B165" t="s">
        <v>108</v>
      </c>
      <c r="C165" t="s">
        <v>115</v>
      </c>
    </row>
    <row r="166" spans="1:3" x14ac:dyDescent="0.3">
      <c r="A166">
        <v>341</v>
      </c>
      <c r="B166" t="s">
        <v>40</v>
      </c>
      <c r="C166" t="s">
        <v>101</v>
      </c>
    </row>
    <row r="167" spans="1:3" x14ac:dyDescent="0.3">
      <c r="A167">
        <v>473</v>
      </c>
      <c r="B167" t="s">
        <v>37</v>
      </c>
      <c r="C167" t="s">
        <v>87</v>
      </c>
    </row>
    <row r="168" spans="1:3" x14ac:dyDescent="0.3">
      <c r="A168">
        <v>482</v>
      </c>
      <c r="B168" t="s">
        <v>42</v>
      </c>
      <c r="C168" t="s">
        <v>63</v>
      </c>
    </row>
    <row r="169" spans="1:3" x14ac:dyDescent="0.3">
      <c r="A169">
        <v>169</v>
      </c>
      <c r="B169" t="s">
        <v>35</v>
      </c>
      <c r="C169" t="s">
        <v>38</v>
      </c>
    </row>
    <row r="170" spans="1:3" x14ac:dyDescent="0.3">
      <c r="A170">
        <v>397</v>
      </c>
      <c r="B170" t="s">
        <v>46</v>
      </c>
      <c r="C170" t="s">
        <v>73</v>
      </c>
    </row>
    <row r="171" spans="1:3" x14ac:dyDescent="0.3">
      <c r="A171">
        <v>436</v>
      </c>
      <c r="B171" t="s">
        <v>31</v>
      </c>
      <c r="C171" t="s">
        <v>103</v>
      </c>
    </row>
    <row r="172" spans="1:3" x14ac:dyDescent="0.3">
      <c r="A172">
        <v>369</v>
      </c>
      <c r="B172" t="s">
        <v>44</v>
      </c>
      <c r="C172" t="s">
        <v>43</v>
      </c>
    </row>
    <row r="173" spans="1:3" x14ac:dyDescent="0.3">
      <c r="A173">
        <v>361</v>
      </c>
      <c r="B173" t="s">
        <v>108</v>
      </c>
      <c r="C173" t="s">
        <v>115</v>
      </c>
    </row>
    <row r="174" spans="1:3" x14ac:dyDescent="0.3">
      <c r="A174">
        <v>87</v>
      </c>
      <c r="B174" t="s">
        <v>53</v>
      </c>
      <c r="C174" t="s">
        <v>82</v>
      </c>
    </row>
    <row r="175" spans="1:3" x14ac:dyDescent="0.3">
      <c r="A175">
        <v>376</v>
      </c>
      <c r="B175" t="s">
        <v>48</v>
      </c>
      <c r="C175" t="s">
        <v>83</v>
      </c>
    </row>
    <row r="176" spans="1:3" x14ac:dyDescent="0.3">
      <c r="A176">
        <v>111</v>
      </c>
      <c r="B176" t="s">
        <v>29</v>
      </c>
      <c r="C176" t="s">
        <v>28</v>
      </c>
    </row>
    <row r="177" spans="1:3" x14ac:dyDescent="0.3">
      <c r="A177">
        <v>344</v>
      </c>
      <c r="B177" t="s">
        <v>33</v>
      </c>
      <c r="C177" t="s">
        <v>121</v>
      </c>
    </row>
    <row r="178" spans="1:3" x14ac:dyDescent="0.3">
      <c r="A178">
        <v>462</v>
      </c>
      <c r="B178" t="s">
        <v>90</v>
      </c>
      <c r="C178" t="s">
        <v>114</v>
      </c>
    </row>
    <row r="179" spans="1:3" x14ac:dyDescent="0.3">
      <c r="A179">
        <v>279</v>
      </c>
      <c r="B179" t="s">
        <v>42</v>
      </c>
      <c r="C179" t="s">
        <v>67</v>
      </c>
    </row>
    <row r="180" spans="1:3" x14ac:dyDescent="0.3">
      <c r="A180">
        <v>322</v>
      </c>
      <c r="B180" t="s">
        <v>42</v>
      </c>
      <c r="C180" t="s">
        <v>67</v>
      </c>
    </row>
    <row r="181" spans="1:3" x14ac:dyDescent="0.3">
      <c r="A181">
        <v>317</v>
      </c>
      <c r="B181" t="s">
        <v>33</v>
      </c>
      <c r="C181" t="s">
        <v>32</v>
      </c>
    </row>
    <row r="182" spans="1:3" x14ac:dyDescent="0.3">
      <c r="A182">
        <v>25</v>
      </c>
      <c r="B182" t="s">
        <v>72</v>
      </c>
      <c r="C182" t="s">
        <v>117</v>
      </c>
    </row>
    <row r="183" spans="1:3" x14ac:dyDescent="0.3">
      <c r="A183">
        <v>410</v>
      </c>
      <c r="B183" t="s">
        <v>72</v>
      </c>
      <c r="C183" t="s">
        <v>122</v>
      </c>
    </row>
    <row r="184" spans="1:3" x14ac:dyDescent="0.3">
      <c r="A184">
        <v>207</v>
      </c>
      <c r="B184" t="s">
        <v>29</v>
      </c>
      <c r="C184" t="s">
        <v>94</v>
      </c>
    </row>
    <row r="185" spans="1:3" x14ac:dyDescent="0.3">
      <c r="A185">
        <v>131</v>
      </c>
      <c r="B185" t="s">
        <v>33</v>
      </c>
      <c r="C185" t="s">
        <v>121</v>
      </c>
    </row>
    <row r="186" spans="1:3" x14ac:dyDescent="0.3">
      <c r="A186">
        <v>96</v>
      </c>
      <c r="B186" t="s">
        <v>76</v>
      </c>
      <c r="C186" t="s">
        <v>106</v>
      </c>
    </row>
    <row r="187" spans="1:3" x14ac:dyDescent="0.3">
      <c r="A187">
        <v>268</v>
      </c>
      <c r="B187" t="s">
        <v>90</v>
      </c>
      <c r="C187" t="s">
        <v>63</v>
      </c>
    </row>
    <row r="188" spans="1:3" x14ac:dyDescent="0.3">
      <c r="A188">
        <v>358</v>
      </c>
      <c r="B188" t="s">
        <v>48</v>
      </c>
      <c r="C188" t="s">
        <v>47</v>
      </c>
    </row>
    <row r="189" spans="1:3" x14ac:dyDescent="0.3">
      <c r="A189">
        <v>160</v>
      </c>
      <c r="B189" t="s">
        <v>42</v>
      </c>
      <c r="C189" t="s">
        <v>63</v>
      </c>
    </row>
    <row r="190" spans="1:3" x14ac:dyDescent="0.3">
      <c r="A190">
        <v>23</v>
      </c>
      <c r="B190" t="s">
        <v>55</v>
      </c>
      <c r="C190" t="s">
        <v>118</v>
      </c>
    </row>
    <row r="191" spans="1:3" x14ac:dyDescent="0.3">
      <c r="A191">
        <v>49</v>
      </c>
      <c r="B191" t="s">
        <v>90</v>
      </c>
      <c r="C191" t="s">
        <v>120</v>
      </c>
    </row>
    <row r="192" spans="1:3" x14ac:dyDescent="0.3">
      <c r="A192">
        <v>485</v>
      </c>
      <c r="B192" t="s">
        <v>40</v>
      </c>
      <c r="C192" t="s">
        <v>91</v>
      </c>
    </row>
    <row r="193" spans="1:3" x14ac:dyDescent="0.3">
      <c r="A193">
        <v>40</v>
      </c>
      <c r="B193" t="s">
        <v>57</v>
      </c>
      <c r="C193" t="s">
        <v>119</v>
      </c>
    </row>
    <row r="194" spans="1:3" x14ac:dyDescent="0.3">
      <c r="A194">
        <v>275</v>
      </c>
      <c r="B194" t="s">
        <v>50</v>
      </c>
      <c r="C194" t="s">
        <v>49</v>
      </c>
    </row>
    <row r="195" spans="1:3" x14ac:dyDescent="0.3">
      <c r="A195">
        <v>205</v>
      </c>
      <c r="B195" t="s">
        <v>40</v>
      </c>
      <c r="C195" t="s">
        <v>91</v>
      </c>
    </row>
    <row r="196" spans="1:3" x14ac:dyDescent="0.3">
      <c r="A196">
        <v>219</v>
      </c>
      <c r="B196" t="s">
        <v>46</v>
      </c>
      <c r="C196" t="s">
        <v>45</v>
      </c>
    </row>
    <row r="197" spans="1:3" x14ac:dyDescent="0.3">
      <c r="A197">
        <v>435</v>
      </c>
      <c r="B197" t="s">
        <v>108</v>
      </c>
      <c r="C197" t="s">
        <v>109</v>
      </c>
    </row>
    <row r="198" spans="1:3" x14ac:dyDescent="0.3">
      <c r="A198">
        <v>26</v>
      </c>
      <c r="B198" t="s">
        <v>108</v>
      </c>
      <c r="C198" t="s">
        <v>115</v>
      </c>
    </row>
    <row r="199" spans="1:3" x14ac:dyDescent="0.3">
      <c r="A199">
        <v>273</v>
      </c>
      <c r="B199" t="s">
        <v>48</v>
      </c>
      <c r="C199" t="s">
        <v>83</v>
      </c>
    </row>
    <row r="200" spans="1:3" x14ac:dyDescent="0.3">
      <c r="A200">
        <v>340</v>
      </c>
      <c r="B200" t="s">
        <v>50</v>
      </c>
      <c r="C200" t="s">
        <v>92</v>
      </c>
    </row>
    <row r="201" spans="1:3" x14ac:dyDescent="0.3">
      <c r="A201">
        <v>34</v>
      </c>
      <c r="B201" t="s">
        <v>42</v>
      </c>
      <c r="C201" t="s">
        <v>41</v>
      </c>
    </row>
    <row r="202" spans="1:3" x14ac:dyDescent="0.3">
      <c r="A202">
        <v>117</v>
      </c>
      <c r="B202" t="s">
        <v>40</v>
      </c>
      <c r="C202" t="s">
        <v>116</v>
      </c>
    </row>
    <row r="203" spans="1:3" x14ac:dyDescent="0.3">
      <c r="A203">
        <v>201</v>
      </c>
      <c r="B203" t="s">
        <v>69</v>
      </c>
      <c r="C203" t="s">
        <v>68</v>
      </c>
    </row>
    <row r="204" spans="1:3" x14ac:dyDescent="0.3">
      <c r="A204">
        <v>377</v>
      </c>
      <c r="B204" t="s">
        <v>57</v>
      </c>
      <c r="C204" t="s">
        <v>81</v>
      </c>
    </row>
    <row r="205" spans="1:3" x14ac:dyDescent="0.3">
      <c r="A205">
        <v>251</v>
      </c>
      <c r="B205" t="s">
        <v>31</v>
      </c>
      <c r="C205" t="s">
        <v>103</v>
      </c>
    </row>
    <row r="206" spans="1:3" x14ac:dyDescent="0.3">
      <c r="A206">
        <v>409</v>
      </c>
      <c r="B206" t="s">
        <v>35</v>
      </c>
      <c r="C206" t="s">
        <v>38</v>
      </c>
    </row>
    <row r="207" spans="1:3" x14ac:dyDescent="0.3">
      <c r="A207">
        <v>422</v>
      </c>
      <c r="B207" t="s">
        <v>53</v>
      </c>
      <c r="C207" t="s">
        <v>105</v>
      </c>
    </row>
    <row r="208" spans="1:3" x14ac:dyDescent="0.3">
      <c r="A208">
        <v>222</v>
      </c>
      <c r="B208" t="s">
        <v>44</v>
      </c>
      <c r="C208" t="s">
        <v>99</v>
      </c>
    </row>
    <row r="209" spans="1:3" x14ac:dyDescent="0.3">
      <c r="A209">
        <v>497</v>
      </c>
      <c r="B209" t="s">
        <v>48</v>
      </c>
      <c r="C209" t="s">
        <v>64</v>
      </c>
    </row>
    <row r="210" spans="1:3" x14ac:dyDescent="0.3">
      <c r="A210">
        <v>351</v>
      </c>
      <c r="B210" t="s">
        <v>72</v>
      </c>
      <c r="C210" t="s">
        <v>117</v>
      </c>
    </row>
    <row r="211" spans="1:3" x14ac:dyDescent="0.3">
      <c r="A211">
        <v>464</v>
      </c>
      <c r="B211" t="s">
        <v>50</v>
      </c>
      <c r="C211" t="s">
        <v>49</v>
      </c>
    </row>
    <row r="212" spans="1:3" x14ac:dyDescent="0.3">
      <c r="A212">
        <v>241</v>
      </c>
      <c r="B212" t="s">
        <v>57</v>
      </c>
      <c r="C212" t="s">
        <v>81</v>
      </c>
    </row>
    <row r="213" spans="1:3" x14ac:dyDescent="0.3">
      <c r="A213">
        <v>258</v>
      </c>
      <c r="B213" t="s">
        <v>55</v>
      </c>
      <c r="C213" t="s">
        <v>118</v>
      </c>
    </row>
    <row r="214" spans="1:3" x14ac:dyDescent="0.3">
      <c r="A214">
        <v>216</v>
      </c>
      <c r="B214" t="s">
        <v>53</v>
      </c>
      <c r="C214" t="s">
        <v>84</v>
      </c>
    </row>
    <row r="215" spans="1:3" x14ac:dyDescent="0.3">
      <c r="A215">
        <v>272</v>
      </c>
      <c r="B215" t="s">
        <v>42</v>
      </c>
      <c r="C215" t="s">
        <v>41</v>
      </c>
    </row>
    <row r="216" spans="1:3" x14ac:dyDescent="0.3">
      <c r="A216">
        <v>225</v>
      </c>
      <c r="B216" t="s">
        <v>76</v>
      </c>
      <c r="C216" t="s">
        <v>75</v>
      </c>
    </row>
    <row r="217" spans="1:3" x14ac:dyDescent="0.3">
      <c r="A217">
        <v>467</v>
      </c>
      <c r="B217" t="s">
        <v>40</v>
      </c>
      <c r="C217" t="s">
        <v>91</v>
      </c>
    </row>
    <row r="218" spans="1:3" x14ac:dyDescent="0.3">
      <c r="A218">
        <v>139</v>
      </c>
      <c r="B218" t="s">
        <v>46</v>
      </c>
      <c r="C218" t="s">
        <v>73</v>
      </c>
    </row>
    <row r="219" spans="1:3" x14ac:dyDescent="0.3">
      <c r="A219">
        <v>404</v>
      </c>
      <c r="B219" t="s">
        <v>46</v>
      </c>
      <c r="C219" t="s">
        <v>73</v>
      </c>
    </row>
    <row r="220" spans="1:3" x14ac:dyDescent="0.3">
      <c r="A220">
        <v>328</v>
      </c>
      <c r="B220" t="s">
        <v>72</v>
      </c>
      <c r="C220" t="s">
        <v>117</v>
      </c>
    </row>
    <row r="221" spans="1:3" x14ac:dyDescent="0.3">
      <c r="A221">
        <v>424</v>
      </c>
      <c r="B221" t="s">
        <v>69</v>
      </c>
      <c r="C221" t="s">
        <v>100</v>
      </c>
    </row>
    <row r="222" spans="1:3" x14ac:dyDescent="0.3">
      <c r="A222">
        <v>86</v>
      </c>
      <c r="B222" t="s">
        <v>29</v>
      </c>
      <c r="C222" t="s">
        <v>89</v>
      </c>
    </row>
    <row r="223" spans="1:3" x14ac:dyDescent="0.3">
      <c r="A223">
        <v>17</v>
      </c>
      <c r="B223" t="s">
        <v>53</v>
      </c>
      <c r="C223" t="s">
        <v>82</v>
      </c>
    </row>
    <row r="224" spans="1:3" x14ac:dyDescent="0.3">
      <c r="A224">
        <v>43</v>
      </c>
      <c r="B224" t="s">
        <v>69</v>
      </c>
      <c r="C224" t="s">
        <v>100</v>
      </c>
    </row>
    <row r="225" spans="1:3" x14ac:dyDescent="0.3">
      <c r="A225">
        <v>5</v>
      </c>
      <c r="B225" t="s">
        <v>40</v>
      </c>
      <c r="C225" t="s">
        <v>116</v>
      </c>
    </row>
    <row r="226" spans="1:3" x14ac:dyDescent="0.3">
      <c r="A226">
        <v>298</v>
      </c>
      <c r="B226" t="s">
        <v>42</v>
      </c>
      <c r="C226" t="s">
        <v>67</v>
      </c>
    </row>
    <row r="227" spans="1:3" x14ac:dyDescent="0.3">
      <c r="A227">
        <v>421</v>
      </c>
      <c r="B227" t="s">
        <v>60</v>
      </c>
      <c r="C227" t="s">
        <v>107</v>
      </c>
    </row>
    <row r="228" spans="1:3" x14ac:dyDescent="0.3">
      <c r="A228">
        <v>483</v>
      </c>
      <c r="B228" t="s">
        <v>57</v>
      </c>
      <c r="C228" t="s">
        <v>78</v>
      </c>
    </row>
    <row r="229" spans="1:3" x14ac:dyDescent="0.3">
      <c r="A229">
        <v>414</v>
      </c>
      <c r="B229" t="s">
        <v>35</v>
      </c>
      <c r="C229" t="s">
        <v>74</v>
      </c>
    </row>
    <row r="230" spans="1:3" x14ac:dyDescent="0.3">
      <c r="A230">
        <v>389</v>
      </c>
      <c r="B230" t="s">
        <v>60</v>
      </c>
      <c r="C230" t="s">
        <v>88</v>
      </c>
    </row>
    <row r="231" spans="1:3" x14ac:dyDescent="0.3">
      <c r="A231">
        <v>367</v>
      </c>
      <c r="B231" t="s">
        <v>57</v>
      </c>
      <c r="C231" t="s">
        <v>81</v>
      </c>
    </row>
    <row r="232" spans="1:3" x14ac:dyDescent="0.3">
      <c r="A232">
        <v>128</v>
      </c>
      <c r="B232" t="s">
        <v>108</v>
      </c>
      <c r="C232" t="s">
        <v>14</v>
      </c>
    </row>
    <row r="233" spans="1:3" x14ac:dyDescent="0.3">
      <c r="A233">
        <v>368</v>
      </c>
      <c r="B233" t="s">
        <v>50</v>
      </c>
      <c r="C233" t="s">
        <v>49</v>
      </c>
    </row>
    <row r="234" spans="1:3" x14ac:dyDescent="0.3">
      <c r="A234">
        <v>74</v>
      </c>
      <c r="B234" t="s">
        <v>57</v>
      </c>
      <c r="C234" t="s">
        <v>56</v>
      </c>
    </row>
    <row r="235" spans="1:3" x14ac:dyDescent="0.3">
      <c r="A235">
        <v>149</v>
      </c>
      <c r="B235" t="s">
        <v>48</v>
      </c>
      <c r="C235" t="s">
        <v>64</v>
      </c>
    </row>
    <row r="236" spans="1:3" x14ac:dyDescent="0.3">
      <c r="A236">
        <v>229</v>
      </c>
      <c r="B236" t="s">
        <v>108</v>
      </c>
      <c r="C236" t="s">
        <v>115</v>
      </c>
    </row>
    <row r="237" spans="1:3" x14ac:dyDescent="0.3">
      <c r="A237">
        <v>28</v>
      </c>
      <c r="B237" t="s">
        <v>42</v>
      </c>
      <c r="C237" t="s">
        <v>85</v>
      </c>
    </row>
    <row r="238" spans="1:3" x14ac:dyDescent="0.3">
      <c r="A238">
        <v>260</v>
      </c>
      <c r="B238" t="s">
        <v>76</v>
      </c>
      <c r="C238" t="s">
        <v>96</v>
      </c>
    </row>
    <row r="239" spans="1:3" x14ac:dyDescent="0.3">
      <c r="A239">
        <v>140</v>
      </c>
      <c r="B239" t="s">
        <v>90</v>
      </c>
      <c r="C239" t="s">
        <v>114</v>
      </c>
    </row>
    <row r="240" spans="1:3" x14ac:dyDescent="0.3">
      <c r="A240">
        <v>67</v>
      </c>
      <c r="B240" t="s">
        <v>46</v>
      </c>
      <c r="C240" t="s">
        <v>45</v>
      </c>
    </row>
    <row r="241" spans="1:3" x14ac:dyDescent="0.3">
      <c r="A241">
        <v>448</v>
      </c>
      <c r="B241" t="s">
        <v>46</v>
      </c>
      <c r="C241" t="s">
        <v>73</v>
      </c>
    </row>
    <row r="242" spans="1:3" x14ac:dyDescent="0.3">
      <c r="A242">
        <v>331</v>
      </c>
      <c r="B242" t="s">
        <v>76</v>
      </c>
      <c r="C242" t="s">
        <v>106</v>
      </c>
    </row>
    <row r="243" spans="1:3" x14ac:dyDescent="0.3">
      <c r="A243">
        <v>325</v>
      </c>
      <c r="B243" t="s">
        <v>33</v>
      </c>
      <c r="C243" t="s">
        <v>51</v>
      </c>
    </row>
    <row r="244" spans="1:3" x14ac:dyDescent="0.3">
      <c r="A244">
        <v>346</v>
      </c>
      <c r="B244" t="s">
        <v>60</v>
      </c>
      <c r="C244" t="s">
        <v>107</v>
      </c>
    </row>
    <row r="245" spans="1:3" x14ac:dyDescent="0.3">
      <c r="A245">
        <v>115</v>
      </c>
      <c r="B245" t="s">
        <v>50</v>
      </c>
      <c r="C245" t="s">
        <v>104</v>
      </c>
    </row>
    <row r="246" spans="1:3" x14ac:dyDescent="0.3">
      <c r="A246">
        <v>360</v>
      </c>
      <c r="B246" t="s">
        <v>76</v>
      </c>
      <c r="C246" t="s">
        <v>79</v>
      </c>
    </row>
    <row r="247" spans="1:3" x14ac:dyDescent="0.3">
      <c r="A247">
        <v>230</v>
      </c>
      <c r="B247" t="s">
        <v>33</v>
      </c>
      <c r="C247" t="s">
        <v>32</v>
      </c>
    </row>
    <row r="248" spans="1:3" x14ac:dyDescent="0.3">
      <c r="A248">
        <v>353</v>
      </c>
      <c r="B248" t="s">
        <v>40</v>
      </c>
      <c r="C248" t="s">
        <v>39</v>
      </c>
    </row>
    <row r="249" spans="1:3" x14ac:dyDescent="0.3">
      <c r="A249">
        <v>188</v>
      </c>
      <c r="B249" t="s">
        <v>44</v>
      </c>
      <c r="C249" t="s">
        <v>113</v>
      </c>
    </row>
    <row r="250" spans="1:3" x14ac:dyDescent="0.3">
      <c r="A250">
        <v>405</v>
      </c>
      <c r="B250" t="s">
        <v>37</v>
      </c>
      <c r="C250" t="s">
        <v>111</v>
      </c>
    </row>
    <row r="251" spans="1:3" x14ac:dyDescent="0.3">
      <c r="A251">
        <v>99</v>
      </c>
      <c r="B251" t="s">
        <v>31</v>
      </c>
      <c r="C251" t="s">
        <v>30</v>
      </c>
    </row>
    <row r="252" spans="1:3" x14ac:dyDescent="0.3">
      <c r="A252">
        <v>196</v>
      </c>
      <c r="B252" t="s">
        <v>48</v>
      </c>
      <c r="C252" t="s">
        <v>80</v>
      </c>
    </row>
    <row r="253" spans="1:3" x14ac:dyDescent="0.3">
      <c r="A253">
        <v>271</v>
      </c>
      <c r="B253" t="s">
        <v>50</v>
      </c>
      <c r="C253" t="s">
        <v>49</v>
      </c>
    </row>
    <row r="254" spans="1:3" x14ac:dyDescent="0.3">
      <c r="A254">
        <v>210</v>
      </c>
      <c r="B254" t="s">
        <v>57</v>
      </c>
      <c r="C254" t="s">
        <v>81</v>
      </c>
    </row>
    <row r="255" spans="1:3" x14ac:dyDescent="0.3">
      <c r="A255">
        <v>178</v>
      </c>
      <c r="B255" t="s">
        <v>46</v>
      </c>
      <c r="C255" t="s">
        <v>73</v>
      </c>
    </row>
    <row r="256" spans="1:3" x14ac:dyDescent="0.3">
      <c r="A256">
        <v>423</v>
      </c>
      <c r="B256" t="s">
        <v>72</v>
      </c>
      <c r="C256" t="s">
        <v>102</v>
      </c>
    </row>
    <row r="257" spans="1:3" x14ac:dyDescent="0.3">
      <c r="A257">
        <v>70</v>
      </c>
      <c r="B257" t="s">
        <v>90</v>
      </c>
      <c r="C257" t="s">
        <v>63</v>
      </c>
    </row>
    <row r="258" spans="1:3" x14ac:dyDescent="0.3">
      <c r="A258">
        <v>335</v>
      </c>
      <c r="B258" t="s">
        <v>37</v>
      </c>
      <c r="C258" t="s">
        <v>111</v>
      </c>
    </row>
    <row r="259" spans="1:3" x14ac:dyDescent="0.3">
      <c r="A259">
        <v>427</v>
      </c>
      <c r="B259" t="s">
        <v>37</v>
      </c>
      <c r="C259" t="s">
        <v>93</v>
      </c>
    </row>
    <row r="260" spans="1:3" x14ac:dyDescent="0.3">
      <c r="A260">
        <v>303</v>
      </c>
      <c r="B260" t="s">
        <v>35</v>
      </c>
      <c r="C260" t="s">
        <v>38</v>
      </c>
    </row>
    <row r="261" spans="1:3" x14ac:dyDescent="0.3">
      <c r="A261">
        <v>398</v>
      </c>
      <c r="B261" t="s">
        <v>33</v>
      </c>
      <c r="C261" t="s">
        <v>32</v>
      </c>
    </row>
    <row r="262" spans="1:3" x14ac:dyDescent="0.3">
      <c r="A262">
        <v>290</v>
      </c>
      <c r="B262" t="s">
        <v>29</v>
      </c>
      <c r="C262" t="s">
        <v>61</v>
      </c>
    </row>
    <row r="263" spans="1:3" x14ac:dyDescent="0.3">
      <c r="A263">
        <v>386</v>
      </c>
      <c r="B263" t="s">
        <v>42</v>
      </c>
      <c r="C263" t="s">
        <v>67</v>
      </c>
    </row>
    <row r="264" spans="1:3" x14ac:dyDescent="0.3">
      <c r="A264">
        <v>350</v>
      </c>
      <c r="B264" t="s">
        <v>35</v>
      </c>
      <c r="C264" t="s">
        <v>58</v>
      </c>
    </row>
    <row r="265" spans="1:3" x14ac:dyDescent="0.3">
      <c r="A265">
        <v>329</v>
      </c>
      <c r="B265" t="s">
        <v>76</v>
      </c>
      <c r="C265" t="s">
        <v>79</v>
      </c>
    </row>
    <row r="266" spans="1:3" x14ac:dyDescent="0.3">
      <c r="A266">
        <v>233</v>
      </c>
      <c r="B266" t="s">
        <v>46</v>
      </c>
      <c r="C266" t="s">
        <v>73</v>
      </c>
    </row>
    <row r="267" spans="1:3" x14ac:dyDescent="0.3">
      <c r="A267">
        <v>293</v>
      </c>
      <c r="B267" t="s">
        <v>48</v>
      </c>
      <c r="C267" t="s">
        <v>64</v>
      </c>
    </row>
    <row r="268" spans="1:3" x14ac:dyDescent="0.3">
      <c r="A268">
        <v>286</v>
      </c>
      <c r="B268" t="s">
        <v>46</v>
      </c>
      <c r="C268" t="s">
        <v>73</v>
      </c>
    </row>
    <row r="269" spans="1:3" x14ac:dyDescent="0.3">
      <c r="A269">
        <v>11</v>
      </c>
      <c r="B269" t="s">
        <v>37</v>
      </c>
      <c r="C269" t="s">
        <v>93</v>
      </c>
    </row>
    <row r="270" spans="1:3" x14ac:dyDescent="0.3">
      <c r="A270">
        <v>142</v>
      </c>
      <c r="B270" t="s">
        <v>35</v>
      </c>
      <c r="C270" t="s">
        <v>38</v>
      </c>
    </row>
    <row r="271" spans="1:3" x14ac:dyDescent="0.3">
      <c r="A271">
        <v>466</v>
      </c>
      <c r="B271" t="s">
        <v>35</v>
      </c>
      <c r="C271" t="s">
        <v>34</v>
      </c>
    </row>
    <row r="272" spans="1:3" x14ac:dyDescent="0.3">
      <c r="A272">
        <v>71</v>
      </c>
      <c r="B272" t="s">
        <v>69</v>
      </c>
      <c r="C272" t="s">
        <v>68</v>
      </c>
    </row>
    <row r="273" spans="1:3" x14ac:dyDescent="0.3">
      <c r="A273">
        <v>480</v>
      </c>
      <c r="B273" t="s">
        <v>44</v>
      </c>
      <c r="C273" t="s">
        <v>65</v>
      </c>
    </row>
    <row r="274" spans="1:3" x14ac:dyDescent="0.3">
      <c r="A274">
        <v>129</v>
      </c>
      <c r="B274" t="s">
        <v>108</v>
      </c>
      <c r="C274" t="s">
        <v>110</v>
      </c>
    </row>
    <row r="275" spans="1:3" x14ac:dyDescent="0.3">
      <c r="A275">
        <v>283</v>
      </c>
      <c r="B275" t="s">
        <v>48</v>
      </c>
      <c r="C275" t="s">
        <v>80</v>
      </c>
    </row>
    <row r="276" spans="1:3" x14ac:dyDescent="0.3">
      <c r="A276">
        <v>313</v>
      </c>
      <c r="B276" t="s">
        <v>48</v>
      </c>
      <c r="C276" t="s">
        <v>64</v>
      </c>
    </row>
    <row r="277" spans="1:3" x14ac:dyDescent="0.3">
      <c r="A277">
        <v>18</v>
      </c>
      <c r="B277" t="s">
        <v>55</v>
      </c>
      <c r="C277" t="s">
        <v>54</v>
      </c>
    </row>
    <row r="278" spans="1:3" x14ac:dyDescent="0.3">
      <c r="A278">
        <v>145</v>
      </c>
      <c r="B278" t="s">
        <v>31</v>
      </c>
      <c r="C278" t="s">
        <v>30</v>
      </c>
    </row>
    <row r="279" spans="1:3" x14ac:dyDescent="0.3">
      <c r="A279">
        <v>491</v>
      </c>
      <c r="B279" t="s">
        <v>31</v>
      </c>
      <c r="C279" t="s">
        <v>95</v>
      </c>
    </row>
    <row r="280" spans="1:3" x14ac:dyDescent="0.3">
      <c r="A280">
        <v>29</v>
      </c>
      <c r="B280" t="s">
        <v>76</v>
      </c>
      <c r="C280" t="s">
        <v>75</v>
      </c>
    </row>
    <row r="281" spans="1:3" x14ac:dyDescent="0.3">
      <c r="A281">
        <v>50</v>
      </c>
      <c r="B281" t="s">
        <v>33</v>
      </c>
      <c r="C281" t="s">
        <v>51</v>
      </c>
    </row>
    <row r="282" spans="1:3" x14ac:dyDescent="0.3">
      <c r="A282">
        <v>336</v>
      </c>
      <c r="B282" t="s">
        <v>72</v>
      </c>
      <c r="C282" t="s">
        <v>71</v>
      </c>
    </row>
    <row r="283" spans="1:3" x14ac:dyDescent="0.3">
      <c r="A283">
        <v>440</v>
      </c>
      <c r="B283" t="s">
        <v>35</v>
      </c>
      <c r="C283" t="s">
        <v>38</v>
      </c>
    </row>
    <row r="284" spans="1:3" x14ac:dyDescent="0.3">
      <c r="A284">
        <v>51</v>
      </c>
      <c r="B284" t="s">
        <v>57</v>
      </c>
      <c r="C284" t="s">
        <v>78</v>
      </c>
    </row>
    <row r="285" spans="1:3" x14ac:dyDescent="0.3">
      <c r="A285">
        <v>371</v>
      </c>
      <c r="B285" t="s">
        <v>29</v>
      </c>
      <c r="C285" t="s">
        <v>89</v>
      </c>
    </row>
    <row r="286" spans="1:3" x14ac:dyDescent="0.3">
      <c r="A286">
        <v>14</v>
      </c>
      <c r="B286" t="s">
        <v>33</v>
      </c>
      <c r="C286" t="s">
        <v>112</v>
      </c>
    </row>
    <row r="287" spans="1:3" x14ac:dyDescent="0.3">
      <c r="A287">
        <v>312</v>
      </c>
      <c r="B287" t="s">
        <v>37</v>
      </c>
      <c r="C287" t="s">
        <v>111</v>
      </c>
    </row>
    <row r="288" spans="1:3" x14ac:dyDescent="0.3">
      <c r="A288">
        <v>477</v>
      </c>
      <c r="B288" t="s">
        <v>40</v>
      </c>
      <c r="C288" t="s">
        <v>91</v>
      </c>
    </row>
    <row r="289" spans="1:3" x14ac:dyDescent="0.3">
      <c r="A289">
        <v>91</v>
      </c>
      <c r="B289" t="s">
        <v>50</v>
      </c>
      <c r="C289" t="s">
        <v>49</v>
      </c>
    </row>
    <row r="290" spans="1:3" x14ac:dyDescent="0.3">
      <c r="A290">
        <v>52</v>
      </c>
      <c r="B290" t="s">
        <v>76</v>
      </c>
      <c r="C290" t="s">
        <v>75</v>
      </c>
    </row>
    <row r="291" spans="1:3" x14ac:dyDescent="0.3">
      <c r="A291">
        <v>383</v>
      </c>
      <c r="B291" t="s">
        <v>35</v>
      </c>
      <c r="C291" t="s">
        <v>38</v>
      </c>
    </row>
    <row r="292" spans="1:3" x14ac:dyDescent="0.3">
      <c r="A292">
        <v>252</v>
      </c>
      <c r="B292" t="s">
        <v>60</v>
      </c>
      <c r="C292" t="s">
        <v>70</v>
      </c>
    </row>
    <row r="293" spans="1:3" x14ac:dyDescent="0.3">
      <c r="A293">
        <v>365</v>
      </c>
      <c r="B293" t="s">
        <v>108</v>
      </c>
      <c r="C293" t="s">
        <v>110</v>
      </c>
    </row>
    <row r="294" spans="1:3" x14ac:dyDescent="0.3">
      <c r="A294">
        <v>420</v>
      </c>
      <c r="B294" t="s">
        <v>37</v>
      </c>
      <c r="C294" t="s">
        <v>87</v>
      </c>
    </row>
    <row r="295" spans="1:3" x14ac:dyDescent="0.3">
      <c r="A295">
        <v>97</v>
      </c>
      <c r="B295" t="s">
        <v>69</v>
      </c>
      <c r="C295" t="s">
        <v>100</v>
      </c>
    </row>
    <row r="296" spans="1:3" x14ac:dyDescent="0.3">
      <c r="A296">
        <v>47</v>
      </c>
      <c r="B296" t="s">
        <v>108</v>
      </c>
      <c r="C296" t="s">
        <v>109</v>
      </c>
    </row>
    <row r="297" spans="1:3" x14ac:dyDescent="0.3">
      <c r="A297">
        <v>187</v>
      </c>
      <c r="B297" t="s">
        <v>40</v>
      </c>
      <c r="C297" t="s">
        <v>39</v>
      </c>
    </row>
    <row r="298" spans="1:3" x14ac:dyDescent="0.3">
      <c r="A298">
        <v>429</v>
      </c>
      <c r="B298" t="s">
        <v>42</v>
      </c>
      <c r="C298" t="s">
        <v>67</v>
      </c>
    </row>
    <row r="299" spans="1:3" x14ac:dyDescent="0.3">
      <c r="A299">
        <v>93</v>
      </c>
      <c r="B299" t="s">
        <v>60</v>
      </c>
      <c r="C299" t="s">
        <v>107</v>
      </c>
    </row>
    <row r="300" spans="1:3" x14ac:dyDescent="0.3">
      <c r="A300">
        <v>198</v>
      </c>
      <c r="B300" t="s">
        <v>108</v>
      </c>
      <c r="C300" t="s">
        <v>14</v>
      </c>
    </row>
    <row r="301" spans="1:3" x14ac:dyDescent="0.3">
      <c r="A301">
        <v>362</v>
      </c>
      <c r="B301" t="s">
        <v>37</v>
      </c>
      <c r="C301" t="s">
        <v>93</v>
      </c>
    </row>
    <row r="302" spans="1:3" x14ac:dyDescent="0.3">
      <c r="A302">
        <v>461</v>
      </c>
      <c r="B302" t="s">
        <v>35</v>
      </c>
      <c r="C302" t="s">
        <v>34</v>
      </c>
    </row>
    <row r="303" spans="1:3" x14ac:dyDescent="0.3">
      <c r="A303">
        <v>84</v>
      </c>
      <c r="B303" t="s">
        <v>53</v>
      </c>
      <c r="C303" t="s">
        <v>52</v>
      </c>
    </row>
    <row r="304" spans="1:3" x14ac:dyDescent="0.3">
      <c r="A304">
        <v>172</v>
      </c>
      <c r="B304" t="s">
        <v>35</v>
      </c>
      <c r="C304" t="s">
        <v>34</v>
      </c>
    </row>
    <row r="305" spans="1:3" x14ac:dyDescent="0.3">
      <c r="A305">
        <v>171</v>
      </c>
      <c r="B305" t="s">
        <v>60</v>
      </c>
      <c r="C305" t="s">
        <v>107</v>
      </c>
    </row>
    <row r="306" spans="1:3" x14ac:dyDescent="0.3">
      <c r="A306">
        <v>194</v>
      </c>
      <c r="B306" t="s">
        <v>76</v>
      </c>
      <c r="C306" t="s">
        <v>106</v>
      </c>
    </row>
    <row r="307" spans="1:3" x14ac:dyDescent="0.3">
      <c r="A307">
        <v>235</v>
      </c>
      <c r="B307" t="s">
        <v>37</v>
      </c>
      <c r="C307" t="s">
        <v>93</v>
      </c>
    </row>
    <row r="308" spans="1:3" x14ac:dyDescent="0.3">
      <c r="A308">
        <v>458</v>
      </c>
      <c r="B308" t="s">
        <v>40</v>
      </c>
      <c r="C308" t="s">
        <v>91</v>
      </c>
    </row>
    <row r="309" spans="1:3" x14ac:dyDescent="0.3">
      <c r="A309">
        <v>193</v>
      </c>
      <c r="B309" t="s">
        <v>76</v>
      </c>
      <c r="C309" t="s">
        <v>106</v>
      </c>
    </row>
    <row r="310" spans="1:3" x14ac:dyDescent="0.3">
      <c r="A310">
        <v>450</v>
      </c>
      <c r="B310" t="s">
        <v>37</v>
      </c>
      <c r="C310" t="s">
        <v>87</v>
      </c>
    </row>
    <row r="311" spans="1:3" x14ac:dyDescent="0.3">
      <c r="A311">
        <v>163</v>
      </c>
      <c r="B311" t="s">
        <v>76</v>
      </c>
      <c r="C311" t="s">
        <v>96</v>
      </c>
    </row>
    <row r="312" spans="1:3" x14ac:dyDescent="0.3">
      <c r="A312">
        <v>12</v>
      </c>
      <c r="B312" t="s">
        <v>40</v>
      </c>
      <c r="C312" t="s">
        <v>101</v>
      </c>
    </row>
    <row r="313" spans="1:3" x14ac:dyDescent="0.3">
      <c r="A313">
        <v>61</v>
      </c>
      <c r="B313" t="s">
        <v>46</v>
      </c>
      <c r="C313" t="s">
        <v>66</v>
      </c>
    </row>
    <row r="314" spans="1:3" x14ac:dyDescent="0.3">
      <c r="A314">
        <v>15</v>
      </c>
      <c r="B314" t="s">
        <v>29</v>
      </c>
      <c r="C314" t="s">
        <v>94</v>
      </c>
    </row>
    <row r="315" spans="1:3" x14ac:dyDescent="0.3">
      <c r="A315">
        <v>90</v>
      </c>
      <c r="B315" t="s">
        <v>53</v>
      </c>
      <c r="C315" t="s">
        <v>105</v>
      </c>
    </row>
    <row r="316" spans="1:3" x14ac:dyDescent="0.3">
      <c r="A316">
        <v>396</v>
      </c>
      <c r="B316" t="s">
        <v>44</v>
      </c>
      <c r="C316" t="s">
        <v>43</v>
      </c>
    </row>
    <row r="317" spans="1:3" x14ac:dyDescent="0.3">
      <c r="A317">
        <v>481</v>
      </c>
      <c r="B317" t="s">
        <v>72</v>
      </c>
      <c r="C317" t="s">
        <v>102</v>
      </c>
    </row>
    <row r="318" spans="1:3" x14ac:dyDescent="0.3">
      <c r="A318">
        <v>246</v>
      </c>
      <c r="B318" t="s">
        <v>50</v>
      </c>
      <c r="C318" t="s">
        <v>104</v>
      </c>
    </row>
    <row r="319" spans="1:3" x14ac:dyDescent="0.3">
      <c r="A319">
        <v>174</v>
      </c>
      <c r="B319" t="s">
        <v>60</v>
      </c>
      <c r="C319" t="s">
        <v>88</v>
      </c>
    </row>
    <row r="320" spans="1:3" x14ac:dyDescent="0.3">
      <c r="A320">
        <v>479</v>
      </c>
      <c r="B320" t="s">
        <v>31</v>
      </c>
      <c r="C320" t="s">
        <v>103</v>
      </c>
    </row>
    <row r="321" spans="1:3" x14ac:dyDescent="0.3">
      <c r="A321">
        <v>224</v>
      </c>
      <c r="B321" t="s">
        <v>72</v>
      </c>
      <c r="C321" t="s">
        <v>102</v>
      </c>
    </row>
    <row r="322" spans="1:3" x14ac:dyDescent="0.3">
      <c r="A322">
        <v>42</v>
      </c>
      <c r="B322" t="s">
        <v>90</v>
      </c>
      <c r="C322" t="s">
        <v>63</v>
      </c>
    </row>
    <row r="323" spans="1:3" x14ac:dyDescent="0.3">
      <c r="A323">
        <v>267</v>
      </c>
      <c r="B323" t="s">
        <v>31</v>
      </c>
      <c r="C323" t="s">
        <v>30</v>
      </c>
    </row>
    <row r="324" spans="1:3" x14ac:dyDescent="0.3">
      <c r="A324">
        <v>161</v>
      </c>
      <c r="B324" t="s">
        <v>44</v>
      </c>
      <c r="C324" t="s">
        <v>99</v>
      </c>
    </row>
    <row r="325" spans="1:3" x14ac:dyDescent="0.3">
      <c r="A325">
        <v>315</v>
      </c>
      <c r="B325" t="s">
        <v>46</v>
      </c>
      <c r="C325" t="s">
        <v>45</v>
      </c>
    </row>
    <row r="326" spans="1:3" x14ac:dyDescent="0.3">
      <c r="A326">
        <v>121</v>
      </c>
      <c r="B326" t="s">
        <v>72</v>
      </c>
      <c r="C326" t="s">
        <v>102</v>
      </c>
    </row>
    <row r="327" spans="1:3" x14ac:dyDescent="0.3">
      <c r="A327">
        <v>433</v>
      </c>
      <c r="B327" t="s">
        <v>55</v>
      </c>
      <c r="C327" t="s">
        <v>54</v>
      </c>
    </row>
    <row r="328" spans="1:3" x14ac:dyDescent="0.3">
      <c r="A328">
        <v>453</v>
      </c>
      <c r="B328" t="s">
        <v>40</v>
      </c>
      <c r="C328" t="s">
        <v>101</v>
      </c>
    </row>
    <row r="329" spans="1:3" x14ac:dyDescent="0.3">
      <c r="A329">
        <v>248</v>
      </c>
      <c r="B329" t="s">
        <v>48</v>
      </c>
      <c r="C329" t="s">
        <v>83</v>
      </c>
    </row>
    <row r="330" spans="1:3" x14ac:dyDescent="0.3">
      <c r="A330">
        <v>492</v>
      </c>
      <c r="B330" t="s">
        <v>55</v>
      </c>
      <c r="C330" t="s">
        <v>86</v>
      </c>
    </row>
    <row r="331" spans="1:3" x14ac:dyDescent="0.3">
      <c r="A331">
        <v>122</v>
      </c>
      <c r="B331" t="s">
        <v>35</v>
      </c>
      <c r="C331" t="s">
        <v>58</v>
      </c>
    </row>
    <row r="332" spans="1:3" x14ac:dyDescent="0.3">
      <c r="A332">
        <v>62</v>
      </c>
      <c r="B332" t="s">
        <v>55</v>
      </c>
      <c r="C332" t="s">
        <v>97</v>
      </c>
    </row>
    <row r="333" spans="1:3" x14ac:dyDescent="0.3">
      <c r="A333">
        <v>119</v>
      </c>
      <c r="B333" t="s">
        <v>69</v>
      </c>
      <c r="C333" t="s">
        <v>100</v>
      </c>
    </row>
    <row r="334" spans="1:3" x14ac:dyDescent="0.3">
      <c r="A334">
        <v>388</v>
      </c>
      <c r="B334" t="s">
        <v>55</v>
      </c>
      <c r="C334" t="s">
        <v>54</v>
      </c>
    </row>
    <row r="335" spans="1:3" x14ac:dyDescent="0.3">
      <c r="A335">
        <v>66</v>
      </c>
      <c r="B335" t="s">
        <v>53</v>
      </c>
      <c r="C335" t="s">
        <v>84</v>
      </c>
    </row>
    <row r="336" spans="1:3" x14ac:dyDescent="0.3">
      <c r="A336">
        <v>125</v>
      </c>
      <c r="B336" t="s">
        <v>90</v>
      </c>
      <c r="C336" t="s">
        <v>85</v>
      </c>
    </row>
    <row r="337" spans="1:3" x14ac:dyDescent="0.3">
      <c r="A337">
        <v>274</v>
      </c>
      <c r="B337" t="s">
        <v>44</v>
      </c>
      <c r="C337" t="s">
        <v>99</v>
      </c>
    </row>
    <row r="338" spans="1:3" x14ac:dyDescent="0.3">
      <c r="A338">
        <v>471</v>
      </c>
      <c r="B338" t="s">
        <v>31</v>
      </c>
      <c r="C338" t="s">
        <v>95</v>
      </c>
    </row>
    <row r="339" spans="1:3" x14ac:dyDescent="0.3">
      <c r="A339">
        <v>395</v>
      </c>
      <c r="B339" t="s">
        <v>76</v>
      </c>
      <c r="C339" t="s">
        <v>79</v>
      </c>
    </row>
    <row r="340" spans="1:3" x14ac:dyDescent="0.3">
      <c r="A340">
        <v>474</v>
      </c>
      <c r="B340" t="s">
        <v>44</v>
      </c>
      <c r="C340" t="s">
        <v>99</v>
      </c>
    </row>
    <row r="341" spans="1:3" x14ac:dyDescent="0.3">
      <c r="A341">
        <v>63</v>
      </c>
      <c r="B341" t="s">
        <v>55</v>
      </c>
      <c r="C341" t="s">
        <v>97</v>
      </c>
    </row>
    <row r="342" spans="1:3" x14ac:dyDescent="0.3">
      <c r="A342">
        <v>89</v>
      </c>
      <c r="B342" t="s">
        <v>48</v>
      </c>
      <c r="C342" t="s">
        <v>80</v>
      </c>
    </row>
    <row r="343" spans="1:3" x14ac:dyDescent="0.3">
      <c r="A343">
        <v>27</v>
      </c>
      <c r="B343" t="s">
        <v>40</v>
      </c>
      <c r="C343" t="s">
        <v>39</v>
      </c>
    </row>
    <row r="344" spans="1:3" x14ac:dyDescent="0.3">
      <c r="A344">
        <v>127</v>
      </c>
      <c r="B344" t="s">
        <v>31</v>
      </c>
      <c r="C344" t="s">
        <v>30</v>
      </c>
    </row>
    <row r="345" spans="1:3" x14ac:dyDescent="0.3">
      <c r="A345">
        <v>426</v>
      </c>
      <c r="B345" t="s">
        <v>69</v>
      </c>
      <c r="C345" t="s">
        <v>98</v>
      </c>
    </row>
    <row r="346" spans="1:3" x14ac:dyDescent="0.3">
      <c r="A346">
        <v>355</v>
      </c>
      <c r="B346" t="s">
        <v>53</v>
      </c>
      <c r="C346" t="s">
        <v>82</v>
      </c>
    </row>
    <row r="347" spans="1:3" x14ac:dyDescent="0.3">
      <c r="A347">
        <v>113</v>
      </c>
      <c r="B347" t="s">
        <v>33</v>
      </c>
      <c r="C347" t="s">
        <v>51</v>
      </c>
    </row>
    <row r="348" spans="1:3" x14ac:dyDescent="0.3">
      <c r="A348">
        <v>291</v>
      </c>
      <c r="B348" t="s">
        <v>55</v>
      </c>
      <c r="C348" t="s">
        <v>97</v>
      </c>
    </row>
    <row r="349" spans="1:3" x14ac:dyDescent="0.3">
      <c r="A349">
        <v>182</v>
      </c>
      <c r="B349" t="s">
        <v>76</v>
      </c>
      <c r="C349" t="s">
        <v>96</v>
      </c>
    </row>
    <row r="350" spans="1:3" x14ac:dyDescent="0.3">
      <c r="A350">
        <v>105</v>
      </c>
      <c r="B350" t="s">
        <v>35</v>
      </c>
      <c r="C350" t="s">
        <v>58</v>
      </c>
    </row>
    <row r="351" spans="1:3" x14ac:dyDescent="0.3">
      <c r="A351">
        <v>199</v>
      </c>
      <c r="B351" t="s">
        <v>40</v>
      </c>
      <c r="C351" t="s">
        <v>91</v>
      </c>
    </row>
    <row r="352" spans="1:3" x14ac:dyDescent="0.3">
      <c r="A352">
        <v>211</v>
      </c>
      <c r="B352" t="s">
        <v>31</v>
      </c>
      <c r="C352" t="s">
        <v>62</v>
      </c>
    </row>
    <row r="353" spans="1:3" x14ac:dyDescent="0.3">
      <c r="A353">
        <v>22</v>
      </c>
      <c r="B353" t="s">
        <v>48</v>
      </c>
      <c r="C353" t="s">
        <v>64</v>
      </c>
    </row>
    <row r="354" spans="1:3" x14ac:dyDescent="0.3">
      <c r="A354">
        <v>150</v>
      </c>
      <c r="B354" t="s">
        <v>55</v>
      </c>
      <c r="C354" t="s">
        <v>54</v>
      </c>
    </row>
    <row r="355" spans="1:3" x14ac:dyDescent="0.3">
      <c r="A355">
        <v>191</v>
      </c>
      <c r="B355" t="s">
        <v>57</v>
      </c>
      <c r="C355" t="s">
        <v>81</v>
      </c>
    </row>
    <row r="356" spans="1:3" x14ac:dyDescent="0.3">
      <c r="A356">
        <v>245</v>
      </c>
      <c r="B356" t="s">
        <v>29</v>
      </c>
      <c r="C356" t="s">
        <v>61</v>
      </c>
    </row>
    <row r="357" spans="1:3" x14ac:dyDescent="0.3">
      <c r="A357">
        <v>154</v>
      </c>
      <c r="B357" t="s">
        <v>31</v>
      </c>
      <c r="C357" t="s">
        <v>95</v>
      </c>
    </row>
    <row r="358" spans="1:3" x14ac:dyDescent="0.3">
      <c r="A358">
        <v>266</v>
      </c>
      <c r="B358" t="s">
        <v>55</v>
      </c>
      <c r="C358" t="s">
        <v>54</v>
      </c>
    </row>
    <row r="359" spans="1:3" x14ac:dyDescent="0.3">
      <c r="A359">
        <v>143</v>
      </c>
      <c r="B359" t="s">
        <v>29</v>
      </c>
      <c r="C359" t="s">
        <v>94</v>
      </c>
    </row>
    <row r="360" spans="1:3" x14ac:dyDescent="0.3">
      <c r="A360">
        <v>475</v>
      </c>
      <c r="B360" t="s">
        <v>37</v>
      </c>
      <c r="C360" t="s">
        <v>93</v>
      </c>
    </row>
    <row r="361" spans="1:3" x14ac:dyDescent="0.3">
      <c r="A361">
        <v>292</v>
      </c>
      <c r="B361" t="s">
        <v>57</v>
      </c>
      <c r="C361" t="s">
        <v>78</v>
      </c>
    </row>
    <row r="362" spans="1:3" x14ac:dyDescent="0.3">
      <c r="A362">
        <v>307</v>
      </c>
      <c r="B362" t="s">
        <v>50</v>
      </c>
      <c r="C362" t="s">
        <v>92</v>
      </c>
    </row>
    <row r="363" spans="1:3" x14ac:dyDescent="0.3">
      <c r="A363">
        <v>39</v>
      </c>
      <c r="B363" t="s">
        <v>50</v>
      </c>
      <c r="C363" t="s">
        <v>49</v>
      </c>
    </row>
    <row r="364" spans="1:3" x14ac:dyDescent="0.3">
      <c r="A364">
        <v>316</v>
      </c>
      <c r="B364" t="s">
        <v>40</v>
      </c>
      <c r="C364" t="s">
        <v>91</v>
      </c>
    </row>
    <row r="365" spans="1:3" x14ac:dyDescent="0.3">
      <c r="A365">
        <v>228</v>
      </c>
      <c r="B365" t="s">
        <v>90</v>
      </c>
      <c r="C365" t="s">
        <v>63</v>
      </c>
    </row>
    <row r="366" spans="1:3" x14ac:dyDescent="0.3">
      <c r="A366">
        <v>269</v>
      </c>
      <c r="B366" t="s">
        <v>29</v>
      </c>
      <c r="C366" t="s">
        <v>89</v>
      </c>
    </row>
    <row r="367" spans="1:3" x14ac:dyDescent="0.3">
      <c r="A367">
        <v>151</v>
      </c>
      <c r="B367" t="s">
        <v>44</v>
      </c>
      <c r="C367" t="s">
        <v>65</v>
      </c>
    </row>
    <row r="368" spans="1:3" x14ac:dyDescent="0.3">
      <c r="A368">
        <v>101</v>
      </c>
      <c r="B368" t="s">
        <v>60</v>
      </c>
      <c r="C368" t="s">
        <v>88</v>
      </c>
    </row>
    <row r="369" spans="1:3" x14ac:dyDescent="0.3">
      <c r="A369">
        <v>411</v>
      </c>
      <c r="B369" t="s">
        <v>37</v>
      </c>
      <c r="C369" t="s">
        <v>87</v>
      </c>
    </row>
    <row r="370" spans="1:3" x14ac:dyDescent="0.3">
      <c r="A370">
        <v>381</v>
      </c>
      <c r="B370" t="s">
        <v>55</v>
      </c>
      <c r="C370" t="s">
        <v>86</v>
      </c>
    </row>
    <row r="371" spans="1:3" x14ac:dyDescent="0.3">
      <c r="A371">
        <v>400</v>
      </c>
      <c r="B371" t="s">
        <v>44</v>
      </c>
      <c r="C371" t="s">
        <v>65</v>
      </c>
    </row>
    <row r="372" spans="1:3" x14ac:dyDescent="0.3">
      <c r="A372">
        <v>55</v>
      </c>
      <c r="B372" t="s">
        <v>42</v>
      </c>
      <c r="C372" t="s">
        <v>85</v>
      </c>
    </row>
    <row r="373" spans="1:3" x14ac:dyDescent="0.3">
      <c r="A373">
        <v>372</v>
      </c>
      <c r="B373" t="s">
        <v>53</v>
      </c>
      <c r="C373" t="s">
        <v>84</v>
      </c>
    </row>
    <row r="374" spans="1:3" x14ac:dyDescent="0.3">
      <c r="A374">
        <v>80</v>
      </c>
      <c r="B374" t="s">
        <v>48</v>
      </c>
      <c r="C374" t="s">
        <v>83</v>
      </c>
    </row>
    <row r="375" spans="1:3" x14ac:dyDescent="0.3">
      <c r="A375">
        <v>413</v>
      </c>
      <c r="B375" t="s">
        <v>53</v>
      </c>
      <c r="C375" t="s">
        <v>82</v>
      </c>
    </row>
    <row r="376" spans="1:3" x14ac:dyDescent="0.3">
      <c r="A376">
        <v>46</v>
      </c>
      <c r="B376" t="s">
        <v>46</v>
      </c>
      <c r="C376" t="s">
        <v>77</v>
      </c>
    </row>
    <row r="377" spans="1:3" x14ac:dyDescent="0.3">
      <c r="A377">
        <v>1</v>
      </c>
      <c r="B377" t="s">
        <v>42</v>
      </c>
      <c r="C377" t="s">
        <v>41</v>
      </c>
    </row>
    <row r="378" spans="1:3" x14ac:dyDescent="0.3">
      <c r="A378">
        <v>478</v>
      </c>
      <c r="B378" t="s">
        <v>48</v>
      </c>
      <c r="C378" t="s">
        <v>80</v>
      </c>
    </row>
    <row r="379" spans="1:3" x14ac:dyDescent="0.3">
      <c r="A379">
        <v>456</v>
      </c>
      <c r="B379" t="s">
        <v>57</v>
      </c>
      <c r="C379" t="s">
        <v>81</v>
      </c>
    </row>
    <row r="380" spans="1:3" x14ac:dyDescent="0.3">
      <c r="A380">
        <v>38</v>
      </c>
      <c r="B380" t="s">
        <v>48</v>
      </c>
      <c r="C380" t="s">
        <v>80</v>
      </c>
    </row>
    <row r="381" spans="1:3" x14ac:dyDescent="0.3">
      <c r="A381">
        <v>134</v>
      </c>
      <c r="B381" t="s">
        <v>55</v>
      </c>
      <c r="C381" t="s">
        <v>54</v>
      </c>
    </row>
    <row r="382" spans="1:3" x14ac:dyDescent="0.3">
      <c r="A382">
        <v>77</v>
      </c>
      <c r="B382" t="s">
        <v>40</v>
      </c>
      <c r="C382" t="s">
        <v>39</v>
      </c>
    </row>
    <row r="383" spans="1:3" x14ac:dyDescent="0.3">
      <c r="A383">
        <v>455</v>
      </c>
      <c r="B383" t="s">
        <v>76</v>
      </c>
      <c r="C383" t="s">
        <v>79</v>
      </c>
    </row>
    <row r="384" spans="1:3" x14ac:dyDescent="0.3">
      <c r="A384">
        <v>218</v>
      </c>
      <c r="B384" t="s">
        <v>57</v>
      </c>
      <c r="C384" t="s">
        <v>78</v>
      </c>
    </row>
    <row r="385" spans="1:3" x14ac:dyDescent="0.3">
      <c r="A385">
        <v>263</v>
      </c>
      <c r="B385" t="s">
        <v>46</v>
      </c>
      <c r="C385" t="s">
        <v>77</v>
      </c>
    </row>
    <row r="386" spans="1:3" x14ac:dyDescent="0.3">
      <c r="A386">
        <v>254</v>
      </c>
      <c r="B386" t="s">
        <v>76</v>
      </c>
      <c r="C386" t="s">
        <v>75</v>
      </c>
    </row>
    <row r="387" spans="1:3" x14ac:dyDescent="0.3">
      <c r="A387">
        <v>370</v>
      </c>
      <c r="B387" t="s">
        <v>33</v>
      </c>
      <c r="C387" t="s">
        <v>32</v>
      </c>
    </row>
    <row r="388" spans="1:3" x14ac:dyDescent="0.3">
      <c r="A388">
        <v>301</v>
      </c>
      <c r="B388" t="s">
        <v>35</v>
      </c>
      <c r="C388" t="s">
        <v>74</v>
      </c>
    </row>
    <row r="389" spans="1:3" x14ac:dyDescent="0.3">
      <c r="A389">
        <v>259</v>
      </c>
      <c r="B389" t="s">
        <v>46</v>
      </c>
      <c r="C389" t="s">
        <v>73</v>
      </c>
    </row>
    <row r="390" spans="1:3" x14ac:dyDescent="0.3">
      <c r="A390">
        <v>468</v>
      </c>
      <c r="B390" t="s">
        <v>46</v>
      </c>
      <c r="C390" t="s">
        <v>45</v>
      </c>
    </row>
    <row r="391" spans="1:3" x14ac:dyDescent="0.3">
      <c r="A391">
        <v>200</v>
      </c>
      <c r="B391" t="s">
        <v>72</v>
      </c>
      <c r="C391" t="s">
        <v>71</v>
      </c>
    </row>
    <row r="392" spans="1:3" x14ac:dyDescent="0.3">
      <c r="A392">
        <v>354</v>
      </c>
      <c r="B392" t="s">
        <v>60</v>
      </c>
      <c r="C392" t="s">
        <v>70</v>
      </c>
    </row>
    <row r="393" spans="1:3" x14ac:dyDescent="0.3">
      <c r="A393">
        <v>460</v>
      </c>
      <c r="B393" t="s">
        <v>53</v>
      </c>
      <c r="C393" t="s">
        <v>52</v>
      </c>
    </row>
    <row r="394" spans="1:3" x14ac:dyDescent="0.3">
      <c r="A394">
        <v>184</v>
      </c>
      <c r="B394" t="s">
        <v>48</v>
      </c>
      <c r="C394" t="s">
        <v>47</v>
      </c>
    </row>
    <row r="395" spans="1:3" x14ac:dyDescent="0.3">
      <c r="A395">
        <v>308</v>
      </c>
      <c r="B395" t="s">
        <v>48</v>
      </c>
      <c r="C395" t="s">
        <v>64</v>
      </c>
    </row>
    <row r="396" spans="1:3" x14ac:dyDescent="0.3">
      <c r="A396">
        <v>407</v>
      </c>
      <c r="B396" t="s">
        <v>48</v>
      </c>
      <c r="C396" t="s">
        <v>47</v>
      </c>
    </row>
    <row r="397" spans="1:3" x14ac:dyDescent="0.3">
      <c r="A397">
        <v>148</v>
      </c>
      <c r="B397" t="s">
        <v>33</v>
      </c>
      <c r="C397" t="s">
        <v>32</v>
      </c>
    </row>
    <row r="398" spans="1:3" x14ac:dyDescent="0.3">
      <c r="A398">
        <v>152</v>
      </c>
      <c r="B398" t="s">
        <v>69</v>
      </c>
      <c r="C398" t="s">
        <v>68</v>
      </c>
    </row>
    <row r="399" spans="1:3" x14ac:dyDescent="0.3">
      <c r="A399">
        <v>326</v>
      </c>
      <c r="B399" t="s">
        <v>42</v>
      </c>
      <c r="C399" t="s">
        <v>67</v>
      </c>
    </row>
    <row r="400" spans="1:3" x14ac:dyDescent="0.3">
      <c r="A400">
        <v>352</v>
      </c>
      <c r="B400" t="s">
        <v>46</v>
      </c>
      <c r="C400" t="s">
        <v>66</v>
      </c>
    </row>
    <row r="401" spans="1:3" x14ac:dyDescent="0.3">
      <c r="A401">
        <v>44</v>
      </c>
      <c r="B401" t="s">
        <v>44</v>
      </c>
      <c r="C401" t="s">
        <v>65</v>
      </c>
    </row>
    <row r="402" spans="1:3" x14ac:dyDescent="0.3">
      <c r="A402">
        <v>183</v>
      </c>
      <c r="B402" t="s">
        <v>48</v>
      </c>
      <c r="C402" t="s">
        <v>64</v>
      </c>
    </row>
    <row r="403" spans="1:3" x14ac:dyDescent="0.3">
      <c r="A403">
        <v>88</v>
      </c>
      <c r="B403" t="s">
        <v>42</v>
      </c>
      <c r="C403" t="s">
        <v>63</v>
      </c>
    </row>
    <row r="404" spans="1:3" x14ac:dyDescent="0.3">
      <c r="A404">
        <v>347</v>
      </c>
      <c r="B404" t="s">
        <v>40</v>
      </c>
      <c r="C404" t="s">
        <v>39</v>
      </c>
    </row>
    <row r="405" spans="1:3" x14ac:dyDescent="0.3">
      <c r="A405">
        <v>342</v>
      </c>
      <c r="B405" t="s">
        <v>31</v>
      </c>
      <c r="C405" t="s">
        <v>62</v>
      </c>
    </row>
    <row r="406" spans="1:3" x14ac:dyDescent="0.3">
      <c r="A406">
        <v>59</v>
      </c>
      <c r="B406" t="s">
        <v>29</v>
      </c>
      <c r="C406" t="s">
        <v>61</v>
      </c>
    </row>
    <row r="407" spans="1:3" x14ac:dyDescent="0.3">
      <c r="A407">
        <v>16</v>
      </c>
      <c r="B407" t="s">
        <v>50</v>
      </c>
      <c r="C407" t="s">
        <v>49</v>
      </c>
    </row>
    <row r="408" spans="1:3" x14ac:dyDescent="0.3">
      <c r="A408">
        <v>220</v>
      </c>
      <c r="B408" t="s">
        <v>60</v>
      </c>
      <c r="C408" t="s">
        <v>59</v>
      </c>
    </row>
    <row r="409" spans="1:3" x14ac:dyDescent="0.3">
      <c r="A409">
        <v>439</v>
      </c>
      <c r="B409" t="s">
        <v>33</v>
      </c>
      <c r="C409" t="s">
        <v>51</v>
      </c>
    </row>
    <row r="410" spans="1:3" x14ac:dyDescent="0.3">
      <c r="A410">
        <v>437</v>
      </c>
      <c r="B410" t="s">
        <v>60</v>
      </c>
      <c r="C410" t="s">
        <v>59</v>
      </c>
    </row>
    <row r="411" spans="1:3" x14ac:dyDescent="0.3">
      <c r="A411">
        <v>73</v>
      </c>
      <c r="B411" t="s">
        <v>37</v>
      </c>
      <c r="C411" t="s">
        <v>36</v>
      </c>
    </row>
    <row r="412" spans="1:3" x14ac:dyDescent="0.3">
      <c r="A412">
        <v>208</v>
      </c>
      <c r="B412" t="s">
        <v>48</v>
      </c>
      <c r="C412" t="s">
        <v>47</v>
      </c>
    </row>
    <row r="413" spans="1:3" x14ac:dyDescent="0.3">
      <c r="A413">
        <v>6</v>
      </c>
      <c r="B413" t="s">
        <v>35</v>
      </c>
      <c r="C413" t="s">
        <v>58</v>
      </c>
    </row>
    <row r="414" spans="1:3" x14ac:dyDescent="0.3">
      <c r="A414">
        <v>318</v>
      </c>
      <c r="B414" t="s">
        <v>44</v>
      </c>
      <c r="C414" t="s">
        <v>43</v>
      </c>
    </row>
    <row r="415" spans="1:3" x14ac:dyDescent="0.3">
      <c r="A415">
        <v>327</v>
      </c>
      <c r="B415" t="s">
        <v>57</v>
      </c>
      <c r="C415" t="s">
        <v>56</v>
      </c>
    </row>
    <row r="416" spans="1:3" x14ac:dyDescent="0.3">
      <c r="A416">
        <v>416</v>
      </c>
      <c r="B416" t="s">
        <v>55</v>
      </c>
      <c r="C416" t="s">
        <v>54</v>
      </c>
    </row>
    <row r="417" spans="1:3" x14ac:dyDescent="0.3">
      <c r="A417">
        <v>374</v>
      </c>
      <c r="B417" t="s">
        <v>53</v>
      </c>
      <c r="C417" t="s">
        <v>52</v>
      </c>
    </row>
    <row r="418" spans="1:3" x14ac:dyDescent="0.3">
      <c r="A418">
        <v>289</v>
      </c>
      <c r="B418" t="s">
        <v>33</v>
      </c>
      <c r="C418" t="s">
        <v>51</v>
      </c>
    </row>
    <row r="419" spans="1:3" x14ac:dyDescent="0.3">
      <c r="A419">
        <v>173</v>
      </c>
      <c r="B419" t="s">
        <v>33</v>
      </c>
      <c r="C419" t="s">
        <v>32</v>
      </c>
    </row>
    <row r="420" spans="1:3" x14ac:dyDescent="0.3">
      <c r="A420">
        <v>114</v>
      </c>
      <c r="B420" t="s">
        <v>50</v>
      </c>
      <c r="C420" t="s">
        <v>49</v>
      </c>
    </row>
    <row r="421" spans="1:3" x14ac:dyDescent="0.3">
      <c r="A421">
        <v>170</v>
      </c>
      <c r="B421" t="s">
        <v>48</v>
      </c>
      <c r="C421" t="s">
        <v>47</v>
      </c>
    </row>
    <row r="422" spans="1:3" x14ac:dyDescent="0.3">
      <c r="A422">
        <v>9</v>
      </c>
      <c r="B422" t="s">
        <v>46</v>
      </c>
      <c r="C422" t="s">
        <v>45</v>
      </c>
    </row>
    <row r="423" spans="1:3" x14ac:dyDescent="0.3">
      <c r="A423">
        <v>302</v>
      </c>
      <c r="B423" t="s">
        <v>44</v>
      </c>
      <c r="C423" t="s">
        <v>43</v>
      </c>
    </row>
    <row r="424" spans="1:3" x14ac:dyDescent="0.3">
      <c r="A424">
        <v>48</v>
      </c>
      <c r="B424" t="s">
        <v>35</v>
      </c>
      <c r="C424" t="s">
        <v>38</v>
      </c>
    </row>
    <row r="425" spans="1:3" x14ac:dyDescent="0.3">
      <c r="A425">
        <v>3</v>
      </c>
      <c r="B425" t="s">
        <v>42</v>
      </c>
      <c r="C425" t="s">
        <v>41</v>
      </c>
    </row>
    <row r="426" spans="1:3" x14ac:dyDescent="0.3">
      <c r="A426">
        <v>168</v>
      </c>
      <c r="B426" t="s">
        <v>42</v>
      </c>
      <c r="C426" t="s">
        <v>41</v>
      </c>
    </row>
    <row r="427" spans="1:3" x14ac:dyDescent="0.3">
      <c r="A427">
        <v>13</v>
      </c>
      <c r="B427" t="s">
        <v>40</v>
      </c>
      <c r="C427" t="s">
        <v>39</v>
      </c>
    </row>
    <row r="428" spans="1:3" x14ac:dyDescent="0.3">
      <c r="A428">
        <v>141</v>
      </c>
      <c r="B428" t="s">
        <v>35</v>
      </c>
      <c r="C428" t="s">
        <v>38</v>
      </c>
    </row>
    <row r="429" spans="1:3" x14ac:dyDescent="0.3">
      <c r="A429">
        <v>120</v>
      </c>
      <c r="B429" t="s">
        <v>37</v>
      </c>
      <c r="C429" t="s">
        <v>36</v>
      </c>
    </row>
    <row r="430" spans="1:3" x14ac:dyDescent="0.3">
      <c r="A430">
        <v>418</v>
      </c>
      <c r="B430" t="s">
        <v>35</v>
      </c>
      <c r="C430" t="s">
        <v>34</v>
      </c>
    </row>
    <row r="431" spans="1:3" x14ac:dyDescent="0.3">
      <c r="A431">
        <v>294</v>
      </c>
      <c r="B431" t="s">
        <v>33</v>
      </c>
      <c r="C431" t="s">
        <v>32</v>
      </c>
    </row>
    <row r="432" spans="1:3" x14ac:dyDescent="0.3">
      <c r="A432">
        <v>175</v>
      </c>
      <c r="B432" t="s">
        <v>31</v>
      </c>
      <c r="C432" t="s">
        <v>30</v>
      </c>
    </row>
    <row r="433" spans="1:3" x14ac:dyDescent="0.3">
      <c r="A433">
        <v>469</v>
      </c>
      <c r="B433" t="s">
        <v>29</v>
      </c>
      <c r="C433" t="s">
        <v>28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B49-02E6-2448-81DB-FC5F6DC7D67D}">
  <dimension ref="A1:B6"/>
  <sheetViews>
    <sheetView workbookViewId="0">
      <selection activeCell="B2" sqref="B2"/>
    </sheetView>
  </sheetViews>
  <sheetFormatPr defaultColWidth="8.77734375" defaultRowHeight="14.4" x14ac:dyDescent="0.3"/>
  <cols>
    <col min="1" max="1" width="12.33203125" bestFit="1" customWidth="1"/>
    <col min="2" max="2" width="5" bestFit="1" customWidth="1"/>
  </cols>
  <sheetData>
    <row r="1" spans="1:2" x14ac:dyDescent="0.3">
      <c r="A1" s="1" t="s">
        <v>138</v>
      </c>
      <c r="B1" s="1" t="s">
        <v>137</v>
      </c>
    </row>
    <row r="2" spans="1:2" x14ac:dyDescent="0.3">
      <c r="A2" t="s">
        <v>134</v>
      </c>
      <c r="B2" s="30" t="s">
        <v>133</v>
      </c>
    </row>
    <row r="3" spans="1:2" x14ac:dyDescent="0.3">
      <c r="A3" t="s">
        <v>136</v>
      </c>
      <c r="B3" s="30" t="s">
        <v>135</v>
      </c>
    </row>
    <row r="4" spans="1:2" x14ac:dyDescent="0.3">
      <c r="A4" t="s">
        <v>130</v>
      </c>
      <c r="B4" s="30" t="s">
        <v>129</v>
      </c>
    </row>
    <row r="5" spans="1:2" x14ac:dyDescent="0.3">
      <c r="A5" t="s">
        <v>132</v>
      </c>
      <c r="B5" s="30" t="s">
        <v>131</v>
      </c>
    </row>
    <row r="6" spans="1:2" x14ac:dyDescent="0.3">
      <c r="A6" t="s">
        <v>128</v>
      </c>
      <c r="B6" s="30" t="s">
        <v>127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интро</vt:lpstr>
      <vt:lpstr>Дашборд</vt:lpstr>
      <vt:lpstr>Частотность имен</vt:lpstr>
      <vt:lpstr>Имена для рекламы</vt:lpstr>
      <vt:lpstr>клиенты</vt:lpstr>
      <vt:lpstr>Суммарные продажи по поставщика</vt:lpstr>
      <vt:lpstr>Среднее количесво по категориям</vt:lpstr>
      <vt:lpstr>Суммарные продажи по категориям</vt:lpstr>
      <vt:lpstr>продажи</vt:lpstr>
      <vt:lpstr>География клиентов</vt:lpstr>
      <vt:lpstr>Продажи товаров</vt:lpstr>
      <vt:lpstr>Выгода клиентам</vt:lpstr>
      <vt:lpstr>Суммарные продажи по магазинам</vt:lpstr>
      <vt:lpstr>Платежеспособность</vt:lpstr>
      <vt:lpstr>товар</vt:lpstr>
      <vt:lpstr>коды стран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 Линник</cp:lastModifiedBy>
  <dcterms:created xsi:type="dcterms:W3CDTF">2024-05-23T18:05:44Z</dcterms:created>
  <dcterms:modified xsi:type="dcterms:W3CDTF">2026-02-23T10:06:16Z</dcterms:modified>
</cp:coreProperties>
</file>